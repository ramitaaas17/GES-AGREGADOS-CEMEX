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55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900000000</v>
      </c>
      <c r="D3" s="7">
        <f>IFERROR(VLOOKUP(C3,TRAOPE!$G:$H,2,0),"")</f>
        <v/>
      </c>
      <c r="E3" s="8" t="inlineStr">
        <is>
          <t>DW55</t>
        </is>
      </c>
      <c r="F3" s="8" t="inlineStr">
        <is>
          <t>D284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10000541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20260804</t>
        </is>
      </c>
      <c r="M3" s="8" t="inlineStr">
        <is>
          <t>99991231</t>
        </is>
      </c>
      <c r="N3" s="10" t="n">
        <v>229.06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900000000</v>
      </c>
      <c r="D4" s="7">
        <f>IFERROR(VLOOKUP(C4,TRAOPE!$G:$H,2,0),"")</f>
        <v/>
      </c>
      <c r="E4" s="8" t="inlineStr">
        <is>
          <t>DW55</t>
        </is>
      </c>
      <c r="F4" s="8" t="inlineStr">
        <is>
          <t>D309</t>
        </is>
      </c>
      <c r="G4" s="8">
        <f>IFERROR(VLOOKUP(A4,Flete!$A:$E,5,0),"")</f>
        <v/>
      </c>
      <c r="H4" s="7">
        <f>IFERROR(VLOOKUP(F4,TRAOPE!$AA:$AB,2,0),"")</f>
        <v/>
      </c>
      <c r="I4" s="7" t="n">
        <v>10000541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20240904</t>
        </is>
      </c>
      <c r="M4" s="8" t="inlineStr">
        <is>
          <t>99991231</t>
        </is>
      </c>
      <c r="N4" s="10" t="n">
        <v>196.34</v>
      </c>
      <c r="O4" s="10">
        <f>IFERROR(VLOOKUP(A4,Flete!$A:$J,10,0),"")</f>
        <v/>
      </c>
      <c r="P4" s="8" t="inlineStr">
        <is>
          <t>TN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900000000</v>
      </c>
      <c r="D5" s="7">
        <f>IFERROR(VLOOKUP(C5,TRAOPE!$G:$H,2,0),"")</f>
        <v/>
      </c>
      <c r="E5" s="8" t="inlineStr">
        <is>
          <t>DW55</t>
        </is>
      </c>
      <c r="F5" s="8" t="inlineStr">
        <is>
          <t>D342</t>
        </is>
      </c>
      <c r="G5" s="8">
        <f>IFERROR(VLOOKUP(A5,Flete!$A:$E,5,0),"")</f>
        <v/>
      </c>
      <c r="H5" s="7">
        <f>IFERROR(VLOOKUP(F5,TRAOPE!$AA:$AB,2,0),"")</f>
        <v/>
      </c>
      <c r="I5" s="7" t="n">
        <v>10000541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20220504</t>
        </is>
      </c>
      <c r="M5" s="8" t="inlineStr">
        <is>
          <t>20240930</t>
        </is>
      </c>
      <c r="N5" s="10" t="n">
        <v>84.81</v>
      </c>
      <c r="O5" s="10">
        <f>IFERROR(VLOOKUP(A5,Flete!$A:$J,10,0),"")</f>
        <v/>
      </c>
      <c r="P5" s="8" t="inlineStr">
        <is>
          <t>TN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900000000</v>
      </c>
      <c r="D6" s="7">
        <f>IFERROR(VLOOKUP(C6,TRAOPE!$G:$H,2,0),"")</f>
        <v/>
      </c>
      <c r="E6" s="8" t="inlineStr">
        <is>
          <t>DW55</t>
        </is>
      </c>
      <c r="F6" s="8" t="inlineStr">
        <is>
          <t>D348</t>
        </is>
      </c>
      <c r="G6" s="8">
        <f>IFERROR(VLOOKUP(A6,Flete!$A:$E,5,0),"")</f>
        <v/>
      </c>
      <c r="H6" s="7">
        <f>IFERROR(VLOOKUP(F6,TRAOPE!$AA:$AB,2,0),"")</f>
        <v/>
      </c>
      <c r="I6" s="7" t="n">
        <v>10000541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20240122</t>
        </is>
      </c>
      <c r="M6" s="8" t="inlineStr">
        <is>
          <t>20241015</t>
        </is>
      </c>
      <c r="N6" s="10" t="n">
        <v>89.28</v>
      </c>
      <c r="O6" s="10">
        <f>IFERROR(VLOOKUP(A6,Flete!$A:$J,10,0),"")</f>
        <v/>
      </c>
      <c r="P6" s="8" t="inlineStr">
        <is>
          <t>TN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900000000</v>
      </c>
      <c r="D7" s="7">
        <f>IFERROR(VLOOKUP(C7,TRAOPE!$G:$H,2,0),"")</f>
        <v/>
      </c>
      <c r="E7" s="8" t="inlineStr">
        <is>
          <t>DW55</t>
        </is>
      </c>
      <c r="F7" s="8" t="inlineStr">
        <is>
          <t>ER67</t>
        </is>
      </c>
      <c r="G7" s="8">
        <f>IFERROR(VLOOKUP(A7,Flete!$A:$E,5,0),"")</f>
        <v/>
      </c>
      <c r="H7" s="7">
        <f>IFERROR(VLOOKUP(F7,TRAOPE!$AA:$AB,2,0),"")</f>
        <v/>
      </c>
      <c r="I7" s="7" t="n">
        <v>10000541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20220504</t>
        </is>
      </c>
      <c r="M7" s="8" t="inlineStr">
        <is>
          <t>20230127</t>
        </is>
      </c>
      <c r="N7" s="10" t="n">
        <v>84.81</v>
      </c>
      <c r="O7" s="10">
        <f>IFERROR(VLOOKUP(A7,Flete!$A:$J,10,0),"")</f>
        <v/>
      </c>
      <c r="P7" s="8" t="inlineStr">
        <is>
          <t>TN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900000000</v>
      </c>
      <c r="D8" s="7">
        <f>IFERROR(VLOOKUP(C8,TRAOPE!$G:$H,2,0),"")</f>
        <v/>
      </c>
      <c r="E8" s="8" t="inlineStr">
        <is>
          <t>DW55</t>
        </is>
      </c>
      <c r="F8" s="8" t="inlineStr">
        <is>
          <t>ER68</t>
        </is>
      </c>
      <c r="G8" s="8">
        <f>IFERROR(VLOOKUP(A8,Flete!$A:$E,5,0),"")</f>
        <v/>
      </c>
      <c r="H8" s="7">
        <f>IFERROR(VLOOKUP(F8,TRAOPE!$AA:$AB,2,0),"")</f>
        <v/>
      </c>
      <c r="I8" s="7" t="n">
        <v>10000541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20240122</t>
        </is>
      </c>
      <c r="M8" s="8" t="inlineStr">
        <is>
          <t>20241015</t>
        </is>
      </c>
      <c r="N8" s="10" t="n">
        <v>84.81</v>
      </c>
      <c r="O8" s="10">
        <f>IFERROR(VLOOKUP(A8,Flete!$A:$J,10,0),"")</f>
        <v/>
      </c>
      <c r="P8" s="8" t="inlineStr">
        <is>
          <t>TN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900000515</v>
      </c>
      <c r="D9" s="7">
        <f>IFERROR(VLOOKUP(C9,TRAOPE!$G:$H,2,0),"")</f>
        <v/>
      </c>
      <c r="E9" s="8" t="inlineStr">
        <is>
          <t>DW55</t>
        </is>
      </c>
      <c r="F9" s="8" t="inlineStr">
        <is>
          <t>D284</t>
        </is>
      </c>
      <c r="G9" s="8">
        <f>IFERROR(VLOOKUP(A9,Flete!$A:$E,5,0),"")</f>
        <v/>
      </c>
      <c r="H9" s="7">
        <f>IFERROR(VLOOKUP(F9,TRAOPE!$AA:$AB,2,0),"")</f>
        <v/>
      </c>
      <c r="I9" s="7" t="n">
        <v>10049559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20220516</t>
        </is>
      </c>
      <c r="M9" s="8" t="inlineStr">
        <is>
          <t>20240710</t>
        </is>
      </c>
      <c r="N9" s="10" t="n">
        <v>122.95</v>
      </c>
      <c r="O9" s="10">
        <f>IFERROR(VLOOKUP(A9,Flete!$A:$J,10,0),"")</f>
        <v/>
      </c>
      <c r="P9" s="8" t="inlineStr">
        <is>
          <t>TN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900000515</v>
      </c>
      <c r="D10" s="7">
        <f>IFERROR(VLOOKUP(C10,TRAOPE!$G:$H,2,0),"")</f>
        <v/>
      </c>
      <c r="E10" s="8" t="inlineStr">
        <is>
          <t>DW55</t>
        </is>
      </c>
      <c r="F10" s="8" t="inlineStr">
        <is>
          <t>D284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10217663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20220516</t>
        </is>
      </c>
      <c r="M10" s="8" t="inlineStr">
        <is>
          <t>20240710</t>
        </is>
      </c>
      <c r="N10" s="10" t="n">
        <v>36.54</v>
      </c>
      <c r="O10" s="10">
        <f>IFERROR(VLOOKUP(A10,Flete!$A:$J,10,0),"")</f>
        <v/>
      </c>
      <c r="P10" s="8" t="inlineStr">
        <is>
          <t>TN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900000515</v>
      </c>
      <c r="D11" s="7">
        <f>IFERROR(VLOOKUP(C11,TRAOPE!$G:$H,2,0),"")</f>
        <v/>
      </c>
      <c r="E11" s="8" t="inlineStr">
        <is>
          <t>DW55</t>
        </is>
      </c>
      <c r="F11" s="8" t="inlineStr">
        <is>
          <t>D284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10218414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20220516</t>
        </is>
      </c>
      <c r="M11" s="8" t="inlineStr">
        <is>
          <t>20240710</t>
        </is>
      </c>
      <c r="N11" s="10" t="n">
        <v>217.89</v>
      </c>
      <c r="O11" s="10">
        <f>IFERROR(VLOOKUP(A11,Flete!$A:$J,10,0),"")</f>
        <v/>
      </c>
      <c r="P11" s="8" t="inlineStr">
        <is>
          <t>TN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900000515</v>
      </c>
      <c r="D12" s="7">
        <f>IFERROR(VLOOKUP(C12,TRAOPE!$G:$H,2,0),"")</f>
        <v/>
      </c>
      <c r="E12" s="8" t="inlineStr">
        <is>
          <t>DW55</t>
        </is>
      </c>
      <c r="F12" s="8" t="inlineStr">
        <is>
          <t>D309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10049559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20220516</t>
        </is>
      </c>
      <c r="M12" s="8" t="inlineStr">
        <is>
          <t>20240710</t>
        </is>
      </c>
      <c r="N12" s="10" t="n">
        <v>122.95</v>
      </c>
      <c r="O12" s="10">
        <f>IFERROR(VLOOKUP(A12,Flete!$A:$J,10,0),"")</f>
        <v/>
      </c>
      <c r="P12" s="8" t="inlineStr">
        <is>
          <t>TN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900000515</v>
      </c>
      <c r="D13" s="7">
        <f>IFERROR(VLOOKUP(C13,TRAOPE!$G:$H,2,0),"")</f>
        <v/>
      </c>
      <c r="E13" s="8" t="inlineStr">
        <is>
          <t>DW55</t>
        </is>
      </c>
      <c r="F13" s="8" t="inlineStr">
        <is>
          <t>D326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10049559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20220516</t>
        </is>
      </c>
      <c r="M13" s="8" t="inlineStr">
        <is>
          <t>20240710</t>
        </is>
      </c>
      <c r="N13" s="10" t="n">
        <v>122.95</v>
      </c>
      <c r="O13" s="10">
        <f>IFERROR(VLOOKUP(A13,Flete!$A:$J,10,0),"")</f>
        <v/>
      </c>
      <c r="P13" s="8" t="inlineStr">
        <is>
          <t>TN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900000515</v>
      </c>
      <c r="D14" s="7">
        <f>IFERROR(VLOOKUP(C14,TRAOPE!$G:$H,2,0),"")</f>
        <v/>
      </c>
      <c r="E14" s="8" t="inlineStr">
        <is>
          <t>DW55</t>
        </is>
      </c>
      <c r="F14" s="8" t="inlineStr">
        <is>
          <t>D342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10049559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20220516</t>
        </is>
      </c>
      <c r="M14" s="8" t="inlineStr">
        <is>
          <t>20240710</t>
        </is>
      </c>
      <c r="N14" s="10" t="n">
        <v>122.95</v>
      </c>
      <c r="O14" s="10">
        <f>IFERROR(VLOOKUP(A14,Flete!$A:$J,10,0),"")</f>
        <v/>
      </c>
      <c r="P14" s="8" t="inlineStr">
        <is>
          <t>TN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900000515</v>
      </c>
      <c r="D15" s="7">
        <f>IFERROR(VLOOKUP(C15,TRAOPE!$G:$H,2,0),"")</f>
        <v/>
      </c>
      <c r="E15" s="8" t="inlineStr">
        <is>
          <t>DW55</t>
        </is>
      </c>
      <c r="F15" s="8" t="inlineStr">
        <is>
          <t>D342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10217663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20220516</t>
        </is>
      </c>
      <c r="M15" s="8" t="inlineStr">
        <is>
          <t>20240710</t>
        </is>
      </c>
      <c r="N15" s="10" t="n">
        <v>36.54</v>
      </c>
      <c r="O15" s="10">
        <f>IFERROR(VLOOKUP(A15,Flete!$A:$J,10,0),"")</f>
        <v/>
      </c>
      <c r="P15" s="8" t="inlineStr">
        <is>
          <t>TN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900000515</v>
      </c>
      <c r="D16" s="7">
        <f>IFERROR(VLOOKUP(C16,TRAOPE!$G:$H,2,0),"")</f>
        <v/>
      </c>
      <c r="E16" s="8" t="inlineStr">
        <is>
          <t>DW55</t>
        </is>
      </c>
      <c r="F16" s="8" t="inlineStr">
        <is>
          <t>D342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10218414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20220516</t>
        </is>
      </c>
      <c r="M16" s="8" t="inlineStr">
        <is>
          <t>20240710</t>
        </is>
      </c>
      <c r="N16" s="10" t="n">
        <v>217.89</v>
      </c>
      <c r="O16" s="10">
        <f>IFERROR(VLOOKUP(A16,Flete!$A:$J,10,0),"")</f>
        <v/>
      </c>
      <c r="P16" s="8" t="inlineStr">
        <is>
          <t>TN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900000515</v>
      </c>
      <c r="D17" s="7">
        <f>IFERROR(VLOOKUP(C17,TRAOPE!$G:$H,2,0),"")</f>
        <v/>
      </c>
      <c r="E17" s="8" t="inlineStr">
        <is>
          <t>DW55</t>
        </is>
      </c>
      <c r="F17" s="8" t="inlineStr">
        <is>
          <t>D348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10049559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20220516</t>
        </is>
      </c>
      <c r="M17" s="8" t="inlineStr">
        <is>
          <t>20240710</t>
        </is>
      </c>
      <c r="N17" s="10" t="n">
        <v>122.95</v>
      </c>
      <c r="O17" s="10">
        <f>IFERROR(VLOOKUP(A17,Flete!$A:$J,10,0),"")</f>
        <v/>
      </c>
      <c r="P17" s="8" t="inlineStr">
        <is>
          <t>TN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900000515</v>
      </c>
      <c r="D18" s="7">
        <f>IFERROR(VLOOKUP(C18,TRAOPE!$G:$H,2,0),"")</f>
        <v/>
      </c>
      <c r="E18" s="8" t="inlineStr">
        <is>
          <t>DW55</t>
        </is>
      </c>
      <c r="F18" s="8" t="inlineStr">
        <is>
          <t>D348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10217663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20220516</t>
        </is>
      </c>
      <c r="M18" s="8" t="inlineStr">
        <is>
          <t>20240710</t>
        </is>
      </c>
      <c r="N18" s="10" t="n">
        <v>36.47</v>
      </c>
      <c r="O18" s="10">
        <f>IFERROR(VLOOKUP(A18,Flete!$A:$J,10,0),"")</f>
        <v/>
      </c>
      <c r="P18" s="8" t="inlineStr">
        <is>
          <t>TN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900000515</v>
      </c>
      <c r="D19" s="7">
        <f>IFERROR(VLOOKUP(C19,TRAOPE!$G:$H,2,0),"")</f>
        <v/>
      </c>
      <c r="E19" s="8" t="inlineStr">
        <is>
          <t>DW55</t>
        </is>
      </c>
      <c r="F19" s="8" t="inlineStr">
        <is>
          <t>D348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10218414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20220516</t>
        </is>
      </c>
      <c r="M19" s="8" t="inlineStr">
        <is>
          <t>20240710</t>
        </is>
      </c>
      <c r="N19" s="10" t="n">
        <v>217.82</v>
      </c>
      <c r="O19" s="10">
        <f>IFERROR(VLOOKUP(A19,Flete!$A:$J,10,0),"")</f>
        <v/>
      </c>
      <c r="P19" s="8" t="inlineStr">
        <is>
          <t>TN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900000515</v>
      </c>
      <c r="D20" s="7">
        <f>IFERROR(VLOOKUP(C20,TRAOPE!$G:$H,2,0),"")</f>
        <v/>
      </c>
      <c r="E20" s="8" t="inlineStr">
        <is>
          <t>DW55</t>
        </is>
      </c>
      <c r="F20" s="8" t="inlineStr">
        <is>
          <t>ER67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10217663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20220504</t>
        </is>
      </c>
      <c r="M20" s="8" t="inlineStr">
        <is>
          <t>20230127</t>
        </is>
      </c>
      <c r="N20" s="10" t="n">
        <v>36.54</v>
      </c>
      <c r="O20" s="10">
        <f>IFERROR(VLOOKUP(A20,Flete!$A:$J,10,0),"")</f>
        <v/>
      </c>
      <c r="P20" s="8" t="inlineStr">
        <is>
          <t>TN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900000515</v>
      </c>
      <c r="D21" s="7">
        <f>IFERROR(VLOOKUP(C21,TRAOPE!$G:$H,2,0),"")</f>
        <v/>
      </c>
      <c r="E21" s="8" t="inlineStr">
        <is>
          <t>DW55</t>
        </is>
      </c>
      <c r="F21" s="8" t="inlineStr">
        <is>
          <t>ER67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10218414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20220504</t>
        </is>
      </c>
      <c r="M21" s="8" t="inlineStr">
        <is>
          <t>20230127</t>
        </is>
      </c>
      <c r="N21" s="10" t="n">
        <v>217.89</v>
      </c>
      <c r="O21" s="10">
        <f>IFERROR(VLOOKUP(A21,Flete!$A:$J,10,0),"")</f>
        <v/>
      </c>
      <c r="P21" s="8" t="inlineStr">
        <is>
          <t>TN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900000515</v>
      </c>
      <c r="D22" s="7">
        <f>IFERROR(VLOOKUP(C22,TRAOPE!$G:$H,2,0),"")</f>
        <v/>
      </c>
      <c r="E22" s="8" t="inlineStr">
        <is>
          <t>DW55</t>
        </is>
      </c>
      <c r="F22" s="8" t="inlineStr">
        <is>
          <t>ER68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10217663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20220516</t>
        </is>
      </c>
      <c r="M22" s="8" t="inlineStr">
        <is>
          <t>20240710</t>
        </is>
      </c>
      <c r="N22" s="10" t="n">
        <v>36.54</v>
      </c>
      <c r="O22" s="10">
        <f>IFERROR(VLOOKUP(A22,Flete!$A:$J,10,0),"")</f>
        <v/>
      </c>
      <c r="P22" s="8" t="inlineStr">
        <is>
          <t>TN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900000515</v>
      </c>
      <c r="D23" s="7">
        <f>IFERROR(VLOOKUP(C23,TRAOPE!$G:$H,2,0),"")</f>
        <v/>
      </c>
      <c r="E23" s="8" t="inlineStr">
        <is>
          <t>DW55</t>
        </is>
      </c>
      <c r="F23" s="8" t="inlineStr">
        <is>
          <t>ER68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10218414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20220516</t>
        </is>
      </c>
      <c r="M23" s="8" t="inlineStr">
        <is>
          <t>20240710</t>
        </is>
      </c>
      <c r="N23" s="10" t="n">
        <v>217.89</v>
      </c>
      <c r="O23" s="10">
        <f>IFERROR(VLOOKUP(A23,Flete!$A:$J,10,0),"")</f>
        <v/>
      </c>
      <c r="P23" s="8" t="inlineStr">
        <is>
          <t>TN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900000743</v>
      </c>
      <c r="D24" s="7">
        <f>IFERROR(VLOOKUP(C24,TRAOPE!$G:$H,2,0),"")</f>
        <v/>
      </c>
      <c r="E24" s="8" t="inlineStr">
        <is>
          <t>DW55</t>
        </is>
      </c>
      <c r="F24" s="8" t="inlineStr">
        <is>
          <t>D284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10000372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20260417</t>
        </is>
      </c>
      <c r="M24" s="8" t="inlineStr">
        <is>
          <t>20260427</t>
        </is>
      </c>
      <c r="N24" s="10" t="n">
        <v>220.99</v>
      </c>
      <c r="O24" s="10">
        <f>IFERROR(VLOOKUP(A24,Flete!$A:$J,10,0),"")</f>
        <v/>
      </c>
      <c r="P24" s="8" t="inlineStr">
        <is>
          <t>TN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900000743</v>
      </c>
      <c r="D25" s="7">
        <f>IFERROR(VLOOKUP(C25,TRAOPE!$G:$H,2,0),"")</f>
        <v/>
      </c>
      <c r="E25" s="8" t="inlineStr">
        <is>
          <t>DW55</t>
        </is>
      </c>
      <c r="F25" s="8" t="inlineStr">
        <is>
          <t>D284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10123034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20260626</t>
        </is>
      </c>
      <c r="M25" s="8" t="inlineStr">
        <is>
          <t>99991231</t>
        </is>
      </c>
      <c r="N25" s="10" t="n">
        <v>85.08</v>
      </c>
      <c r="O25" s="10">
        <f>IFERROR(VLOOKUP(A25,Flete!$A:$J,10,0),"")</f>
        <v/>
      </c>
      <c r="P25" s="8" t="inlineStr">
        <is>
          <t>TN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900000743</v>
      </c>
      <c r="D26" s="7">
        <f>IFERROR(VLOOKUP(C26,TRAOPE!$G:$H,2,0),"")</f>
        <v/>
      </c>
      <c r="E26" s="8" t="inlineStr">
        <is>
          <t>DW55</t>
        </is>
      </c>
      <c r="F26" s="8" t="inlineStr">
        <is>
          <t>D284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10151600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20220516</t>
        </is>
      </c>
      <c r="M26" s="8" t="inlineStr">
        <is>
          <t>20240930</t>
        </is>
      </c>
      <c r="N26" s="10" t="n">
        <v>128.76</v>
      </c>
      <c r="O26" s="10">
        <f>IFERROR(VLOOKUP(A26,Flete!$A:$J,10,0),"")</f>
        <v/>
      </c>
      <c r="P26" s="8" t="inlineStr">
        <is>
          <t>TN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900000743</v>
      </c>
      <c r="D27" s="7">
        <f>IFERROR(VLOOKUP(C27,TRAOPE!$G:$H,2,0),"")</f>
        <v/>
      </c>
      <c r="E27" s="8" t="inlineStr">
        <is>
          <t>DW55</t>
        </is>
      </c>
      <c r="F27" s="8" t="inlineStr">
        <is>
          <t>D284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10217664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20260417</t>
        </is>
      </c>
      <c r="M27" s="8" t="inlineStr">
        <is>
          <t>99991231</t>
        </is>
      </c>
      <c r="N27" s="10" t="n">
        <v>230.05</v>
      </c>
      <c r="O27" s="10">
        <f>IFERROR(VLOOKUP(A27,Flete!$A:$J,10,0),"")</f>
        <v/>
      </c>
      <c r="P27" s="8" t="inlineStr">
        <is>
          <t>TN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900000743</v>
      </c>
      <c r="D28" s="7">
        <f>IFERROR(VLOOKUP(C28,TRAOPE!$G:$H,2,0),"")</f>
        <v/>
      </c>
      <c r="E28" s="8" t="inlineStr">
        <is>
          <t>DW55</t>
        </is>
      </c>
      <c r="F28" s="8" t="inlineStr">
        <is>
          <t>D309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10000372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20260417</t>
        </is>
      </c>
      <c r="M28" s="8" t="inlineStr">
        <is>
          <t>20260427</t>
        </is>
      </c>
      <c r="N28" s="10" t="n">
        <v>220.99</v>
      </c>
      <c r="O28" s="10">
        <f>IFERROR(VLOOKUP(A28,Flete!$A:$J,10,0),"")</f>
        <v/>
      </c>
      <c r="P28" s="8" t="inlineStr">
        <is>
          <t>TN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900000743</v>
      </c>
      <c r="D29" s="7">
        <f>IFERROR(VLOOKUP(C29,TRAOPE!$G:$H,2,0),"")</f>
        <v/>
      </c>
      <c r="E29" s="8" t="inlineStr">
        <is>
          <t>DW55</t>
        </is>
      </c>
      <c r="F29" s="8" t="inlineStr">
        <is>
          <t>D309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10123034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20260417</t>
        </is>
      </c>
      <c r="M29" s="8" t="inlineStr">
        <is>
          <t>99991231</t>
        </is>
      </c>
      <c r="N29" s="10" t="n">
        <v>85.08</v>
      </c>
      <c r="O29" s="10">
        <f>IFERROR(VLOOKUP(A29,Flete!$A:$J,10,0),"")</f>
        <v/>
      </c>
      <c r="P29" s="8" t="inlineStr">
        <is>
          <t>TN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900000743</v>
      </c>
      <c r="D30" s="7">
        <f>IFERROR(VLOOKUP(C30,TRAOPE!$G:$H,2,0),"")</f>
        <v/>
      </c>
      <c r="E30" s="8" t="inlineStr">
        <is>
          <t>DW55</t>
        </is>
      </c>
      <c r="F30" s="8" t="inlineStr">
        <is>
          <t>D309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10151600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20220516</t>
        </is>
      </c>
      <c r="M30" s="8" t="inlineStr">
        <is>
          <t>20240930</t>
        </is>
      </c>
      <c r="N30" s="10" t="n">
        <v>128.76</v>
      </c>
      <c r="O30" s="10">
        <f>IFERROR(VLOOKUP(A30,Flete!$A:$J,10,0),"")</f>
        <v/>
      </c>
      <c r="P30" s="8" t="inlineStr">
        <is>
          <t>TN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900000743</v>
      </c>
      <c r="D31" s="7">
        <f>IFERROR(VLOOKUP(C31,TRAOPE!$G:$H,2,0),"")</f>
        <v/>
      </c>
      <c r="E31" s="8" t="inlineStr">
        <is>
          <t>DW55</t>
        </is>
      </c>
      <c r="F31" s="8" t="inlineStr">
        <is>
          <t>D309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10217664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20260417</t>
        </is>
      </c>
      <c r="M31" s="8" t="inlineStr">
        <is>
          <t>99991231</t>
        </is>
      </c>
      <c r="N31" s="10" t="n">
        <v>230.05</v>
      </c>
      <c r="O31" s="10">
        <f>IFERROR(VLOOKUP(A31,Flete!$A:$J,10,0),"")</f>
        <v/>
      </c>
      <c r="P31" s="8" t="inlineStr">
        <is>
          <t>TN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900000743</v>
      </c>
      <c r="D32" s="7">
        <f>IFERROR(VLOOKUP(C32,TRAOPE!$G:$H,2,0),"")</f>
        <v/>
      </c>
      <c r="E32" s="8" t="inlineStr">
        <is>
          <t>DW55</t>
        </is>
      </c>
      <c r="F32" s="8" t="inlineStr">
        <is>
          <t>D315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10000561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20210620</t>
        </is>
      </c>
      <c r="M32" s="8" t="inlineStr">
        <is>
          <t>20240710</t>
        </is>
      </c>
      <c r="N32" s="10" t="n">
        <v>136.67</v>
      </c>
      <c r="O32" s="10">
        <f>IFERROR(VLOOKUP(A32,Flete!$A:$J,10,0),"")</f>
        <v/>
      </c>
      <c r="P32" s="8" t="inlineStr">
        <is>
          <t>TN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900000743</v>
      </c>
      <c r="D33" s="7">
        <f>IFERROR(VLOOKUP(C33,TRAOPE!$G:$H,2,0),"")</f>
        <v/>
      </c>
      <c r="E33" s="8" t="inlineStr">
        <is>
          <t>DW55</t>
        </is>
      </c>
      <c r="F33" s="8" t="inlineStr">
        <is>
          <t>D315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10123034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20220516</t>
        </is>
      </c>
      <c r="M33" s="8" t="inlineStr">
        <is>
          <t>20240320</t>
        </is>
      </c>
      <c r="N33" s="10" t="n">
        <v>52.36</v>
      </c>
      <c r="O33" s="10">
        <f>IFERROR(VLOOKUP(A33,Flete!$A:$J,10,0),"")</f>
        <v/>
      </c>
      <c r="P33" s="8" t="inlineStr">
        <is>
          <t>TN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900000743</v>
      </c>
      <c r="D34" s="7">
        <f>IFERROR(VLOOKUP(C34,TRAOPE!$G:$H,2,0),"")</f>
        <v/>
      </c>
      <c r="E34" s="8" t="inlineStr">
        <is>
          <t>DW55</t>
        </is>
      </c>
      <c r="F34" s="8" t="inlineStr">
        <is>
          <t>D325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10217664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20250701</t>
        </is>
      </c>
      <c r="M34" s="8" t="inlineStr">
        <is>
          <t>99991231</t>
        </is>
      </c>
      <c r="N34" s="10" t="n">
        <v>215.67</v>
      </c>
      <c r="O34" s="10">
        <f>IFERROR(VLOOKUP(A34,Flete!$A:$J,10,0),"")</f>
        <v/>
      </c>
      <c r="P34" s="8" t="inlineStr">
        <is>
          <t>TN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900000743</v>
      </c>
      <c r="D35" s="7">
        <f>IFERROR(VLOOKUP(C35,TRAOPE!$G:$H,2,0),"")</f>
        <v/>
      </c>
      <c r="E35" s="8" t="inlineStr">
        <is>
          <t>DW55</t>
        </is>
      </c>
      <c r="F35" s="8" t="inlineStr">
        <is>
          <t>D326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10000561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20210620</t>
        </is>
      </c>
      <c r="M35" s="8" t="inlineStr">
        <is>
          <t>20240710</t>
        </is>
      </c>
      <c r="N35" s="10" t="n">
        <v>129.55</v>
      </c>
      <c r="O35" s="10">
        <f>IFERROR(VLOOKUP(A35,Flete!$A:$J,10,0),"")</f>
        <v/>
      </c>
      <c r="P35" s="8" t="inlineStr">
        <is>
          <t>TN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900000743</v>
      </c>
      <c r="D36" s="7">
        <f>IFERROR(VLOOKUP(C36,TRAOPE!$G:$H,2,0),"")</f>
        <v/>
      </c>
      <c r="E36" s="8" t="inlineStr">
        <is>
          <t>DW55</t>
        </is>
      </c>
      <c r="F36" s="8" t="inlineStr">
        <is>
          <t>D326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10123034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20220516</t>
        </is>
      </c>
      <c r="M36" s="8" t="inlineStr">
        <is>
          <t>20240320</t>
        </is>
      </c>
      <c r="N36" s="10" t="n">
        <v>52.36</v>
      </c>
      <c r="O36" s="10">
        <f>IFERROR(VLOOKUP(A36,Flete!$A:$J,10,0),"")</f>
        <v/>
      </c>
      <c r="P36" s="8" t="inlineStr">
        <is>
          <t>TN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900000743</v>
      </c>
      <c r="D37" s="7">
        <f>IFERROR(VLOOKUP(C37,TRAOPE!$G:$H,2,0),"")</f>
        <v/>
      </c>
      <c r="E37" s="8" t="inlineStr">
        <is>
          <t>DW55</t>
        </is>
      </c>
      <c r="F37" s="8" t="inlineStr">
        <is>
          <t>D342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10123034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20260417</t>
        </is>
      </c>
      <c r="M37" s="8" t="inlineStr">
        <is>
          <t>99991231</t>
        </is>
      </c>
      <c r="N37" s="10" t="n">
        <v>85.08</v>
      </c>
      <c r="O37" s="10">
        <f>IFERROR(VLOOKUP(A37,Flete!$A:$J,10,0),"")</f>
        <v/>
      </c>
      <c r="P37" s="8" t="inlineStr">
        <is>
          <t>TN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900000743</v>
      </c>
      <c r="D38" s="7">
        <f>IFERROR(VLOOKUP(C38,TRAOPE!$G:$H,2,0),"")</f>
        <v/>
      </c>
      <c r="E38" s="8" t="inlineStr">
        <is>
          <t>DW55</t>
        </is>
      </c>
      <c r="F38" s="8" t="inlineStr">
        <is>
          <t>D342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10151600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20220516</t>
        </is>
      </c>
      <c r="M38" s="8" t="inlineStr">
        <is>
          <t>20240930</t>
        </is>
      </c>
      <c r="N38" s="10" t="n">
        <v>128.76</v>
      </c>
      <c r="O38" s="10">
        <f>IFERROR(VLOOKUP(A38,Flete!$A:$J,10,0),"")</f>
        <v/>
      </c>
      <c r="P38" s="8" t="inlineStr">
        <is>
          <t>TN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900000743</v>
      </c>
      <c r="D39" s="7">
        <f>IFERROR(VLOOKUP(C39,TRAOPE!$G:$H,2,0),"")</f>
        <v/>
      </c>
      <c r="E39" s="8" t="inlineStr">
        <is>
          <t>DW55</t>
        </is>
      </c>
      <c r="F39" s="8" t="inlineStr">
        <is>
          <t>D342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10217664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20250701</t>
        </is>
      </c>
      <c r="M39" s="8" t="inlineStr">
        <is>
          <t>99991231</t>
        </is>
      </c>
      <c r="N39" s="10" t="n">
        <v>215.67</v>
      </c>
      <c r="O39" s="10">
        <f>IFERROR(VLOOKUP(A39,Flete!$A:$J,10,0),"")</f>
        <v/>
      </c>
      <c r="P39" s="8" t="inlineStr">
        <is>
          <t>TN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900000743</v>
      </c>
      <c r="D40" s="7">
        <f>IFERROR(VLOOKUP(C40,TRAOPE!$G:$H,2,0),"")</f>
        <v/>
      </c>
      <c r="E40" s="8" t="inlineStr">
        <is>
          <t>DW55</t>
        </is>
      </c>
      <c r="F40" s="8" t="inlineStr">
        <is>
          <t>D348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10123034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20240621</t>
        </is>
      </c>
      <c r="M40" s="8" t="inlineStr">
        <is>
          <t>99991231</t>
        </is>
      </c>
      <c r="N40" s="10" t="n">
        <v>71.98999999999999</v>
      </c>
      <c r="O40" s="10">
        <f>IFERROR(VLOOKUP(A40,Flete!$A:$J,10,0),"")</f>
        <v/>
      </c>
      <c r="P40" s="8" t="inlineStr">
        <is>
          <t>TN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900000743</v>
      </c>
      <c r="D41" s="7">
        <f>IFERROR(VLOOKUP(C41,TRAOPE!$G:$H,2,0),"")</f>
        <v/>
      </c>
      <c r="E41" s="8" t="inlineStr">
        <is>
          <t>DW55</t>
        </is>
      </c>
      <c r="F41" s="8" t="inlineStr">
        <is>
          <t>D348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10151600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20220516</t>
        </is>
      </c>
      <c r="M41" s="8" t="inlineStr">
        <is>
          <t>20240930</t>
        </is>
      </c>
      <c r="N41" s="10" t="n">
        <v>128.76</v>
      </c>
      <c r="O41" s="10">
        <f>IFERROR(VLOOKUP(A41,Flete!$A:$J,10,0),"")</f>
        <v/>
      </c>
      <c r="P41" s="8" t="inlineStr">
        <is>
          <t>TN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900000743</v>
      </c>
      <c r="D42" s="7">
        <f>IFERROR(VLOOKUP(C42,TRAOPE!$G:$H,2,0),"")</f>
        <v/>
      </c>
      <c r="E42" s="8" t="inlineStr">
        <is>
          <t>DW55</t>
        </is>
      </c>
      <c r="F42" s="8" t="inlineStr">
        <is>
          <t>D348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10217664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20230401</t>
        </is>
      </c>
      <c r="M42" s="8" t="inlineStr">
        <is>
          <t>99991231</t>
        </is>
      </c>
      <c r="N42" s="10" t="n">
        <v>222.86</v>
      </c>
      <c r="O42" s="10">
        <f>IFERROR(VLOOKUP(A42,Flete!$A:$J,10,0),"")</f>
        <v/>
      </c>
      <c r="P42" s="8" t="inlineStr">
        <is>
          <t>TN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900003437</v>
      </c>
      <c r="D43" s="7">
        <f>IFERROR(VLOOKUP(C43,TRAOPE!$G:$H,2,0),"")</f>
        <v/>
      </c>
      <c r="E43" s="8" t="inlineStr">
        <is>
          <t>DW55</t>
        </is>
      </c>
      <c r="F43" s="8" t="inlineStr">
        <is>
          <t>D284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10000541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20250428</t>
        </is>
      </c>
      <c r="M43" s="8" t="inlineStr">
        <is>
          <t>20251031</t>
        </is>
      </c>
      <c r="N43" s="10" t="n">
        <v>196.34</v>
      </c>
      <c r="O43" s="10">
        <f>IFERROR(VLOOKUP(A43,Flete!$A:$J,10,0),"")</f>
        <v/>
      </c>
      <c r="P43" s="8" t="inlineStr">
        <is>
          <t>TN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900003437</v>
      </c>
      <c r="D44" s="7">
        <f>IFERROR(VLOOKUP(C44,TRAOPE!$G:$H,2,0),"")</f>
        <v/>
      </c>
      <c r="E44" s="8" t="inlineStr">
        <is>
          <t>DW55</t>
        </is>
      </c>
      <c r="F44" s="8" t="inlineStr">
        <is>
          <t>D309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10000541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20250428</t>
        </is>
      </c>
      <c r="M44" s="8" t="inlineStr">
        <is>
          <t>20251031</t>
        </is>
      </c>
      <c r="N44" s="10" t="n">
        <v>196.34</v>
      </c>
      <c r="O44" s="10">
        <f>IFERROR(VLOOKUP(A44,Flete!$A:$J,10,0),"")</f>
        <v/>
      </c>
      <c r="P44" s="8" t="inlineStr">
        <is>
          <t>TN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900003903</v>
      </c>
      <c r="D45" s="7">
        <f>IFERROR(VLOOKUP(C45,TRAOPE!$G:$H,2,0),"")</f>
        <v/>
      </c>
      <c r="E45" s="8" t="inlineStr">
        <is>
          <t>DW55</t>
        </is>
      </c>
      <c r="F45" s="8" t="inlineStr">
        <is>
          <t>D284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10217663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20260701</t>
        </is>
      </c>
      <c r="M45" s="8" t="inlineStr">
        <is>
          <t>99991231</t>
        </is>
      </c>
      <c r="N45" s="10" t="n">
        <v>51.51</v>
      </c>
      <c r="O45" s="10">
        <f>IFERROR(VLOOKUP(A45,Flete!$A:$J,10,0),"")</f>
        <v/>
      </c>
      <c r="P45" s="8" t="inlineStr">
        <is>
          <t>TN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900003903</v>
      </c>
      <c r="D46" s="7">
        <f>IFERROR(VLOOKUP(C46,TRAOPE!$G:$H,2,0),"")</f>
        <v/>
      </c>
      <c r="E46" s="8" t="inlineStr">
        <is>
          <t>DW55</t>
        </is>
      </c>
      <c r="F46" s="8" t="inlineStr">
        <is>
          <t>D304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10217663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20260701</t>
        </is>
      </c>
      <c r="M46" s="8" t="inlineStr">
        <is>
          <t>99991231</t>
        </is>
      </c>
      <c r="N46" s="10" t="n">
        <v>51.51</v>
      </c>
      <c r="O46" s="10">
        <f>IFERROR(VLOOKUP(A46,Flete!$A:$J,10,0),"")</f>
        <v/>
      </c>
      <c r="P46" s="8" t="inlineStr">
        <is>
          <t>TN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900003903</v>
      </c>
      <c r="D47" s="7">
        <f>IFERROR(VLOOKUP(C47,TRAOPE!$G:$H,2,0),"")</f>
        <v/>
      </c>
      <c r="E47" s="8" t="inlineStr">
        <is>
          <t>DW55</t>
        </is>
      </c>
      <c r="F47" s="8" t="inlineStr">
        <is>
          <t>D309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10217663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20260701</t>
        </is>
      </c>
      <c r="M47" s="8" t="inlineStr">
        <is>
          <t>99991231</t>
        </is>
      </c>
      <c r="N47" s="10" t="n">
        <v>51.51</v>
      </c>
      <c r="O47" s="10">
        <f>IFERROR(VLOOKUP(A47,Flete!$A:$J,10,0),"")</f>
        <v/>
      </c>
      <c r="P47" s="8" t="inlineStr">
        <is>
          <t>TN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  <row r="48">
      <c r="A48" s="7">
        <f>CONCATENATE(C48,E48,F48,I48)</f>
        <v/>
      </c>
      <c r="B48" s="7">
        <f>CONCATENATE(C48,E48,I48)</f>
        <v/>
      </c>
      <c r="C48" s="8" t="n">
        <v>900003903</v>
      </c>
      <c r="D48" s="7">
        <f>IFERROR(VLOOKUP(C48,TRAOPE!$G:$H,2,0),"")</f>
        <v/>
      </c>
      <c r="E48" s="8" t="inlineStr">
        <is>
          <t>DW55</t>
        </is>
      </c>
      <c r="F48" s="8" t="inlineStr">
        <is>
          <t>D315</t>
        </is>
      </c>
      <c r="G48" s="8">
        <f>IFERROR(VLOOKUP(A48,Flete!$A:$E,5,0),"")</f>
        <v/>
      </c>
      <c r="H48" s="7">
        <f>IFERROR(VLOOKUP(F48,TRAOPE!$AA:$AB,2,0),"")</f>
        <v/>
      </c>
      <c r="I48" s="7" t="n">
        <v>10000834</v>
      </c>
      <c r="J48" s="7">
        <f>IFERROR(VLOOKUP(I48,Materiales!$A:$H,8,0),"")</f>
        <v/>
      </c>
      <c r="K48" s="9">
        <f>IFERROR(VLOOKUP(I48,Materiales!$A:$G,7,0),"")</f>
        <v/>
      </c>
      <c r="L48" s="8" t="inlineStr">
        <is>
          <t>20220516</t>
        </is>
      </c>
      <c r="M48" s="8" t="inlineStr">
        <is>
          <t>20240320</t>
        </is>
      </c>
      <c r="N48" s="10" t="n">
        <v>41.96</v>
      </c>
      <c r="O48" s="10">
        <f>IFERROR(VLOOKUP(A48,Flete!$A:$J,10,0),"")</f>
        <v/>
      </c>
      <c r="P48" s="8" t="inlineStr">
        <is>
          <t>TN</t>
        </is>
      </c>
      <c r="Q48" s="10">
        <f>IFERROR(IFERROR(VLOOKUP(A48,TRAOPE!$A:$U,21,0),VLOOKUP(B48,TRAOPE!$A:$U,21,0)),"")</f>
        <v/>
      </c>
      <c r="R48" s="8">
        <f>IFERROR(IFERROR(VLOOKUP(A48,TRAOPE!$A:$W,23,0),VLOOKUP(B48,TRAOPE!$A:$W,23,0)),"")</f>
        <v/>
      </c>
      <c r="S48" s="10">
        <f>IF(AND(P48="TN",R48="TN"),N48+N(O48),IF(G48&amp;""="1",N(K48)*N48,(N48+N(O48))*N(K48)))</f>
        <v/>
      </c>
      <c r="T48" s="10">
        <f>IF(Q48="","",Q48-S48)</f>
        <v/>
      </c>
    </row>
    <row r="49">
      <c r="A49" s="7">
        <f>CONCATENATE(C49,E49,F49,I49)</f>
        <v/>
      </c>
      <c r="B49" s="7">
        <f>CONCATENATE(C49,E49,I49)</f>
        <v/>
      </c>
      <c r="C49" s="8" t="n">
        <v>900003903</v>
      </c>
      <c r="D49" s="7">
        <f>IFERROR(VLOOKUP(C49,TRAOPE!$G:$H,2,0),"")</f>
        <v/>
      </c>
      <c r="E49" s="8" t="inlineStr">
        <is>
          <t>DW55</t>
        </is>
      </c>
      <c r="F49" s="8" t="inlineStr">
        <is>
          <t>D325</t>
        </is>
      </c>
      <c r="G49" s="8">
        <f>IFERROR(VLOOKUP(A49,Flete!$A:$E,5,0),"")</f>
        <v/>
      </c>
      <c r="H49" s="7">
        <f>IFERROR(VLOOKUP(F49,TRAOPE!$AA:$AB,2,0),"")</f>
        <v/>
      </c>
      <c r="I49" s="7" t="n">
        <v>10217663</v>
      </c>
      <c r="J49" s="7">
        <f>IFERROR(VLOOKUP(I49,Materiales!$A:$H,8,0),"")</f>
        <v/>
      </c>
      <c r="K49" s="9">
        <f>IFERROR(VLOOKUP(I49,Materiales!$A:$G,7,0),"")</f>
        <v/>
      </c>
      <c r="L49" s="8" t="inlineStr">
        <is>
          <t>20260701</t>
        </is>
      </c>
      <c r="M49" s="8" t="inlineStr">
        <is>
          <t>99991231</t>
        </is>
      </c>
      <c r="N49" s="10" t="n">
        <v>51.51</v>
      </c>
      <c r="O49" s="10">
        <f>IFERROR(VLOOKUP(A49,Flete!$A:$J,10,0),"")</f>
        <v/>
      </c>
      <c r="P49" s="8" t="inlineStr">
        <is>
          <t>TN</t>
        </is>
      </c>
      <c r="Q49" s="10">
        <f>IFERROR(IFERROR(VLOOKUP(A49,TRAOPE!$A:$U,21,0),VLOOKUP(B49,TRAOPE!$A:$U,21,0)),"")</f>
        <v/>
      </c>
      <c r="R49" s="8">
        <f>IFERROR(IFERROR(VLOOKUP(A49,TRAOPE!$A:$W,23,0),VLOOKUP(B49,TRAOPE!$A:$W,23,0)),"")</f>
        <v/>
      </c>
      <c r="S49" s="10">
        <f>IF(AND(P49="TN",R49="TN"),N49+N(O49),IF(G49&amp;""="1",N(K49)*N49,(N49+N(O49))*N(K49)))</f>
        <v/>
      </c>
      <c r="T49" s="10">
        <f>IF(Q49="","",Q49-S49)</f>
        <v/>
      </c>
    </row>
    <row r="50">
      <c r="A50" s="7">
        <f>CONCATENATE(C50,E50,F50,I50)</f>
        <v/>
      </c>
      <c r="B50" s="7">
        <f>CONCATENATE(C50,E50,I50)</f>
        <v/>
      </c>
      <c r="C50" s="8" t="n">
        <v>900003903</v>
      </c>
      <c r="D50" s="7">
        <f>IFERROR(VLOOKUP(C50,TRAOPE!$G:$H,2,0),"")</f>
        <v/>
      </c>
      <c r="E50" s="8" t="inlineStr">
        <is>
          <t>DW55</t>
        </is>
      </c>
      <c r="F50" s="8" t="inlineStr">
        <is>
          <t>D326</t>
        </is>
      </c>
      <c r="G50" s="8">
        <f>IFERROR(VLOOKUP(A50,Flete!$A:$E,5,0),"")</f>
        <v/>
      </c>
      <c r="H50" s="7">
        <f>IFERROR(VLOOKUP(F50,TRAOPE!$AA:$AB,2,0),"")</f>
        <v/>
      </c>
      <c r="I50" s="7" t="n">
        <v>10000834</v>
      </c>
      <c r="J50" s="7">
        <f>IFERROR(VLOOKUP(I50,Materiales!$A:$H,8,0),"")</f>
        <v/>
      </c>
      <c r="K50" s="9">
        <f>IFERROR(VLOOKUP(I50,Materiales!$A:$G,7,0),"")</f>
        <v/>
      </c>
      <c r="L50" s="8" t="inlineStr">
        <is>
          <t>20220516</t>
        </is>
      </c>
      <c r="M50" s="8" t="inlineStr">
        <is>
          <t>20240320</t>
        </is>
      </c>
      <c r="N50" s="10" t="n">
        <v>37.21</v>
      </c>
      <c r="O50" s="10">
        <f>IFERROR(VLOOKUP(A50,Flete!$A:$J,10,0),"")</f>
        <v/>
      </c>
      <c r="P50" s="8" t="inlineStr">
        <is>
          <t>TN</t>
        </is>
      </c>
      <c r="Q50" s="10">
        <f>IFERROR(IFERROR(VLOOKUP(A50,TRAOPE!$A:$U,21,0),VLOOKUP(B50,TRAOPE!$A:$U,21,0)),"")</f>
        <v/>
      </c>
      <c r="R50" s="8">
        <f>IFERROR(IFERROR(VLOOKUP(A50,TRAOPE!$A:$W,23,0),VLOOKUP(B50,TRAOPE!$A:$W,23,0)),"")</f>
        <v/>
      </c>
      <c r="S50" s="10">
        <f>IF(AND(P50="TN",R50="TN"),N50+N(O50),IF(G50&amp;""="1",N(K50)*N50,(N50+N(O50))*N(K50)))</f>
        <v/>
      </c>
      <c r="T50" s="10">
        <f>IF(Q50="","",Q50-S50)</f>
        <v/>
      </c>
    </row>
    <row r="51">
      <c r="A51" s="7">
        <f>CONCATENATE(C51,E51,F51,I51)</f>
        <v/>
      </c>
      <c r="B51" s="7">
        <f>CONCATENATE(C51,E51,I51)</f>
        <v/>
      </c>
      <c r="C51" s="8" t="n">
        <v>900003903</v>
      </c>
      <c r="D51" s="7">
        <f>IFERROR(VLOOKUP(C51,TRAOPE!$G:$H,2,0),"")</f>
        <v/>
      </c>
      <c r="E51" s="8" t="inlineStr">
        <is>
          <t>DW55</t>
        </is>
      </c>
      <c r="F51" s="8" t="inlineStr">
        <is>
          <t>D342</t>
        </is>
      </c>
      <c r="G51" s="8">
        <f>IFERROR(VLOOKUP(A51,Flete!$A:$E,5,0),"")</f>
        <v/>
      </c>
      <c r="H51" s="7">
        <f>IFERROR(VLOOKUP(F51,TRAOPE!$AA:$AB,2,0),"")</f>
        <v/>
      </c>
      <c r="I51" s="7" t="n">
        <v>10217663</v>
      </c>
      <c r="J51" s="7">
        <f>IFERROR(VLOOKUP(I51,Materiales!$A:$H,8,0),"")</f>
        <v/>
      </c>
      <c r="K51" s="9">
        <f>IFERROR(VLOOKUP(I51,Materiales!$A:$G,7,0),"")</f>
        <v/>
      </c>
      <c r="L51" s="8" t="inlineStr">
        <is>
          <t>20260701</t>
        </is>
      </c>
      <c r="M51" s="8" t="inlineStr">
        <is>
          <t>99991231</t>
        </is>
      </c>
      <c r="N51" s="10" t="n">
        <v>51.51</v>
      </c>
      <c r="O51" s="10">
        <f>IFERROR(VLOOKUP(A51,Flete!$A:$J,10,0),"")</f>
        <v/>
      </c>
      <c r="P51" s="8" t="inlineStr">
        <is>
          <t>TN</t>
        </is>
      </c>
      <c r="Q51" s="10">
        <f>IFERROR(IFERROR(VLOOKUP(A51,TRAOPE!$A:$U,21,0),VLOOKUP(B51,TRAOPE!$A:$U,21,0)),"")</f>
        <v/>
      </c>
      <c r="R51" s="8">
        <f>IFERROR(IFERROR(VLOOKUP(A51,TRAOPE!$A:$W,23,0),VLOOKUP(B51,TRAOPE!$A:$W,23,0)),"")</f>
        <v/>
      </c>
      <c r="S51" s="10">
        <f>IF(AND(P51="TN",R51="TN"),N51+N(O51),IF(G51&amp;""="1",N(K51)*N51,(N51+N(O51))*N(K51)))</f>
        <v/>
      </c>
      <c r="T51" s="10">
        <f>IF(Q51="","",Q51-S51)</f>
        <v/>
      </c>
    </row>
    <row r="52">
      <c r="A52" s="7">
        <f>CONCATENATE(C52,E52,F52,I52)</f>
        <v/>
      </c>
      <c r="B52" s="7">
        <f>CONCATENATE(C52,E52,I52)</f>
        <v/>
      </c>
      <c r="C52" s="8" t="n">
        <v>900003903</v>
      </c>
      <c r="D52" s="7">
        <f>IFERROR(VLOOKUP(C52,TRAOPE!$G:$H,2,0),"")</f>
        <v/>
      </c>
      <c r="E52" s="8" t="inlineStr">
        <is>
          <t>DW55</t>
        </is>
      </c>
      <c r="F52" s="8" t="inlineStr">
        <is>
          <t>D348</t>
        </is>
      </c>
      <c r="G52" s="8">
        <f>IFERROR(VLOOKUP(A52,Flete!$A:$E,5,0),"")</f>
        <v/>
      </c>
      <c r="H52" s="7">
        <f>IFERROR(VLOOKUP(F52,TRAOPE!$AA:$AB,2,0),"")</f>
        <v/>
      </c>
      <c r="I52" s="7" t="n">
        <v>10217663</v>
      </c>
      <c r="J52" s="7">
        <f>IFERROR(VLOOKUP(I52,Materiales!$A:$H,8,0),"")</f>
        <v/>
      </c>
      <c r="K52" s="9">
        <f>IFERROR(VLOOKUP(I52,Materiales!$A:$G,7,0),"")</f>
        <v/>
      </c>
      <c r="L52" s="8" t="inlineStr">
        <is>
          <t>20250428</t>
        </is>
      </c>
      <c r="M52" s="8" t="inlineStr">
        <is>
          <t>20251031</t>
        </is>
      </c>
      <c r="N52" s="10" t="n">
        <v>49.86</v>
      </c>
      <c r="O52" s="10">
        <f>IFERROR(VLOOKUP(A52,Flete!$A:$J,10,0),"")</f>
        <v/>
      </c>
      <c r="P52" s="8" t="inlineStr">
        <is>
          <t>TN</t>
        </is>
      </c>
      <c r="Q52" s="10">
        <f>IFERROR(IFERROR(VLOOKUP(A52,TRAOPE!$A:$U,21,0),VLOOKUP(B52,TRAOPE!$A:$U,21,0)),"")</f>
        <v/>
      </c>
      <c r="R52" s="8">
        <f>IFERROR(IFERROR(VLOOKUP(A52,TRAOPE!$A:$W,23,0),VLOOKUP(B52,TRAOPE!$A:$W,23,0)),"")</f>
        <v/>
      </c>
      <c r="S52" s="10">
        <f>IF(AND(P52="TN",R52="TN"),N52+N(O52),IF(G52&amp;""="1",N(K52)*N52,(N52+N(O52))*N(K52)))</f>
        <v/>
      </c>
      <c r="T52" s="10">
        <f>IF(Q52="","",Q52-S52)</f>
        <v/>
      </c>
    </row>
    <row r="53">
      <c r="A53" s="7">
        <f>CONCATENATE(C53,E53,F53,I53)</f>
        <v/>
      </c>
      <c r="B53" s="7">
        <f>CONCATENATE(C53,E53,I53)</f>
        <v/>
      </c>
      <c r="C53" s="8" t="n">
        <v>900003929</v>
      </c>
      <c r="D53" s="7">
        <f>IFERROR(VLOOKUP(C53,TRAOPE!$G:$H,2,0),"")</f>
        <v/>
      </c>
      <c r="E53" s="8" t="inlineStr">
        <is>
          <t>DW55</t>
        </is>
      </c>
      <c r="F53" s="8" t="inlineStr">
        <is>
          <t>D284</t>
        </is>
      </c>
      <c r="G53" s="8">
        <f>IFERROR(VLOOKUP(A53,Flete!$A:$E,5,0),"")</f>
        <v/>
      </c>
      <c r="H53" s="7">
        <f>IFERROR(VLOOKUP(F53,TRAOPE!$AA:$AB,2,0),"")</f>
        <v/>
      </c>
      <c r="I53" s="7" t="n">
        <v>10000372</v>
      </c>
      <c r="J53" s="7">
        <f>IFERROR(VLOOKUP(I53,Materiales!$A:$H,8,0),"")</f>
        <v/>
      </c>
      <c r="K53" s="9">
        <f>IFERROR(VLOOKUP(I53,Materiales!$A:$G,7,0),"")</f>
        <v/>
      </c>
      <c r="L53" s="8" t="inlineStr">
        <is>
          <t>20260312</t>
        </is>
      </c>
      <c r="M53" s="8" t="inlineStr">
        <is>
          <t>99991231</t>
        </is>
      </c>
      <c r="N53" s="10" t="n">
        <v>223.26</v>
      </c>
      <c r="O53" s="10">
        <f>IFERROR(VLOOKUP(A53,Flete!$A:$J,10,0),"")</f>
        <v/>
      </c>
      <c r="P53" s="8" t="inlineStr">
        <is>
          <t>TN</t>
        </is>
      </c>
      <c r="Q53" s="10">
        <f>IFERROR(IFERROR(VLOOKUP(A53,TRAOPE!$A:$U,21,0),VLOOKUP(B53,TRAOPE!$A:$U,21,0)),"")</f>
        <v/>
      </c>
      <c r="R53" s="8">
        <f>IFERROR(IFERROR(VLOOKUP(A53,TRAOPE!$A:$W,23,0),VLOOKUP(B53,TRAOPE!$A:$W,23,0)),"")</f>
        <v/>
      </c>
      <c r="S53" s="10">
        <f>IF(AND(P53="TN",R53="TN"),N53+N(O53),IF(G53&amp;""="1",N(K53)*N53,(N53+N(O53))*N(K53)))</f>
        <v/>
      </c>
      <c r="T53" s="10">
        <f>IF(Q53="","",Q53-S53)</f>
        <v/>
      </c>
    </row>
    <row r="54">
      <c r="A54" s="7">
        <f>CONCATENATE(C54,E54,F54,I54)</f>
        <v/>
      </c>
      <c r="B54" s="7">
        <f>CONCATENATE(C54,E54,I54)</f>
        <v/>
      </c>
      <c r="C54" s="8" t="n">
        <v>900003929</v>
      </c>
      <c r="D54" s="7">
        <f>IFERROR(VLOOKUP(C54,TRAOPE!$G:$H,2,0),"")</f>
        <v/>
      </c>
      <c r="E54" s="8" t="inlineStr">
        <is>
          <t>DW55</t>
        </is>
      </c>
      <c r="F54" s="8" t="inlineStr">
        <is>
          <t>D284</t>
        </is>
      </c>
      <c r="G54" s="8">
        <f>IFERROR(VLOOKUP(A54,Flete!$A:$E,5,0),"")</f>
        <v/>
      </c>
      <c r="H54" s="7">
        <f>IFERROR(VLOOKUP(F54,TRAOPE!$AA:$AB,2,0),"")</f>
        <v/>
      </c>
      <c r="I54" s="7" t="n">
        <v>10000373</v>
      </c>
      <c r="J54" s="7">
        <f>IFERROR(VLOOKUP(I54,Materiales!$A:$H,8,0),"")</f>
        <v/>
      </c>
      <c r="K54" s="9">
        <f>IFERROR(VLOOKUP(I54,Materiales!$A:$G,7,0),"")</f>
        <v/>
      </c>
      <c r="L54" s="8" t="inlineStr">
        <is>
          <t>20230111</t>
        </is>
      </c>
      <c r="M54" s="8" t="inlineStr">
        <is>
          <t>20230608</t>
        </is>
      </c>
      <c r="N54" s="10" t="n">
        <v>336.92</v>
      </c>
      <c r="O54" s="10">
        <f>IFERROR(VLOOKUP(A54,Flete!$A:$J,10,0),"")</f>
        <v/>
      </c>
      <c r="P54" s="8" t="inlineStr">
        <is>
          <t>TN</t>
        </is>
      </c>
      <c r="Q54" s="10">
        <f>IFERROR(IFERROR(VLOOKUP(A54,TRAOPE!$A:$U,21,0),VLOOKUP(B54,TRAOPE!$A:$U,21,0)),"")</f>
        <v/>
      </c>
      <c r="R54" s="8">
        <f>IFERROR(IFERROR(VLOOKUP(A54,TRAOPE!$A:$W,23,0),VLOOKUP(B54,TRAOPE!$A:$W,23,0)),"")</f>
        <v/>
      </c>
      <c r="S54" s="10">
        <f>IF(AND(P54="TN",R54="TN"),N54+N(O54),IF(G54&amp;""="1",N(K54)*N54,(N54+N(O54))*N(K54)))</f>
        <v/>
      </c>
      <c r="T54" s="10">
        <f>IF(Q54="","",Q54-S54)</f>
        <v/>
      </c>
    </row>
    <row r="55">
      <c r="A55" s="7">
        <f>CONCATENATE(C55,E55,F55,I55)</f>
        <v/>
      </c>
      <c r="B55" s="7">
        <f>CONCATENATE(C55,E55,I55)</f>
        <v/>
      </c>
      <c r="C55" s="8" t="n">
        <v>900003929</v>
      </c>
      <c r="D55" s="7">
        <f>IFERROR(VLOOKUP(C55,TRAOPE!$G:$H,2,0),"")</f>
        <v/>
      </c>
      <c r="E55" s="8" t="inlineStr">
        <is>
          <t>DW55</t>
        </is>
      </c>
      <c r="F55" s="8" t="inlineStr">
        <is>
          <t>D284</t>
        </is>
      </c>
      <c r="G55" s="8">
        <f>IFERROR(VLOOKUP(A55,Flete!$A:$E,5,0),"")</f>
        <v/>
      </c>
      <c r="H55" s="7">
        <f>IFERROR(VLOOKUP(F55,TRAOPE!$AA:$AB,2,0),"")</f>
        <v/>
      </c>
      <c r="I55" s="7" t="n">
        <v>10000421</v>
      </c>
      <c r="J55" s="7">
        <f>IFERROR(VLOOKUP(I55,Materiales!$A:$H,8,0),"")</f>
        <v/>
      </c>
      <c r="K55" s="9">
        <f>IFERROR(VLOOKUP(I55,Materiales!$A:$G,7,0),"")</f>
        <v/>
      </c>
      <c r="L55" s="8" t="inlineStr">
        <is>
          <t>20230111</t>
        </is>
      </c>
      <c r="M55" s="8" t="inlineStr">
        <is>
          <t>20230608</t>
        </is>
      </c>
      <c r="N55" s="10" t="n">
        <v>163.1</v>
      </c>
      <c r="O55" s="10">
        <f>IFERROR(VLOOKUP(A55,Flete!$A:$J,10,0),"")</f>
        <v/>
      </c>
      <c r="P55" s="8" t="inlineStr">
        <is>
          <t>TN</t>
        </is>
      </c>
      <c r="Q55" s="10">
        <f>IFERROR(IFERROR(VLOOKUP(A55,TRAOPE!$A:$U,21,0),VLOOKUP(B55,TRAOPE!$A:$U,21,0)),"")</f>
        <v/>
      </c>
      <c r="R55" s="8">
        <f>IFERROR(IFERROR(VLOOKUP(A55,TRAOPE!$A:$W,23,0),VLOOKUP(B55,TRAOPE!$A:$W,23,0)),"")</f>
        <v/>
      </c>
      <c r="S55" s="10">
        <f>IF(AND(P55="TN",R55="TN"),N55+N(O55),IF(G55&amp;""="1",N(K55)*N55,(N55+N(O55))*N(K55)))</f>
        <v/>
      </c>
      <c r="T55" s="10">
        <f>IF(Q55="","",Q55-S55)</f>
        <v/>
      </c>
    </row>
    <row r="56">
      <c r="A56" s="7">
        <f>CONCATENATE(C56,E56,F56,I56)</f>
        <v/>
      </c>
      <c r="B56" s="7">
        <f>CONCATENATE(C56,E56,I56)</f>
        <v/>
      </c>
      <c r="C56" s="8" t="n">
        <v>900003929</v>
      </c>
      <c r="D56" s="7">
        <f>IFERROR(VLOOKUP(C56,TRAOPE!$G:$H,2,0),"")</f>
        <v/>
      </c>
      <c r="E56" s="8" t="inlineStr">
        <is>
          <t>DW55</t>
        </is>
      </c>
      <c r="F56" s="8" t="inlineStr">
        <is>
          <t>D284</t>
        </is>
      </c>
      <c r="G56" s="8">
        <f>IFERROR(VLOOKUP(A56,Flete!$A:$E,5,0),"")</f>
        <v/>
      </c>
      <c r="H56" s="7">
        <f>IFERROR(VLOOKUP(F56,TRAOPE!$AA:$AB,2,0),"")</f>
        <v/>
      </c>
      <c r="I56" s="7" t="n">
        <v>10039672</v>
      </c>
      <c r="J56" s="7">
        <f>IFERROR(VLOOKUP(I56,Materiales!$A:$H,8,0),"")</f>
        <v/>
      </c>
      <c r="K56" s="9">
        <f>IFERROR(VLOOKUP(I56,Materiales!$A:$G,7,0),"")</f>
        <v/>
      </c>
      <c r="L56" s="8" t="inlineStr">
        <is>
          <t>20230111</t>
        </is>
      </c>
      <c r="M56" s="8" t="inlineStr">
        <is>
          <t>20230608</t>
        </is>
      </c>
      <c r="N56" s="10" t="n">
        <v>79.92</v>
      </c>
      <c r="O56" s="10">
        <f>IFERROR(VLOOKUP(A56,Flete!$A:$J,10,0),"")</f>
        <v/>
      </c>
      <c r="P56" s="8" t="inlineStr">
        <is>
          <t>TN</t>
        </is>
      </c>
      <c r="Q56" s="10">
        <f>IFERROR(IFERROR(VLOOKUP(A56,TRAOPE!$A:$U,21,0),VLOOKUP(B56,TRAOPE!$A:$U,21,0)),"")</f>
        <v/>
      </c>
      <c r="R56" s="8">
        <f>IFERROR(IFERROR(VLOOKUP(A56,TRAOPE!$A:$W,23,0),VLOOKUP(B56,TRAOPE!$A:$W,23,0)),"")</f>
        <v/>
      </c>
      <c r="S56" s="10">
        <f>IF(AND(P56="TN",R56="TN"),N56+N(O56),IF(G56&amp;""="1",N(K56)*N56,(N56+N(O56))*N(K56)))</f>
        <v/>
      </c>
      <c r="T56" s="10">
        <f>IF(Q56="","",Q56-S56)</f>
        <v/>
      </c>
    </row>
    <row r="57">
      <c r="A57" s="7">
        <f>CONCATENATE(C57,E57,F57,I57)</f>
        <v/>
      </c>
      <c r="B57" s="7">
        <f>CONCATENATE(C57,E57,I57)</f>
        <v/>
      </c>
      <c r="C57" s="8" t="n">
        <v>900003929</v>
      </c>
      <c r="D57" s="7">
        <f>IFERROR(VLOOKUP(C57,TRAOPE!$G:$H,2,0),"")</f>
        <v/>
      </c>
      <c r="E57" s="8" t="inlineStr">
        <is>
          <t>DW55</t>
        </is>
      </c>
      <c r="F57" s="8" t="inlineStr">
        <is>
          <t>D284</t>
        </is>
      </c>
      <c r="G57" s="8">
        <f>IFERROR(VLOOKUP(A57,Flete!$A:$E,5,0),"")</f>
        <v/>
      </c>
      <c r="H57" s="7">
        <f>IFERROR(VLOOKUP(F57,TRAOPE!$AA:$AB,2,0),"")</f>
        <v/>
      </c>
      <c r="I57" s="7" t="n">
        <v>10218414</v>
      </c>
      <c r="J57" s="7">
        <f>IFERROR(VLOOKUP(I57,Materiales!$A:$H,8,0),"")</f>
        <v/>
      </c>
      <c r="K57" s="9">
        <f>IFERROR(VLOOKUP(I57,Materiales!$A:$G,7,0),"")</f>
        <v/>
      </c>
      <c r="L57" s="8" t="inlineStr">
        <is>
          <t>20230111</t>
        </is>
      </c>
      <c r="M57" s="8" t="inlineStr">
        <is>
          <t>20230608</t>
        </is>
      </c>
      <c r="N57" s="10" t="n">
        <v>217.82</v>
      </c>
      <c r="O57" s="10">
        <f>IFERROR(VLOOKUP(A57,Flete!$A:$J,10,0),"")</f>
        <v/>
      </c>
      <c r="P57" s="8" t="inlineStr">
        <is>
          <t>TN</t>
        </is>
      </c>
      <c r="Q57" s="10">
        <f>IFERROR(IFERROR(VLOOKUP(A57,TRAOPE!$A:$U,21,0),VLOOKUP(B57,TRAOPE!$A:$U,21,0)),"")</f>
        <v/>
      </c>
      <c r="R57" s="8">
        <f>IFERROR(IFERROR(VLOOKUP(A57,TRAOPE!$A:$W,23,0),VLOOKUP(B57,TRAOPE!$A:$W,23,0)),"")</f>
        <v/>
      </c>
      <c r="S57" s="10">
        <f>IF(AND(P57="TN",R57="TN"),N57+N(O57),IF(G57&amp;""="1",N(K57)*N57,(N57+N(O57))*N(K57)))</f>
        <v/>
      </c>
      <c r="T57" s="10">
        <f>IF(Q57="","",Q57-S57)</f>
        <v/>
      </c>
    </row>
    <row r="58">
      <c r="A58" s="7">
        <f>CONCATENATE(C58,E58,F58,I58)</f>
        <v/>
      </c>
      <c r="B58" s="7">
        <f>CONCATENATE(C58,E58,I58)</f>
        <v/>
      </c>
      <c r="C58" s="8" t="n">
        <v>900003929</v>
      </c>
      <c r="D58" s="7">
        <f>IFERROR(VLOOKUP(C58,TRAOPE!$G:$H,2,0),"")</f>
        <v/>
      </c>
      <c r="E58" s="8" t="inlineStr">
        <is>
          <t>DW55</t>
        </is>
      </c>
      <c r="F58" s="8" t="inlineStr">
        <is>
          <t>D304</t>
        </is>
      </c>
      <c r="G58" s="8">
        <f>IFERROR(VLOOKUP(A58,Flete!$A:$E,5,0),"")</f>
        <v/>
      </c>
      <c r="H58" s="7">
        <f>IFERROR(VLOOKUP(F58,TRAOPE!$AA:$AB,2,0),"")</f>
        <v/>
      </c>
      <c r="I58" s="7" t="n">
        <v>10000372</v>
      </c>
      <c r="J58" s="7">
        <f>IFERROR(VLOOKUP(I58,Materiales!$A:$H,8,0),"")</f>
        <v/>
      </c>
      <c r="K58" s="9">
        <f>IFERROR(VLOOKUP(I58,Materiales!$A:$G,7,0),"")</f>
        <v/>
      </c>
      <c r="L58" s="8" t="inlineStr">
        <is>
          <t>20260312</t>
        </is>
      </c>
      <c r="M58" s="8" t="inlineStr">
        <is>
          <t>99991231</t>
        </is>
      </c>
      <c r="N58" s="10" t="n">
        <v>223.26</v>
      </c>
      <c r="O58" s="10">
        <f>IFERROR(VLOOKUP(A58,Flete!$A:$J,10,0),"")</f>
        <v/>
      </c>
      <c r="P58" s="8" t="inlineStr">
        <is>
          <t>TN</t>
        </is>
      </c>
      <c r="Q58" s="10">
        <f>IFERROR(IFERROR(VLOOKUP(A58,TRAOPE!$A:$U,21,0),VLOOKUP(B58,TRAOPE!$A:$U,21,0)),"")</f>
        <v/>
      </c>
      <c r="R58" s="8">
        <f>IFERROR(IFERROR(VLOOKUP(A58,TRAOPE!$A:$W,23,0),VLOOKUP(B58,TRAOPE!$A:$W,23,0)),"")</f>
        <v/>
      </c>
      <c r="S58" s="10">
        <f>IF(AND(P58="TN",R58="TN"),N58+N(O58),IF(G58&amp;""="1",N(K58)*N58,(N58+N(O58))*N(K58)))</f>
        <v/>
      </c>
      <c r="T58" s="10">
        <f>IF(Q58="","",Q58-S58)</f>
        <v/>
      </c>
    </row>
    <row r="59">
      <c r="A59" s="7">
        <f>CONCATENATE(C59,E59,F59,I59)</f>
        <v/>
      </c>
      <c r="B59" s="7">
        <f>CONCATENATE(C59,E59,I59)</f>
        <v/>
      </c>
      <c r="C59" s="8" t="n">
        <v>900003929</v>
      </c>
      <c r="D59" s="7">
        <f>IFERROR(VLOOKUP(C59,TRAOPE!$G:$H,2,0),"")</f>
        <v/>
      </c>
      <c r="E59" s="8" t="inlineStr">
        <is>
          <t>DW55</t>
        </is>
      </c>
      <c r="F59" s="8" t="inlineStr">
        <is>
          <t>D309</t>
        </is>
      </c>
      <c r="G59" s="8">
        <f>IFERROR(VLOOKUP(A59,Flete!$A:$E,5,0),"")</f>
        <v/>
      </c>
      <c r="H59" s="7">
        <f>IFERROR(VLOOKUP(F59,TRAOPE!$AA:$AB,2,0),"")</f>
        <v/>
      </c>
      <c r="I59" s="7" t="n">
        <v>10000372</v>
      </c>
      <c r="J59" s="7">
        <f>IFERROR(VLOOKUP(I59,Materiales!$A:$H,8,0),"")</f>
        <v/>
      </c>
      <c r="K59" s="9">
        <f>IFERROR(VLOOKUP(I59,Materiales!$A:$G,7,0),"")</f>
        <v/>
      </c>
      <c r="L59" s="8" t="inlineStr">
        <is>
          <t>20260312</t>
        </is>
      </c>
      <c r="M59" s="8" t="inlineStr">
        <is>
          <t>99991231</t>
        </is>
      </c>
      <c r="N59" s="10" t="n">
        <v>223.26</v>
      </c>
      <c r="O59" s="10">
        <f>IFERROR(VLOOKUP(A59,Flete!$A:$J,10,0),"")</f>
        <v/>
      </c>
      <c r="P59" s="8" t="inlineStr">
        <is>
          <t>TN</t>
        </is>
      </c>
      <c r="Q59" s="10">
        <f>IFERROR(IFERROR(VLOOKUP(A59,TRAOPE!$A:$U,21,0),VLOOKUP(B59,TRAOPE!$A:$U,21,0)),"")</f>
        <v/>
      </c>
      <c r="R59" s="8">
        <f>IFERROR(IFERROR(VLOOKUP(A59,TRAOPE!$A:$W,23,0),VLOOKUP(B59,TRAOPE!$A:$W,23,0)),"")</f>
        <v/>
      </c>
      <c r="S59" s="10">
        <f>IF(AND(P59="TN",R59="TN"),N59+N(O59),IF(G59&amp;""="1",N(K59)*N59,(N59+N(O59))*N(K59)))</f>
        <v/>
      </c>
      <c r="T59" s="10">
        <f>IF(Q59="","",Q59-S59)</f>
        <v/>
      </c>
    </row>
    <row r="60">
      <c r="A60" s="7">
        <f>CONCATENATE(C60,E60,F60,I60)</f>
        <v/>
      </c>
      <c r="B60" s="7">
        <f>CONCATENATE(C60,E60,I60)</f>
        <v/>
      </c>
      <c r="C60" s="8" t="n">
        <v>900003929</v>
      </c>
      <c r="D60" s="7">
        <f>IFERROR(VLOOKUP(C60,TRAOPE!$G:$H,2,0),"")</f>
        <v/>
      </c>
      <c r="E60" s="8" t="inlineStr">
        <is>
          <t>DW55</t>
        </is>
      </c>
      <c r="F60" s="8" t="inlineStr">
        <is>
          <t>D309</t>
        </is>
      </c>
      <c r="G60" s="8">
        <f>IFERROR(VLOOKUP(A60,Flete!$A:$E,5,0),"")</f>
        <v/>
      </c>
      <c r="H60" s="7">
        <f>IFERROR(VLOOKUP(F60,TRAOPE!$AA:$AB,2,0),"")</f>
        <v/>
      </c>
      <c r="I60" s="7" t="n">
        <v>10000373</v>
      </c>
      <c r="J60" s="7">
        <f>IFERROR(VLOOKUP(I60,Materiales!$A:$H,8,0),"")</f>
        <v/>
      </c>
      <c r="K60" s="9">
        <f>IFERROR(VLOOKUP(I60,Materiales!$A:$G,7,0),"")</f>
        <v/>
      </c>
      <c r="L60" s="8" t="inlineStr">
        <is>
          <t>20230111</t>
        </is>
      </c>
      <c r="M60" s="8" t="inlineStr">
        <is>
          <t>20230608</t>
        </is>
      </c>
      <c r="N60" s="10" t="n">
        <v>336.92</v>
      </c>
      <c r="O60" s="10">
        <f>IFERROR(VLOOKUP(A60,Flete!$A:$J,10,0),"")</f>
        <v/>
      </c>
      <c r="P60" s="8" t="inlineStr">
        <is>
          <t>TN</t>
        </is>
      </c>
      <c r="Q60" s="10">
        <f>IFERROR(IFERROR(VLOOKUP(A60,TRAOPE!$A:$U,21,0),VLOOKUP(B60,TRAOPE!$A:$U,21,0)),"")</f>
        <v/>
      </c>
      <c r="R60" s="8">
        <f>IFERROR(IFERROR(VLOOKUP(A60,TRAOPE!$A:$W,23,0),VLOOKUP(B60,TRAOPE!$A:$W,23,0)),"")</f>
        <v/>
      </c>
      <c r="S60" s="10">
        <f>IF(AND(P60="TN",R60="TN"),N60+N(O60),IF(G60&amp;""="1",N(K60)*N60,(N60+N(O60))*N(K60)))</f>
        <v/>
      </c>
      <c r="T60" s="10">
        <f>IF(Q60="","",Q60-S60)</f>
        <v/>
      </c>
    </row>
    <row r="61">
      <c r="A61" s="7">
        <f>CONCATENATE(C61,E61,F61,I61)</f>
        <v/>
      </c>
      <c r="B61" s="7">
        <f>CONCATENATE(C61,E61,I61)</f>
        <v/>
      </c>
      <c r="C61" s="8" t="n">
        <v>900003929</v>
      </c>
      <c r="D61" s="7">
        <f>IFERROR(VLOOKUP(C61,TRAOPE!$G:$H,2,0),"")</f>
        <v/>
      </c>
      <c r="E61" s="8" t="inlineStr">
        <is>
          <t>DW55</t>
        </is>
      </c>
      <c r="F61" s="8" t="inlineStr">
        <is>
          <t>D309</t>
        </is>
      </c>
      <c r="G61" s="8">
        <f>IFERROR(VLOOKUP(A61,Flete!$A:$E,5,0),"")</f>
        <v/>
      </c>
      <c r="H61" s="7">
        <f>IFERROR(VLOOKUP(F61,TRAOPE!$AA:$AB,2,0),"")</f>
        <v/>
      </c>
      <c r="I61" s="7" t="n">
        <v>10000421</v>
      </c>
      <c r="J61" s="7">
        <f>IFERROR(VLOOKUP(I61,Materiales!$A:$H,8,0),"")</f>
        <v/>
      </c>
      <c r="K61" s="9">
        <f>IFERROR(VLOOKUP(I61,Materiales!$A:$G,7,0),"")</f>
        <v/>
      </c>
      <c r="L61" s="8" t="inlineStr">
        <is>
          <t>20230111</t>
        </is>
      </c>
      <c r="M61" s="8" t="inlineStr">
        <is>
          <t>20230608</t>
        </is>
      </c>
      <c r="N61" s="10" t="n">
        <v>163.1</v>
      </c>
      <c r="O61" s="10">
        <f>IFERROR(VLOOKUP(A61,Flete!$A:$J,10,0),"")</f>
        <v/>
      </c>
      <c r="P61" s="8" t="inlineStr">
        <is>
          <t>TN</t>
        </is>
      </c>
      <c r="Q61" s="10">
        <f>IFERROR(IFERROR(VLOOKUP(A61,TRAOPE!$A:$U,21,0),VLOOKUP(B61,TRAOPE!$A:$U,21,0)),"")</f>
        <v/>
      </c>
      <c r="R61" s="8">
        <f>IFERROR(IFERROR(VLOOKUP(A61,TRAOPE!$A:$W,23,0),VLOOKUP(B61,TRAOPE!$A:$W,23,0)),"")</f>
        <v/>
      </c>
      <c r="S61" s="10">
        <f>IF(AND(P61="TN",R61="TN"),N61+N(O61),IF(G61&amp;""="1",N(K61)*N61,(N61+N(O61))*N(K61)))</f>
        <v/>
      </c>
      <c r="T61" s="10">
        <f>IF(Q61="","",Q61-S61)</f>
        <v/>
      </c>
    </row>
    <row r="62">
      <c r="A62" s="7">
        <f>CONCATENATE(C62,E62,F62,I62)</f>
        <v/>
      </c>
      <c r="B62" s="7">
        <f>CONCATENATE(C62,E62,I62)</f>
        <v/>
      </c>
      <c r="C62" s="8" t="n">
        <v>900003929</v>
      </c>
      <c r="D62" s="7">
        <f>IFERROR(VLOOKUP(C62,TRAOPE!$G:$H,2,0),"")</f>
        <v/>
      </c>
      <c r="E62" s="8" t="inlineStr">
        <is>
          <t>DW55</t>
        </is>
      </c>
      <c r="F62" s="8" t="inlineStr">
        <is>
          <t>D309</t>
        </is>
      </c>
      <c r="G62" s="8">
        <f>IFERROR(VLOOKUP(A62,Flete!$A:$E,5,0),"")</f>
        <v/>
      </c>
      <c r="H62" s="7">
        <f>IFERROR(VLOOKUP(F62,TRAOPE!$AA:$AB,2,0),"")</f>
        <v/>
      </c>
      <c r="I62" s="7" t="n">
        <v>10039672</v>
      </c>
      <c r="J62" s="7">
        <f>IFERROR(VLOOKUP(I62,Materiales!$A:$H,8,0),"")</f>
        <v/>
      </c>
      <c r="K62" s="9">
        <f>IFERROR(VLOOKUP(I62,Materiales!$A:$G,7,0),"")</f>
        <v/>
      </c>
      <c r="L62" s="8" t="inlineStr">
        <is>
          <t>20230111</t>
        </is>
      </c>
      <c r="M62" s="8" t="inlineStr">
        <is>
          <t>20230608</t>
        </is>
      </c>
      <c r="N62" s="10" t="n">
        <v>79.92</v>
      </c>
      <c r="O62" s="10">
        <f>IFERROR(VLOOKUP(A62,Flete!$A:$J,10,0),"")</f>
        <v/>
      </c>
      <c r="P62" s="8" t="inlineStr">
        <is>
          <t>TN</t>
        </is>
      </c>
      <c r="Q62" s="10">
        <f>IFERROR(IFERROR(VLOOKUP(A62,TRAOPE!$A:$U,21,0),VLOOKUP(B62,TRAOPE!$A:$U,21,0)),"")</f>
        <v/>
      </c>
      <c r="R62" s="8">
        <f>IFERROR(IFERROR(VLOOKUP(A62,TRAOPE!$A:$W,23,0),VLOOKUP(B62,TRAOPE!$A:$W,23,0)),"")</f>
        <v/>
      </c>
      <c r="S62" s="10">
        <f>IF(AND(P62="TN",R62="TN"),N62+N(O62),IF(G62&amp;""="1",N(K62)*N62,(N62+N(O62))*N(K62)))</f>
        <v/>
      </c>
      <c r="T62" s="10">
        <f>IF(Q62="","",Q62-S62)</f>
        <v/>
      </c>
    </row>
    <row r="63">
      <c r="A63" s="7">
        <f>CONCATENATE(C63,E63,F63,I63)</f>
        <v/>
      </c>
      <c r="B63" s="7">
        <f>CONCATENATE(C63,E63,I63)</f>
        <v/>
      </c>
      <c r="C63" s="8" t="n">
        <v>900003929</v>
      </c>
      <c r="D63" s="7">
        <f>IFERROR(VLOOKUP(C63,TRAOPE!$G:$H,2,0),"")</f>
        <v/>
      </c>
      <c r="E63" s="8" t="inlineStr">
        <is>
          <t>DW55</t>
        </is>
      </c>
      <c r="F63" s="8" t="inlineStr">
        <is>
          <t>D309</t>
        </is>
      </c>
      <c r="G63" s="8">
        <f>IFERROR(VLOOKUP(A63,Flete!$A:$E,5,0),"")</f>
        <v/>
      </c>
      <c r="H63" s="7">
        <f>IFERROR(VLOOKUP(F63,TRAOPE!$AA:$AB,2,0),"")</f>
        <v/>
      </c>
      <c r="I63" s="7" t="n">
        <v>10218414</v>
      </c>
      <c r="J63" s="7">
        <f>IFERROR(VLOOKUP(I63,Materiales!$A:$H,8,0),"")</f>
        <v/>
      </c>
      <c r="K63" s="9">
        <f>IFERROR(VLOOKUP(I63,Materiales!$A:$G,7,0),"")</f>
        <v/>
      </c>
      <c r="L63" s="8" t="inlineStr">
        <is>
          <t>20230111</t>
        </is>
      </c>
      <c r="M63" s="8" t="inlineStr">
        <is>
          <t>20230608</t>
        </is>
      </c>
      <c r="N63" s="10" t="n">
        <v>217.82</v>
      </c>
      <c r="O63" s="10">
        <f>IFERROR(VLOOKUP(A63,Flete!$A:$J,10,0),"")</f>
        <v/>
      </c>
      <c r="P63" s="8" t="inlineStr">
        <is>
          <t>TN</t>
        </is>
      </c>
      <c r="Q63" s="10">
        <f>IFERROR(IFERROR(VLOOKUP(A63,TRAOPE!$A:$U,21,0),VLOOKUP(B63,TRAOPE!$A:$U,21,0)),"")</f>
        <v/>
      </c>
      <c r="R63" s="8">
        <f>IFERROR(IFERROR(VLOOKUP(A63,TRAOPE!$A:$W,23,0),VLOOKUP(B63,TRAOPE!$A:$W,23,0)),"")</f>
        <v/>
      </c>
      <c r="S63" s="10">
        <f>IF(AND(P63="TN",R63="TN"),N63+N(O63),IF(G63&amp;""="1",N(K63)*N63,(N63+N(O63))*N(K63)))</f>
        <v/>
      </c>
      <c r="T63" s="10">
        <f>IF(Q63="","",Q63-S63)</f>
        <v/>
      </c>
    </row>
    <row r="64">
      <c r="A64" s="7">
        <f>CONCATENATE(C64,E64,F64,I64)</f>
        <v/>
      </c>
      <c r="B64" s="7">
        <f>CONCATENATE(C64,E64,I64)</f>
        <v/>
      </c>
      <c r="C64" s="8" t="n">
        <v>900003929</v>
      </c>
      <c r="D64" s="7">
        <f>IFERROR(VLOOKUP(C64,TRAOPE!$G:$H,2,0),"")</f>
        <v/>
      </c>
      <c r="E64" s="8" t="inlineStr">
        <is>
          <t>DW55</t>
        </is>
      </c>
      <c r="F64" s="8" t="inlineStr">
        <is>
          <t>D315</t>
        </is>
      </c>
      <c r="G64" s="8">
        <f>IFERROR(VLOOKUP(A64,Flete!$A:$E,5,0),"")</f>
        <v/>
      </c>
      <c r="H64" s="7">
        <f>IFERROR(VLOOKUP(F64,TRAOPE!$AA:$AB,2,0),"")</f>
        <v/>
      </c>
      <c r="I64" s="7" t="n">
        <v>10000372</v>
      </c>
      <c r="J64" s="7">
        <f>IFERROR(VLOOKUP(I64,Materiales!$A:$H,8,0),"")</f>
        <v/>
      </c>
      <c r="K64" s="9">
        <f>IFERROR(VLOOKUP(I64,Materiales!$A:$G,7,0),"")</f>
        <v/>
      </c>
      <c r="L64" s="8" t="inlineStr">
        <is>
          <t>20230111</t>
        </is>
      </c>
      <c r="M64" s="8" t="inlineStr">
        <is>
          <t>20230608</t>
        </is>
      </c>
      <c r="N64" s="10" t="n">
        <v>149.12</v>
      </c>
      <c r="O64" s="10">
        <f>IFERROR(VLOOKUP(A64,Flete!$A:$J,10,0),"")</f>
        <v/>
      </c>
      <c r="P64" s="8" t="inlineStr">
        <is>
          <t>TN</t>
        </is>
      </c>
      <c r="Q64" s="10">
        <f>IFERROR(IFERROR(VLOOKUP(A64,TRAOPE!$A:$U,21,0),VLOOKUP(B64,TRAOPE!$A:$U,21,0)),"")</f>
        <v/>
      </c>
      <c r="R64" s="8">
        <f>IFERROR(IFERROR(VLOOKUP(A64,TRAOPE!$A:$W,23,0),VLOOKUP(B64,TRAOPE!$A:$W,23,0)),"")</f>
        <v/>
      </c>
      <c r="S64" s="10">
        <f>IF(AND(P64="TN",R64="TN"),N64+N(O64),IF(G64&amp;""="1",N(K64)*N64,(N64+N(O64))*N(K64)))</f>
        <v/>
      </c>
      <c r="T64" s="10">
        <f>IF(Q64="","",Q64-S64)</f>
        <v/>
      </c>
    </row>
    <row r="65">
      <c r="A65" s="7">
        <f>CONCATENATE(C65,E65,F65,I65)</f>
        <v/>
      </c>
      <c r="B65" s="7">
        <f>CONCATENATE(C65,E65,I65)</f>
        <v/>
      </c>
      <c r="C65" s="8" t="n">
        <v>900003929</v>
      </c>
      <c r="D65" s="7">
        <f>IFERROR(VLOOKUP(C65,TRAOPE!$G:$H,2,0),"")</f>
        <v/>
      </c>
      <c r="E65" s="8" t="inlineStr">
        <is>
          <t>DW55</t>
        </is>
      </c>
      <c r="F65" s="8" t="inlineStr">
        <is>
          <t>D315</t>
        </is>
      </c>
      <c r="G65" s="8">
        <f>IFERROR(VLOOKUP(A65,Flete!$A:$E,5,0),"")</f>
        <v/>
      </c>
      <c r="H65" s="7">
        <f>IFERROR(VLOOKUP(F65,TRAOPE!$AA:$AB,2,0),"")</f>
        <v/>
      </c>
      <c r="I65" s="7" t="n">
        <v>10000373</v>
      </c>
      <c r="J65" s="7">
        <f>IFERROR(VLOOKUP(I65,Materiales!$A:$H,8,0),"")</f>
        <v/>
      </c>
      <c r="K65" s="9">
        <f>IFERROR(VLOOKUP(I65,Materiales!$A:$G,7,0),"")</f>
        <v/>
      </c>
      <c r="L65" s="8" t="inlineStr">
        <is>
          <t>20230111</t>
        </is>
      </c>
      <c r="M65" s="8" t="inlineStr">
        <is>
          <t>20230608</t>
        </is>
      </c>
      <c r="N65" s="10" t="n">
        <v>185.29</v>
      </c>
      <c r="O65" s="10">
        <f>IFERROR(VLOOKUP(A65,Flete!$A:$J,10,0),"")</f>
        <v/>
      </c>
      <c r="P65" s="8" t="inlineStr">
        <is>
          <t>TN</t>
        </is>
      </c>
      <c r="Q65" s="10">
        <f>IFERROR(IFERROR(VLOOKUP(A65,TRAOPE!$A:$U,21,0),VLOOKUP(B65,TRAOPE!$A:$U,21,0)),"")</f>
        <v/>
      </c>
      <c r="R65" s="8">
        <f>IFERROR(IFERROR(VLOOKUP(A65,TRAOPE!$A:$W,23,0),VLOOKUP(B65,TRAOPE!$A:$W,23,0)),"")</f>
        <v/>
      </c>
      <c r="S65" s="10">
        <f>IF(AND(P65="TN",R65="TN"),N65+N(O65),IF(G65&amp;""="1",N(K65)*N65,(N65+N(O65))*N(K65)))</f>
        <v/>
      </c>
      <c r="T65" s="10">
        <f>IF(Q65="","",Q65-S65)</f>
        <v/>
      </c>
    </row>
    <row r="66">
      <c r="A66" s="7">
        <f>CONCATENATE(C66,E66,F66,I66)</f>
        <v/>
      </c>
      <c r="B66" s="7">
        <f>CONCATENATE(C66,E66,I66)</f>
        <v/>
      </c>
      <c r="C66" s="8" t="n">
        <v>900003929</v>
      </c>
      <c r="D66" s="7">
        <f>IFERROR(VLOOKUP(C66,TRAOPE!$G:$H,2,0),"")</f>
        <v/>
      </c>
      <c r="E66" s="8" t="inlineStr">
        <is>
          <t>DW55</t>
        </is>
      </c>
      <c r="F66" s="8" t="inlineStr">
        <is>
          <t>D315</t>
        </is>
      </c>
      <c r="G66" s="8">
        <f>IFERROR(VLOOKUP(A66,Flete!$A:$E,5,0),"")</f>
        <v/>
      </c>
      <c r="H66" s="7">
        <f>IFERROR(VLOOKUP(F66,TRAOPE!$AA:$AB,2,0),"")</f>
        <v/>
      </c>
      <c r="I66" s="7" t="n">
        <v>10000421</v>
      </c>
      <c r="J66" s="7">
        <f>IFERROR(VLOOKUP(I66,Materiales!$A:$H,8,0),"")</f>
        <v/>
      </c>
      <c r="K66" s="9">
        <f>IFERROR(VLOOKUP(I66,Materiales!$A:$G,7,0),"")</f>
        <v/>
      </c>
      <c r="L66" s="8" t="inlineStr">
        <is>
          <t>20230111</t>
        </is>
      </c>
      <c r="M66" s="8" t="inlineStr">
        <is>
          <t>20230608</t>
        </is>
      </c>
      <c r="N66" s="10" t="n">
        <v>137.22</v>
      </c>
      <c r="O66" s="10">
        <f>IFERROR(VLOOKUP(A66,Flete!$A:$J,10,0),"")</f>
        <v/>
      </c>
      <c r="P66" s="8" t="inlineStr">
        <is>
          <t>TN</t>
        </is>
      </c>
      <c r="Q66" s="10">
        <f>IFERROR(IFERROR(VLOOKUP(A66,TRAOPE!$A:$U,21,0),VLOOKUP(B66,TRAOPE!$A:$U,21,0)),"")</f>
        <v/>
      </c>
      <c r="R66" s="8">
        <f>IFERROR(IFERROR(VLOOKUP(A66,TRAOPE!$A:$W,23,0),VLOOKUP(B66,TRAOPE!$A:$W,23,0)),"")</f>
        <v/>
      </c>
      <c r="S66" s="10">
        <f>IF(AND(P66="TN",R66="TN"),N66+N(O66),IF(G66&amp;""="1",N(K66)*N66,(N66+N(O66))*N(K66)))</f>
        <v/>
      </c>
      <c r="T66" s="10">
        <f>IF(Q66="","",Q66-S66)</f>
        <v/>
      </c>
    </row>
    <row r="67">
      <c r="A67" s="7">
        <f>CONCATENATE(C67,E67,F67,I67)</f>
        <v/>
      </c>
      <c r="B67" s="7">
        <f>CONCATENATE(C67,E67,I67)</f>
        <v/>
      </c>
      <c r="C67" s="8" t="n">
        <v>900003929</v>
      </c>
      <c r="D67" s="7">
        <f>IFERROR(VLOOKUP(C67,TRAOPE!$G:$H,2,0),"")</f>
        <v/>
      </c>
      <c r="E67" s="8" t="inlineStr">
        <is>
          <t>DW55</t>
        </is>
      </c>
      <c r="F67" s="8" t="inlineStr">
        <is>
          <t>D315</t>
        </is>
      </c>
      <c r="G67" s="8">
        <f>IFERROR(VLOOKUP(A67,Flete!$A:$E,5,0),"")</f>
        <v/>
      </c>
      <c r="H67" s="7">
        <f>IFERROR(VLOOKUP(F67,TRAOPE!$AA:$AB,2,0),"")</f>
        <v/>
      </c>
      <c r="I67" s="7" t="n">
        <v>10039672</v>
      </c>
      <c r="J67" s="7">
        <f>IFERROR(VLOOKUP(I67,Materiales!$A:$H,8,0),"")</f>
        <v/>
      </c>
      <c r="K67" s="9">
        <f>IFERROR(VLOOKUP(I67,Materiales!$A:$G,7,0),"")</f>
        <v/>
      </c>
      <c r="L67" s="8" t="inlineStr">
        <is>
          <t>20230111</t>
        </is>
      </c>
      <c r="M67" s="8" t="inlineStr">
        <is>
          <t>20230608</t>
        </is>
      </c>
      <c r="N67" s="10" t="n">
        <v>79.92</v>
      </c>
      <c r="O67" s="10">
        <f>IFERROR(VLOOKUP(A67,Flete!$A:$J,10,0),"")</f>
        <v/>
      </c>
      <c r="P67" s="8" t="inlineStr">
        <is>
          <t>TN</t>
        </is>
      </c>
      <c r="Q67" s="10">
        <f>IFERROR(IFERROR(VLOOKUP(A67,TRAOPE!$A:$U,21,0),VLOOKUP(B67,TRAOPE!$A:$U,21,0)),"")</f>
        <v/>
      </c>
      <c r="R67" s="8">
        <f>IFERROR(IFERROR(VLOOKUP(A67,TRAOPE!$A:$W,23,0),VLOOKUP(B67,TRAOPE!$A:$W,23,0)),"")</f>
        <v/>
      </c>
      <c r="S67" s="10">
        <f>IF(AND(P67="TN",R67="TN"),N67+N(O67),IF(G67&amp;""="1",N(K67)*N67,(N67+N(O67))*N(K67)))</f>
        <v/>
      </c>
      <c r="T67" s="10">
        <f>IF(Q67="","",Q67-S67)</f>
        <v/>
      </c>
    </row>
    <row r="68">
      <c r="A68" s="7">
        <f>CONCATENATE(C68,E68,F68,I68)</f>
        <v/>
      </c>
      <c r="B68" s="7">
        <f>CONCATENATE(C68,E68,I68)</f>
        <v/>
      </c>
      <c r="C68" s="8" t="n">
        <v>900003929</v>
      </c>
      <c r="D68" s="7">
        <f>IFERROR(VLOOKUP(C68,TRAOPE!$G:$H,2,0),"")</f>
        <v/>
      </c>
      <c r="E68" s="8" t="inlineStr">
        <is>
          <t>DW55</t>
        </is>
      </c>
      <c r="F68" s="8" t="inlineStr">
        <is>
          <t>D325</t>
        </is>
      </c>
      <c r="G68" s="8">
        <f>IFERROR(VLOOKUP(A68,Flete!$A:$E,5,0),"")</f>
        <v/>
      </c>
      <c r="H68" s="7">
        <f>IFERROR(VLOOKUP(F68,TRAOPE!$AA:$AB,2,0),"")</f>
        <v/>
      </c>
      <c r="I68" s="7" t="n">
        <v>10000373</v>
      </c>
      <c r="J68" s="7">
        <f>IFERROR(VLOOKUP(I68,Materiales!$A:$H,8,0),"")</f>
        <v/>
      </c>
      <c r="K68" s="9">
        <f>IFERROR(VLOOKUP(I68,Materiales!$A:$G,7,0),"")</f>
        <v/>
      </c>
      <c r="L68" s="8" t="inlineStr">
        <is>
          <t>20230111</t>
        </is>
      </c>
      <c r="M68" s="8" t="inlineStr">
        <is>
          <t>20230608</t>
        </is>
      </c>
      <c r="N68" s="10" t="n">
        <v>336.92</v>
      </c>
      <c r="O68" s="10">
        <f>IFERROR(VLOOKUP(A68,Flete!$A:$J,10,0),"")</f>
        <v/>
      </c>
      <c r="P68" s="8" t="inlineStr">
        <is>
          <t>TN</t>
        </is>
      </c>
      <c r="Q68" s="10">
        <f>IFERROR(IFERROR(VLOOKUP(A68,TRAOPE!$A:$U,21,0),VLOOKUP(B68,TRAOPE!$A:$U,21,0)),"")</f>
        <v/>
      </c>
      <c r="R68" s="8">
        <f>IFERROR(IFERROR(VLOOKUP(A68,TRAOPE!$A:$W,23,0),VLOOKUP(B68,TRAOPE!$A:$W,23,0)),"")</f>
        <v/>
      </c>
      <c r="S68" s="10">
        <f>IF(AND(P68="TN",R68="TN"),N68+N(O68),IF(G68&amp;""="1",N(K68)*N68,(N68+N(O68))*N(K68)))</f>
        <v/>
      </c>
      <c r="T68" s="10">
        <f>IF(Q68="","",Q68-S68)</f>
        <v/>
      </c>
    </row>
    <row r="69">
      <c r="A69" s="7">
        <f>CONCATENATE(C69,E69,F69,I69)</f>
        <v/>
      </c>
      <c r="B69" s="7">
        <f>CONCATENATE(C69,E69,I69)</f>
        <v/>
      </c>
      <c r="C69" s="8" t="n">
        <v>900003929</v>
      </c>
      <c r="D69" s="7">
        <f>IFERROR(VLOOKUP(C69,TRAOPE!$G:$H,2,0),"")</f>
        <v/>
      </c>
      <c r="E69" s="8" t="inlineStr">
        <is>
          <t>DW55</t>
        </is>
      </c>
      <c r="F69" s="8" t="inlineStr">
        <is>
          <t>D326</t>
        </is>
      </c>
      <c r="G69" s="8">
        <f>IFERROR(VLOOKUP(A69,Flete!$A:$E,5,0),"")</f>
        <v/>
      </c>
      <c r="H69" s="7">
        <f>IFERROR(VLOOKUP(F69,TRAOPE!$AA:$AB,2,0),"")</f>
        <v/>
      </c>
      <c r="I69" s="7" t="n">
        <v>10000372</v>
      </c>
      <c r="J69" s="7">
        <f>IFERROR(VLOOKUP(I69,Materiales!$A:$H,8,0),"")</f>
        <v/>
      </c>
      <c r="K69" s="9">
        <f>IFERROR(VLOOKUP(I69,Materiales!$A:$G,7,0),"")</f>
        <v/>
      </c>
      <c r="L69" s="8" t="inlineStr">
        <is>
          <t>20230111</t>
        </is>
      </c>
      <c r="M69" s="8" t="inlineStr">
        <is>
          <t>20230608</t>
        </is>
      </c>
      <c r="N69" s="10" t="n">
        <v>151.82</v>
      </c>
      <c r="O69" s="10">
        <f>IFERROR(VLOOKUP(A69,Flete!$A:$J,10,0),"")</f>
        <v/>
      </c>
      <c r="P69" s="8" t="inlineStr">
        <is>
          <t>TN</t>
        </is>
      </c>
      <c r="Q69" s="10">
        <f>IFERROR(IFERROR(VLOOKUP(A69,TRAOPE!$A:$U,21,0),VLOOKUP(B69,TRAOPE!$A:$U,21,0)),"")</f>
        <v/>
      </c>
      <c r="R69" s="8">
        <f>IFERROR(IFERROR(VLOOKUP(A69,TRAOPE!$A:$W,23,0),VLOOKUP(B69,TRAOPE!$A:$W,23,0)),"")</f>
        <v/>
      </c>
      <c r="S69" s="10">
        <f>IF(AND(P69="TN",R69="TN"),N69+N(O69),IF(G69&amp;""="1",N(K69)*N69,(N69+N(O69))*N(K69)))</f>
        <v/>
      </c>
      <c r="T69" s="10">
        <f>IF(Q69="","",Q69-S69)</f>
        <v/>
      </c>
    </row>
    <row r="70">
      <c r="A70" s="7">
        <f>CONCATENATE(C70,E70,F70,I70)</f>
        <v/>
      </c>
      <c r="B70" s="7">
        <f>CONCATENATE(C70,E70,I70)</f>
        <v/>
      </c>
      <c r="C70" s="8" t="n">
        <v>900003929</v>
      </c>
      <c r="D70" s="7">
        <f>IFERROR(VLOOKUP(C70,TRAOPE!$G:$H,2,0),"")</f>
        <v/>
      </c>
      <c r="E70" s="8" t="inlineStr">
        <is>
          <t>DW55</t>
        </is>
      </c>
      <c r="F70" s="8" t="inlineStr">
        <is>
          <t>D326</t>
        </is>
      </c>
      <c r="G70" s="8">
        <f>IFERROR(VLOOKUP(A70,Flete!$A:$E,5,0),"")</f>
        <v/>
      </c>
      <c r="H70" s="7">
        <f>IFERROR(VLOOKUP(F70,TRAOPE!$AA:$AB,2,0),"")</f>
        <v/>
      </c>
      <c r="I70" s="7" t="n">
        <v>10000373</v>
      </c>
      <c r="J70" s="7">
        <f>IFERROR(VLOOKUP(I70,Materiales!$A:$H,8,0),"")</f>
        <v/>
      </c>
      <c r="K70" s="9">
        <f>IFERROR(VLOOKUP(I70,Materiales!$A:$G,7,0),"")</f>
        <v/>
      </c>
      <c r="L70" s="8" t="inlineStr">
        <is>
          <t>20230111</t>
        </is>
      </c>
      <c r="M70" s="8" t="inlineStr">
        <is>
          <t>20230608</t>
        </is>
      </c>
      <c r="N70" s="10" t="n">
        <v>188.09</v>
      </c>
      <c r="O70" s="10">
        <f>IFERROR(VLOOKUP(A70,Flete!$A:$J,10,0),"")</f>
        <v/>
      </c>
      <c r="P70" s="8" t="inlineStr">
        <is>
          <t>TN</t>
        </is>
      </c>
      <c r="Q70" s="10">
        <f>IFERROR(IFERROR(VLOOKUP(A70,TRAOPE!$A:$U,21,0),VLOOKUP(B70,TRAOPE!$A:$U,21,0)),"")</f>
        <v/>
      </c>
      <c r="R70" s="8">
        <f>IFERROR(IFERROR(VLOOKUP(A70,TRAOPE!$A:$W,23,0),VLOOKUP(B70,TRAOPE!$A:$W,23,0)),"")</f>
        <v/>
      </c>
      <c r="S70" s="10">
        <f>IF(AND(P70="TN",R70="TN"),N70+N(O70),IF(G70&amp;""="1",N(K70)*N70,(N70+N(O70))*N(K70)))</f>
        <v/>
      </c>
      <c r="T70" s="10">
        <f>IF(Q70="","",Q70-S70)</f>
        <v/>
      </c>
    </row>
    <row r="71">
      <c r="A71" s="7">
        <f>CONCATENATE(C71,E71,F71,I71)</f>
        <v/>
      </c>
      <c r="B71" s="7">
        <f>CONCATENATE(C71,E71,I71)</f>
        <v/>
      </c>
      <c r="C71" s="8" t="n">
        <v>900003929</v>
      </c>
      <c r="D71" s="7">
        <f>IFERROR(VLOOKUP(C71,TRAOPE!$G:$H,2,0),"")</f>
        <v/>
      </c>
      <c r="E71" s="8" t="inlineStr">
        <is>
          <t>DW55</t>
        </is>
      </c>
      <c r="F71" s="8" t="inlineStr">
        <is>
          <t>D326</t>
        </is>
      </c>
      <c r="G71" s="8">
        <f>IFERROR(VLOOKUP(A71,Flete!$A:$E,5,0),"")</f>
        <v/>
      </c>
      <c r="H71" s="7">
        <f>IFERROR(VLOOKUP(F71,TRAOPE!$AA:$AB,2,0),"")</f>
        <v/>
      </c>
      <c r="I71" s="7" t="n">
        <v>10000421</v>
      </c>
      <c r="J71" s="7">
        <f>IFERROR(VLOOKUP(I71,Materiales!$A:$H,8,0),"")</f>
        <v/>
      </c>
      <c r="K71" s="9">
        <f>IFERROR(VLOOKUP(I71,Materiales!$A:$G,7,0),"")</f>
        <v/>
      </c>
      <c r="L71" s="8" t="inlineStr">
        <is>
          <t>20230111</t>
        </is>
      </c>
      <c r="M71" s="8" t="inlineStr">
        <is>
          <t>20230608</t>
        </is>
      </c>
      <c r="N71" s="10" t="n">
        <v>139.84</v>
      </c>
      <c r="O71" s="10">
        <f>IFERROR(VLOOKUP(A71,Flete!$A:$J,10,0),"")</f>
        <v/>
      </c>
      <c r="P71" s="8" t="inlineStr">
        <is>
          <t>TN</t>
        </is>
      </c>
      <c r="Q71" s="10">
        <f>IFERROR(IFERROR(VLOOKUP(A71,TRAOPE!$A:$U,21,0),VLOOKUP(B71,TRAOPE!$A:$U,21,0)),"")</f>
        <v/>
      </c>
      <c r="R71" s="8">
        <f>IFERROR(IFERROR(VLOOKUP(A71,TRAOPE!$A:$W,23,0),VLOOKUP(B71,TRAOPE!$A:$W,23,0)),"")</f>
        <v/>
      </c>
      <c r="S71" s="10">
        <f>IF(AND(P71="TN",R71="TN"),N71+N(O71),IF(G71&amp;""="1",N(K71)*N71,(N71+N(O71))*N(K71)))</f>
        <v/>
      </c>
      <c r="T71" s="10">
        <f>IF(Q71="","",Q71-S71)</f>
        <v/>
      </c>
    </row>
    <row r="72">
      <c r="A72" s="7">
        <f>CONCATENATE(C72,E72,F72,I72)</f>
        <v/>
      </c>
      <c r="B72" s="7">
        <f>CONCATENATE(C72,E72,I72)</f>
        <v/>
      </c>
      <c r="C72" s="8" t="n">
        <v>900003929</v>
      </c>
      <c r="D72" s="7">
        <f>IFERROR(VLOOKUP(C72,TRAOPE!$G:$H,2,0),"")</f>
        <v/>
      </c>
      <c r="E72" s="8" t="inlineStr">
        <is>
          <t>DW55</t>
        </is>
      </c>
      <c r="F72" s="8" t="inlineStr">
        <is>
          <t>D326</t>
        </is>
      </c>
      <c r="G72" s="8">
        <f>IFERROR(VLOOKUP(A72,Flete!$A:$E,5,0),"")</f>
        <v/>
      </c>
      <c r="H72" s="7">
        <f>IFERROR(VLOOKUP(F72,TRAOPE!$AA:$AB,2,0),"")</f>
        <v/>
      </c>
      <c r="I72" s="7" t="n">
        <v>10039672</v>
      </c>
      <c r="J72" s="7">
        <f>IFERROR(VLOOKUP(I72,Materiales!$A:$H,8,0),"")</f>
        <v/>
      </c>
      <c r="K72" s="9">
        <f>IFERROR(VLOOKUP(I72,Materiales!$A:$G,7,0),"")</f>
        <v/>
      </c>
      <c r="L72" s="8" t="inlineStr">
        <is>
          <t>20230111</t>
        </is>
      </c>
      <c r="M72" s="8" t="inlineStr">
        <is>
          <t>20230608</t>
        </is>
      </c>
      <c r="N72" s="10" t="n">
        <v>79.92</v>
      </c>
      <c r="O72" s="10">
        <f>IFERROR(VLOOKUP(A72,Flete!$A:$J,10,0),"")</f>
        <v/>
      </c>
      <c r="P72" s="8" t="inlineStr">
        <is>
          <t>TN</t>
        </is>
      </c>
      <c r="Q72" s="10">
        <f>IFERROR(IFERROR(VLOOKUP(A72,TRAOPE!$A:$U,21,0),VLOOKUP(B72,TRAOPE!$A:$U,21,0)),"")</f>
        <v/>
      </c>
      <c r="R72" s="8">
        <f>IFERROR(IFERROR(VLOOKUP(A72,TRAOPE!$A:$W,23,0),VLOOKUP(B72,TRAOPE!$A:$W,23,0)),"")</f>
        <v/>
      </c>
      <c r="S72" s="10">
        <f>IF(AND(P72="TN",R72="TN"),N72+N(O72),IF(G72&amp;""="1",N(K72)*N72,(N72+N(O72))*N(K72)))</f>
        <v/>
      </c>
      <c r="T72" s="10">
        <f>IF(Q72="","",Q72-S72)</f>
        <v/>
      </c>
    </row>
    <row r="73">
      <c r="A73" s="7">
        <f>CONCATENATE(C73,E73,F73,I73)</f>
        <v/>
      </c>
      <c r="B73" s="7">
        <f>CONCATENATE(C73,E73,I73)</f>
        <v/>
      </c>
      <c r="C73" s="8" t="n">
        <v>900003929</v>
      </c>
      <c r="D73" s="7">
        <f>IFERROR(VLOOKUP(C73,TRAOPE!$G:$H,2,0),"")</f>
        <v/>
      </c>
      <c r="E73" s="8" t="inlineStr">
        <is>
          <t>DW55</t>
        </is>
      </c>
      <c r="F73" s="8" t="inlineStr">
        <is>
          <t>D342</t>
        </is>
      </c>
      <c r="G73" s="8">
        <f>IFERROR(VLOOKUP(A73,Flete!$A:$E,5,0),"")</f>
        <v/>
      </c>
      <c r="H73" s="7">
        <f>IFERROR(VLOOKUP(F73,TRAOPE!$AA:$AB,2,0),"")</f>
        <v/>
      </c>
      <c r="I73" s="7" t="n">
        <v>10000372</v>
      </c>
      <c r="J73" s="7">
        <f>IFERROR(VLOOKUP(I73,Materiales!$A:$H,8,0),"")</f>
        <v/>
      </c>
      <c r="K73" s="9">
        <f>IFERROR(VLOOKUP(I73,Materiales!$A:$G,7,0),"")</f>
        <v/>
      </c>
      <c r="L73" s="8" t="inlineStr">
        <is>
          <t>20260312</t>
        </is>
      </c>
      <c r="M73" s="8" t="inlineStr">
        <is>
          <t>99991231</t>
        </is>
      </c>
      <c r="N73" s="10" t="n">
        <v>223.26</v>
      </c>
      <c r="O73" s="10">
        <f>IFERROR(VLOOKUP(A73,Flete!$A:$J,10,0),"")</f>
        <v/>
      </c>
      <c r="P73" s="8" t="inlineStr">
        <is>
          <t>TN</t>
        </is>
      </c>
      <c r="Q73" s="10">
        <f>IFERROR(IFERROR(VLOOKUP(A73,TRAOPE!$A:$U,21,0),VLOOKUP(B73,TRAOPE!$A:$U,21,0)),"")</f>
        <v/>
      </c>
      <c r="R73" s="8">
        <f>IFERROR(IFERROR(VLOOKUP(A73,TRAOPE!$A:$W,23,0),VLOOKUP(B73,TRAOPE!$A:$W,23,0)),"")</f>
        <v/>
      </c>
      <c r="S73" s="10">
        <f>IF(AND(P73="TN",R73="TN"),N73+N(O73),IF(G73&amp;""="1",N(K73)*N73,(N73+N(O73))*N(K73)))</f>
        <v/>
      </c>
      <c r="T73" s="10">
        <f>IF(Q73="","",Q73-S73)</f>
        <v/>
      </c>
    </row>
    <row r="74">
      <c r="A74" s="7">
        <f>CONCATENATE(C74,E74,F74,I74)</f>
        <v/>
      </c>
      <c r="B74" s="7">
        <f>CONCATENATE(C74,E74,I74)</f>
        <v/>
      </c>
      <c r="C74" s="8" t="n">
        <v>900003929</v>
      </c>
      <c r="D74" s="7">
        <f>IFERROR(VLOOKUP(C74,TRAOPE!$G:$H,2,0),"")</f>
        <v/>
      </c>
      <c r="E74" s="8" t="inlineStr">
        <is>
          <t>DW55</t>
        </is>
      </c>
      <c r="F74" s="8" t="inlineStr">
        <is>
          <t>D342</t>
        </is>
      </c>
      <c r="G74" s="8">
        <f>IFERROR(VLOOKUP(A74,Flete!$A:$E,5,0),"")</f>
        <v/>
      </c>
      <c r="H74" s="7">
        <f>IFERROR(VLOOKUP(F74,TRAOPE!$AA:$AB,2,0),"")</f>
        <v/>
      </c>
      <c r="I74" s="7" t="n">
        <v>10000373</v>
      </c>
      <c r="J74" s="7">
        <f>IFERROR(VLOOKUP(I74,Materiales!$A:$H,8,0),"")</f>
        <v/>
      </c>
      <c r="K74" s="9">
        <f>IFERROR(VLOOKUP(I74,Materiales!$A:$G,7,0),"")</f>
        <v/>
      </c>
      <c r="L74" s="8" t="inlineStr">
        <is>
          <t>20230111</t>
        </is>
      </c>
      <c r="M74" s="8" t="inlineStr">
        <is>
          <t>20230608</t>
        </is>
      </c>
      <c r="N74" s="10" t="n">
        <v>336.92</v>
      </c>
      <c r="O74" s="10">
        <f>IFERROR(VLOOKUP(A74,Flete!$A:$J,10,0),"")</f>
        <v/>
      </c>
      <c r="P74" s="8" t="inlineStr">
        <is>
          <t>TN</t>
        </is>
      </c>
      <c r="Q74" s="10">
        <f>IFERROR(IFERROR(VLOOKUP(A74,TRAOPE!$A:$U,21,0),VLOOKUP(B74,TRAOPE!$A:$U,21,0)),"")</f>
        <v/>
      </c>
      <c r="R74" s="8">
        <f>IFERROR(IFERROR(VLOOKUP(A74,TRAOPE!$A:$W,23,0),VLOOKUP(B74,TRAOPE!$A:$W,23,0)),"")</f>
        <v/>
      </c>
      <c r="S74" s="10">
        <f>IF(AND(P74="TN",R74="TN"),N74+N(O74),IF(G74&amp;""="1",N(K74)*N74,(N74+N(O74))*N(K74)))</f>
        <v/>
      </c>
      <c r="T74" s="10">
        <f>IF(Q74="","",Q74-S74)</f>
        <v/>
      </c>
    </row>
    <row r="75">
      <c r="A75" s="7">
        <f>CONCATENATE(C75,E75,F75,I75)</f>
        <v/>
      </c>
      <c r="B75" s="7">
        <f>CONCATENATE(C75,E75,I75)</f>
        <v/>
      </c>
      <c r="C75" s="8" t="n">
        <v>900003929</v>
      </c>
      <c r="D75" s="7">
        <f>IFERROR(VLOOKUP(C75,TRAOPE!$G:$H,2,0),"")</f>
        <v/>
      </c>
      <c r="E75" s="8" t="inlineStr">
        <is>
          <t>DW55</t>
        </is>
      </c>
      <c r="F75" s="8" t="inlineStr">
        <is>
          <t>D342</t>
        </is>
      </c>
      <c r="G75" s="8">
        <f>IFERROR(VLOOKUP(A75,Flete!$A:$E,5,0),"")</f>
        <v/>
      </c>
      <c r="H75" s="7">
        <f>IFERROR(VLOOKUP(F75,TRAOPE!$AA:$AB,2,0),"")</f>
        <v/>
      </c>
      <c r="I75" s="7" t="n">
        <v>10000421</v>
      </c>
      <c r="J75" s="7">
        <f>IFERROR(VLOOKUP(I75,Materiales!$A:$H,8,0),"")</f>
        <v/>
      </c>
      <c r="K75" s="9">
        <f>IFERROR(VLOOKUP(I75,Materiales!$A:$G,7,0),"")</f>
        <v/>
      </c>
      <c r="L75" s="8" t="inlineStr">
        <is>
          <t>20230111</t>
        </is>
      </c>
      <c r="M75" s="8" t="inlineStr">
        <is>
          <t>20230608</t>
        </is>
      </c>
      <c r="N75" s="10" t="n">
        <v>163.1</v>
      </c>
      <c r="O75" s="10">
        <f>IFERROR(VLOOKUP(A75,Flete!$A:$J,10,0),"")</f>
        <v/>
      </c>
      <c r="P75" s="8" t="inlineStr">
        <is>
          <t>TN</t>
        </is>
      </c>
      <c r="Q75" s="10">
        <f>IFERROR(IFERROR(VLOOKUP(A75,TRAOPE!$A:$U,21,0),VLOOKUP(B75,TRAOPE!$A:$U,21,0)),"")</f>
        <v/>
      </c>
      <c r="R75" s="8">
        <f>IFERROR(IFERROR(VLOOKUP(A75,TRAOPE!$A:$W,23,0),VLOOKUP(B75,TRAOPE!$A:$W,23,0)),"")</f>
        <v/>
      </c>
      <c r="S75" s="10">
        <f>IF(AND(P75="TN",R75="TN"),N75+N(O75),IF(G75&amp;""="1",N(K75)*N75,(N75+N(O75))*N(K75)))</f>
        <v/>
      </c>
      <c r="T75" s="10">
        <f>IF(Q75="","",Q75-S75)</f>
        <v/>
      </c>
    </row>
    <row r="76">
      <c r="A76" s="7">
        <f>CONCATENATE(C76,E76,F76,I76)</f>
        <v/>
      </c>
      <c r="B76" s="7">
        <f>CONCATENATE(C76,E76,I76)</f>
        <v/>
      </c>
      <c r="C76" s="8" t="n">
        <v>900003929</v>
      </c>
      <c r="D76" s="7">
        <f>IFERROR(VLOOKUP(C76,TRAOPE!$G:$H,2,0),"")</f>
        <v/>
      </c>
      <c r="E76" s="8" t="inlineStr">
        <is>
          <t>DW55</t>
        </is>
      </c>
      <c r="F76" s="8" t="inlineStr">
        <is>
          <t>D342</t>
        </is>
      </c>
      <c r="G76" s="8">
        <f>IFERROR(VLOOKUP(A76,Flete!$A:$E,5,0),"")</f>
        <v/>
      </c>
      <c r="H76" s="7">
        <f>IFERROR(VLOOKUP(F76,TRAOPE!$AA:$AB,2,0),"")</f>
        <v/>
      </c>
      <c r="I76" s="7" t="n">
        <v>10039672</v>
      </c>
      <c r="J76" s="7">
        <f>IFERROR(VLOOKUP(I76,Materiales!$A:$H,8,0),"")</f>
        <v/>
      </c>
      <c r="K76" s="9">
        <f>IFERROR(VLOOKUP(I76,Materiales!$A:$G,7,0),"")</f>
        <v/>
      </c>
      <c r="L76" s="8" t="inlineStr">
        <is>
          <t>20230111</t>
        </is>
      </c>
      <c r="M76" s="8" t="inlineStr">
        <is>
          <t>20230608</t>
        </is>
      </c>
      <c r="N76" s="10" t="n">
        <v>79.92</v>
      </c>
      <c r="O76" s="10">
        <f>IFERROR(VLOOKUP(A76,Flete!$A:$J,10,0),"")</f>
        <v/>
      </c>
      <c r="P76" s="8" t="inlineStr">
        <is>
          <t>TN</t>
        </is>
      </c>
      <c r="Q76" s="10">
        <f>IFERROR(IFERROR(VLOOKUP(A76,TRAOPE!$A:$U,21,0),VLOOKUP(B76,TRAOPE!$A:$U,21,0)),"")</f>
        <v/>
      </c>
      <c r="R76" s="8">
        <f>IFERROR(IFERROR(VLOOKUP(A76,TRAOPE!$A:$W,23,0),VLOOKUP(B76,TRAOPE!$A:$W,23,0)),"")</f>
        <v/>
      </c>
      <c r="S76" s="10">
        <f>IF(AND(P76="TN",R76="TN"),N76+N(O76),IF(G76&amp;""="1",N(K76)*N76,(N76+N(O76))*N(K76)))</f>
        <v/>
      </c>
      <c r="T76" s="10">
        <f>IF(Q76="","",Q76-S76)</f>
        <v/>
      </c>
    </row>
    <row r="77">
      <c r="A77" s="7">
        <f>CONCATENATE(C77,E77,F77,I77)</f>
        <v/>
      </c>
      <c r="B77" s="7">
        <f>CONCATENATE(C77,E77,I77)</f>
        <v/>
      </c>
      <c r="C77" s="8" t="n">
        <v>900003929</v>
      </c>
      <c r="D77" s="7">
        <f>IFERROR(VLOOKUP(C77,TRAOPE!$G:$H,2,0),"")</f>
        <v/>
      </c>
      <c r="E77" s="8" t="inlineStr">
        <is>
          <t>DW55</t>
        </is>
      </c>
      <c r="F77" s="8" t="inlineStr">
        <is>
          <t>D342</t>
        </is>
      </c>
      <c r="G77" s="8">
        <f>IFERROR(VLOOKUP(A77,Flete!$A:$E,5,0),"")</f>
        <v/>
      </c>
      <c r="H77" s="7">
        <f>IFERROR(VLOOKUP(F77,TRAOPE!$AA:$AB,2,0),"")</f>
        <v/>
      </c>
      <c r="I77" s="7" t="n">
        <v>10218414</v>
      </c>
      <c r="J77" s="7">
        <f>IFERROR(VLOOKUP(I77,Materiales!$A:$H,8,0),"")</f>
        <v/>
      </c>
      <c r="K77" s="9">
        <f>IFERROR(VLOOKUP(I77,Materiales!$A:$G,7,0),"")</f>
        <v/>
      </c>
      <c r="L77" s="8" t="inlineStr">
        <is>
          <t>20230111</t>
        </is>
      </c>
      <c r="M77" s="8" t="inlineStr">
        <is>
          <t>20230608</t>
        </is>
      </c>
      <c r="N77" s="10" t="n">
        <v>217.82</v>
      </c>
      <c r="O77" s="10">
        <f>IFERROR(VLOOKUP(A77,Flete!$A:$J,10,0),"")</f>
        <v/>
      </c>
      <c r="P77" s="8" t="inlineStr">
        <is>
          <t>TN</t>
        </is>
      </c>
      <c r="Q77" s="10">
        <f>IFERROR(IFERROR(VLOOKUP(A77,TRAOPE!$A:$U,21,0),VLOOKUP(B77,TRAOPE!$A:$U,21,0)),"")</f>
        <v/>
      </c>
      <c r="R77" s="8">
        <f>IFERROR(IFERROR(VLOOKUP(A77,TRAOPE!$A:$W,23,0),VLOOKUP(B77,TRAOPE!$A:$W,23,0)),"")</f>
        <v/>
      </c>
      <c r="S77" s="10">
        <f>IF(AND(P77="TN",R77="TN"),N77+N(O77),IF(G77&amp;""="1",N(K77)*N77,(N77+N(O77))*N(K77)))</f>
        <v/>
      </c>
      <c r="T77" s="10">
        <f>IF(Q77="","",Q77-S77)</f>
        <v/>
      </c>
    </row>
    <row r="78">
      <c r="A78" s="7">
        <f>CONCATENATE(C78,E78,F78,I78)</f>
        <v/>
      </c>
      <c r="B78" s="7">
        <f>CONCATENATE(C78,E78,I78)</f>
        <v/>
      </c>
      <c r="C78" s="8" t="n">
        <v>900003929</v>
      </c>
      <c r="D78" s="7">
        <f>IFERROR(VLOOKUP(C78,TRAOPE!$G:$H,2,0),"")</f>
        <v/>
      </c>
      <c r="E78" s="8" t="inlineStr">
        <is>
          <t>DW55</t>
        </is>
      </c>
      <c r="F78" s="8" t="inlineStr">
        <is>
          <t>D348</t>
        </is>
      </c>
      <c r="G78" s="8">
        <f>IFERROR(VLOOKUP(A78,Flete!$A:$E,5,0),"")</f>
        <v/>
      </c>
      <c r="H78" s="7">
        <f>IFERROR(VLOOKUP(F78,TRAOPE!$AA:$AB,2,0),"")</f>
        <v/>
      </c>
      <c r="I78" s="7" t="n">
        <v>10000372</v>
      </c>
      <c r="J78" s="7">
        <f>IFERROR(VLOOKUP(I78,Materiales!$A:$H,8,0),"")</f>
        <v/>
      </c>
      <c r="K78" s="9">
        <f>IFERROR(VLOOKUP(I78,Materiales!$A:$G,7,0),"")</f>
        <v/>
      </c>
      <c r="L78" s="8" t="inlineStr">
        <is>
          <t>20230111</t>
        </is>
      </c>
      <c r="M78" s="8" t="inlineStr">
        <is>
          <t>20230608</t>
        </is>
      </c>
      <c r="N78" s="10" t="n">
        <v>227.9</v>
      </c>
      <c r="O78" s="10">
        <f>IFERROR(VLOOKUP(A78,Flete!$A:$J,10,0),"")</f>
        <v/>
      </c>
      <c r="P78" s="8" t="inlineStr">
        <is>
          <t>TN</t>
        </is>
      </c>
      <c r="Q78" s="10">
        <f>IFERROR(IFERROR(VLOOKUP(A78,TRAOPE!$A:$U,21,0),VLOOKUP(B78,TRAOPE!$A:$U,21,0)),"")</f>
        <v/>
      </c>
      <c r="R78" s="8">
        <f>IFERROR(IFERROR(VLOOKUP(A78,TRAOPE!$A:$W,23,0),VLOOKUP(B78,TRAOPE!$A:$W,23,0)),"")</f>
        <v/>
      </c>
      <c r="S78" s="10">
        <f>IF(AND(P78="TN",R78="TN"),N78+N(O78),IF(G78&amp;""="1",N(K78)*N78,(N78+N(O78))*N(K78)))</f>
        <v/>
      </c>
      <c r="T78" s="10">
        <f>IF(Q78="","",Q78-S78)</f>
        <v/>
      </c>
    </row>
    <row r="79">
      <c r="A79" s="7">
        <f>CONCATENATE(C79,E79,F79,I79)</f>
        <v/>
      </c>
      <c r="B79" s="7">
        <f>CONCATENATE(C79,E79,I79)</f>
        <v/>
      </c>
      <c r="C79" s="8" t="n">
        <v>900003929</v>
      </c>
      <c r="D79" s="7">
        <f>IFERROR(VLOOKUP(C79,TRAOPE!$G:$H,2,0),"")</f>
        <v/>
      </c>
      <c r="E79" s="8" t="inlineStr">
        <is>
          <t>DW55</t>
        </is>
      </c>
      <c r="F79" s="8" t="inlineStr">
        <is>
          <t>D348</t>
        </is>
      </c>
      <c r="G79" s="8">
        <f>IFERROR(VLOOKUP(A79,Flete!$A:$E,5,0),"")</f>
        <v/>
      </c>
      <c r="H79" s="7">
        <f>IFERROR(VLOOKUP(F79,TRAOPE!$AA:$AB,2,0),"")</f>
        <v/>
      </c>
      <c r="I79" s="7" t="n">
        <v>10000373</v>
      </c>
      <c r="J79" s="7">
        <f>IFERROR(VLOOKUP(I79,Materiales!$A:$H,8,0),"")</f>
        <v/>
      </c>
      <c r="K79" s="9">
        <f>IFERROR(VLOOKUP(I79,Materiales!$A:$G,7,0),"")</f>
        <v/>
      </c>
      <c r="L79" s="8" t="inlineStr">
        <is>
          <t>20230111</t>
        </is>
      </c>
      <c r="M79" s="8" t="inlineStr">
        <is>
          <t>20230608</t>
        </is>
      </c>
      <c r="N79" s="10" t="n">
        <v>336.92</v>
      </c>
      <c r="O79" s="10">
        <f>IFERROR(VLOOKUP(A79,Flete!$A:$J,10,0),"")</f>
        <v/>
      </c>
      <c r="P79" s="8" t="inlineStr">
        <is>
          <t>TN</t>
        </is>
      </c>
      <c r="Q79" s="10">
        <f>IFERROR(IFERROR(VLOOKUP(A79,TRAOPE!$A:$U,21,0),VLOOKUP(B79,TRAOPE!$A:$U,21,0)),"")</f>
        <v/>
      </c>
      <c r="R79" s="8">
        <f>IFERROR(IFERROR(VLOOKUP(A79,TRAOPE!$A:$W,23,0),VLOOKUP(B79,TRAOPE!$A:$W,23,0)),"")</f>
        <v/>
      </c>
      <c r="S79" s="10">
        <f>IF(AND(P79="TN",R79="TN"),N79+N(O79),IF(G79&amp;""="1",N(K79)*N79,(N79+N(O79))*N(K79)))</f>
        <v/>
      </c>
      <c r="T79" s="10">
        <f>IF(Q79="","",Q79-S79)</f>
        <v/>
      </c>
    </row>
    <row r="80">
      <c r="A80" s="7">
        <f>CONCATENATE(C80,E80,F80,I80)</f>
        <v/>
      </c>
      <c r="B80" s="7">
        <f>CONCATENATE(C80,E80,I80)</f>
        <v/>
      </c>
      <c r="C80" s="8" t="n">
        <v>900003929</v>
      </c>
      <c r="D80" s="7">
        <f>IFERROR(VLOOKUP(C80,TRAOPE!$G:$H,2,0),"")</f>
        <v/>
      </c>
      <c r="E80" s="8" t="inlineStr">
        <is>
          <t>DW55</t>
        </is>
      </c>
      <c r="F80" s="8" t="inlineStr">
        <is>
          <t>D348</t>
        </is>
      </c>
      <c r="G80" s="8">
        <f>IFERROR(VLOOKUP(A80,Flete!$A:$E,5,0),"")</f>
        <v/>
      </c>
      <c r="H80" s="7">
        <f>IFERROR(VLOOKUP(F80,TRAOPE!$AA:$AB,2,0),"")</f>
        <v/>
      </c>
      <c r="I80" s="7" t="n">
        <v>10000421</v>
      </c>
      <c r="J80" s="7">
        <f>IFERROR(VLOOKUP(I80,Materiales!$A:$H,8,0),"")</f>
        <v/>
      </c>
      <c r="K80" s="9">
        <f>IFERROR(VLOOKUP(I80,Materiales!$A:$G,7,0),"")</f>
        <v/>
      </c>
      <c r="L80" s="8" t="inlineStr">
        <is>
          <t>20230111</t>
        </is>
      </c>
      <c r="M80" s="8" t="inlineStr">
        <is>
          <t>20230608</t>
        </is>
      </c>
      <c r="N80" s="10" t="n">
        <v>163.1</v>
      </c>
      <c r="O80" s="10">
        <f>IFERROR(VLOOKUP(A80,Flete!$A:$J,10,0),"")</f>
        <v/>
      </c>
      <c r="P80" s="8" t="inlineStr">
        <is>
          <t>TN</t>
        </is>
      </c>
      <c r="Q80" s="10">
        <f>IFERROR(IFERROR(VLOOKUP(A80,TRAOPE!$A:$U,21,0),VLOOKUP(B80,TRAOPE!$A:$U,21,0)),"")</f>
        <v/>
      </c>
      <c r="R80" s="8">
        <f>IFERROR(IFERROR(VLOOKUP(A80,TRAOPE!$A:$W,23,0),VLOOKUP(B80,TRAOPE!$A:$W,23,0)),"")</f>
        <v/>
      </c>
      <c r="S80" s="10">
        <f>IF(AND(P80="TN",R80="TN"),N80+N(O80),IF(G80&amp;""="1",N(K80)*N80,(N80+N(O80))*N(K80)))</f>
        <v/>
      </c>
      <c r="T80" s="10">
        <f>IF(Q80="","",Q80-S80)</f>
        <v/>
      </c>
    </row>
    <row r="81">
      <c r="A81" s="7">
        <f>CONCATENATE(C81,E81,F81,I81)</f>
        <v/>
      </c>
      <c r="B81" s="7">
        <f>CONCATENATE(C81,E81,I81)</f>
        <v/>
      </c>
      <c r="C81" s="8" t="n">
        <v>900003929</v>
      </c>
      <c r="D81" s="7">
        <f>IFERROR(VLOOKUP(C81,TRAOPE!$G:$H,2,0),"")</f>
        <v/>
      </c>
      <c r="E81" s="8" t="inlineStr">
        <is>
          <t>DW55</t>
        </is>
      </c>
      <c r="F81" s="8" t="inlineStr">
        <is>
          <t>D348</t>
        </is>
      </c>
      <c r="G81" s="8">
        <f>IFERROR(VLOOKUP(A81,Flete!$A:$E,5,0),"")</f>
        <v/>
      </c>
      <c r="H81" s="7">
        <f>IFERROR(VLOOKUP(F81,TRAOPE!$AA:$AB,2,0),"")</f>
        <v/>
      </c>
      <c r="I81" s="7" t="n">
        <v>10039672</v>
      </c>
      <c r="J81" s="7">
        <f>IFERROR(VLOOKUP(I81,Materiales!$A:$H,8,0),"")</f>
        <v/>
      </c>
      <c r="K81" s="9">
        <f>IFERROR(VLOOKUP(I81,Materiales!$A:$G,7,0),"")</f>
        <v/>
      </c>
      <c r="L81" s="8" t="inlineStr">
        <is>
          <t>20230111</t>
        </is>
      </c>
      <c r="M81" s="8" t="inlineStr">
        <is>
          <t>20230608</t>
        </is>
      </c>
      <c r="N81" s="10" t="n">
        <v>79.92</v>
      </c>
      <c r="O81" s="10">
        <f>IFERROR(VLOOKUP(A81,Flete!$A:$J,10,0),"")</f>
        <v/>
      </c>
      <c r="P81" s="8" t="inlineStr">
        <is>
          <t>TN</t>
        </is>
      </c>
      <c r="Q81" s="10">
        <f>IFERROR(IFERROR(VLOOKUP(A81,TRAOPE!$A:$U,21,0),VLOOKUP(B81,TRAOPE!$A:$U,21,0)),"")</f>
        <v/>
      </c>
      <c r="R81" s="8">
        <f>IFERROR(IFERROR(VLOOKUP(A81,TRAOPE!$A:$W,23,0),VLOOKUP(B81,TRAOPE!$A:$W,23,0)),"")</f>
        <v/>
      </c>
      <c r="S81" s="10">
        <f>IF(AND(P81="TN",R81="TN"),N81+N(O81),IF(G81&amp;""="1",N(K81)*N81,(N81+N(O81))*N(K81)))</f>
        <v/>
      </c>
      <c r="T81" s="10">
        <f>IF(Q81="","",Q81-S81)</f>
        <v/>
      </c>
    </row>
    <row r="82">
      <c r="A82" s="7">
        <f>CONCATENATE(C82,E82,F82,I82)</f>
        <v/>
      </c>
      <c r="B82" s="7">
        <f>CONCATENATE(C82,E82,I82)</f>
        <v/>
      </c>
      <c r="C82" s="8" t="n">
        <v>900003929</v>
      </c>
      <c r="D82" s="7">
        <f>IFERROR(VLOOKUP(C82,TRAOPE!$G:$H,2,0),"")</f>
        <v/>
      </c>
      <c r="E82" s="8" t="inlineStr">
        <is>
          <t>DW55</t>
        </is>
      </c>
      <c r="F82" s="8" t="inlineStr">
        <is>
          <t>D348</t>
        </is>
      </c>
      <c r="G82" s="8">
        <f>IFERROR(VLOOKUP(A82,Flete!$A:$E,5,0),"")</f>
        <v/>
      </c>
      <c r="H82" s="7">
        <f>IFERROR(VLOOKUP(F82,TRAOPE!$AA:$AB,2,0),"")</f>
        <v/>
      </c>
      <c r="I82" s="7" t="n">
        <v>10218414</v>
      </c>
      <c r="J82" s="7">
        <f>IFERROR(VLOOKUP(I82,Materiales!$A:$H,8,0),"")</f>
        <v/>
      </c>
      <c r="K82" s="9">
        <f>IFERROR(VLOOKUP(I82,Materiales!$A:$G,7,0),"")</f>
        <v/>
      </c>
      <c r="L82" s="8" t="inlineStr">
        <is>
          <t>20230111</t>
        </is>
      </c>
      <c r="M82" s="8" t="inlineStr">
        <is>
          <t>20230608</t>
        </is>
      </c>
      <c r="N82" s="10" t="n">
        <v>217.82</v>
      </c>
      <c r="O82" s="10">
        <f>IFERROR(VLOOKUP(A82,Flete!$A:$J,10,0),"")</f>
        <v/>
      </c>
      <c r="P82" s="8" t="inlineStr">
        <is>
          <t>TN</t>
        </is>
      </c>
      <c r="Q82" s="10">
        <f>IFERROR(IFERROR(VLOOKUP(A82,TRAOPE!$A:$U,21,0),VLOOKUP(B82,TRAOPE!$A:$U,21,0)),"")</f>
        <v/>
      </c>
      <c r="R82" s="8">
        <f>IFERROR(IFERROR(VLOOKUP(A82,TRAOPE!$A:$W,23,0),VLOOKUP(B82,TRAOPE!$A:$W,23,0)),"")</f>
        <v/>
      </c>
      <c r="S82" s="10">
        <f>IF(AND(P82="TN",R82="TN"),N82+N(O82),IF(G82&amp;""="1",N(K82)*N82,(N82+N(O82))*N(K82)))</f>
        <v/>
      </c>
      <c r="T82" s="10">
        <f>IF(Q82="","",Q82-S82)</f>
        <v/>
      </c>
    </row>
    <row r="83">
      <c r="A83" s="7">
        <f>CONCATENATE(C83,E83,F83,I83)</f>
        <v/>
      </c>
      <c r="B83" s="7">
        <f>CONCATENATE(C83,E83,I83)</f>
        <v/>
      </c>
      <c r="C83" s="8" t="n">
        <v>900004612</v>
      </c>
      <c r="D83" s="7">
        <f>IFERROR(VLOOKUP(C83,TRAOPE!$G:$H,2,0),"")</f>
        <v/>
      </c>
      <c r="E83" s="8" t="inlineStr">
        <is>
          <t>DW55</t>
        </is>
      </c>
      <c r="F83" s="8" t="inlineStr">
        <is>
          <t>D284</t>
        </is>
      </c>
      <c r="G83" s="8">
        <f>IFERROR(VLOOKUP(A83,Flete!$A:$E,5,0),"")</f>
        <v/>
      </c>
      <c r="H83" s="7">
        <f>IFERROR(VLOOKUP(F83,TRAOPE!$AA:$AB,2,0),"")</f>
        <v/>
      </c>
      <c r="I83" s="7" t="n">
        <v>10000178</v>
      </c>
      <c r="J83" s="7">
        <f>IFERROR(VLOOKUP(I83,Materiales!$A:$H,8,0),"")</f>
        <v/>
      </c>
      <c r="K83" s="9">
        <f>IFERROR(VLOOKUP(I83,Materiales!$A:$G,7,0),"")</f>
        <v/>
      </c>
      <c r="L83" s="8" t="inlineStr">
        <is>
          <t>20220629</t>
        </is>
      </c>
      <c r="M83" s="8" t="inlineStr">
        <is>
          <t>20240710</t>
        </is>
      </c>
      <c r="N83" s="10" t="n">
        <v>165.89</v>
      </c>
      <c r="O83" s="10">
        <f>IFERROR(VLOOKUP(A83,Flete!$A:$J,10,0),"")</f>
        <v/>
      </c>
      <c r="P83" s="8" t="inlineStr">
        <is>
          <t>TN</t>
        </is>
      </c>
      <c r="Q83" s="10">
        <f>IFERROR(IFERROR(VLOOKUP(A83,TRAOPE!$A:$U,21,0),VLOOKUP(B83,TRAOPE!$A:$U,21,0)),"")</f>
        <v/>
      </c>
      <c r="R83" s="8">
        <f>IFERROR(IFERROR(VLOOKUP(A83,TRAOPE!$A:$W,23,0),VLOOKUP(B83,TRAOPE!$A:$W,23,0)),"")</f>
        <v/>
      </c>
      <c r="S83" s="10">
        <f>IF(AND(P83="TN",R83="TN"),N83+N(O83),IF(G83&amp;""="1",N(K83)*N83,(N83+N(O83))*N(K83)))</f>
        <v/>
      </c>
      <c r="T83" s="10">
        <f>IF(Q83="","",Q83-S83)</f>
        <v/>
      </c>
    </row>
    <row r="84">
      <c r="A84" s="7">
        <f>CONCATENATE(C84,E84,F84,I84)</f>
        <v/>
      </c>
      <c r="B84" s="7">
        <f>CONCATENATE(C84,E84,I84)</f>
        <v/>
      </c>
      <c r="C84" s="8" t="n">
        <v>900004612</v>
      </c>
      <c r="D84" s="7">
        <f>IFERROR(VLOOKUP(C84,TRAOPE!$G:$H,2,0),"")</f>
        <v/>
      </c>
      <c r="E84" s="8" t="inlineStr">
        <is>
          <t>DW55</t>
        </is>
      </c>
      <c r="F84" s="8" t="inlineStr">
        <is>
          <t>D284</t>
        </is>
      </c>
      <c r="G84" s="8">
        <f>IFERROR(VLOOKUP(A84,Flete!$A:$E,5,0),"")</f>
        <v/>
      </c>
      <c r="H84" s="7">
        <f>IFERROR(VLOOKUP(F84,TRAOPE!$AA:$AB,2,0),"")</f>
        <v/>
      </c>
      <c r="I84" s="7" t="n">
        <v>10000541</v>
      </c>
      <c r="J84" s="7">
        <f>IFERROR(VLOOKUP(I84,Materiales!$A:$H,8,0),"")</f>
        <v/>
      </c>
      <c r="K84" s="9">
        <f>IFERROR(VLOOKUP(I84,Materiales!$A:$G,7,0),"")</f>
        <v/>
      </c>
      <c r="L84" s="8" t="inlineStr">
        <is>
          <t>20220629</t>
        </is>
      </c>
      <c r="M84" s="8" t="inlineStr">
        <is>
          <t>20240710</t>
        </is>
      </c>
      <c r="N84" s="10" t="n">
        <v>84.81</v>
      </c>
      <c r="O84" s="10">
        <f>IFERROR(VLOOKUP(A84,Flete!$A:$J,10,0),"")</f>
        <v/>
      </c>
      <c r="P84" s="8" t="inlineStr">
        <is>
          <t>TN</t>
        </is>
      </c>
      <c r="Q84" s="10">
        <f>IFERROR(IFERROR(VLOOKUP(A84,TRAOPE!$A:$U,21,0),VLOOKUP(B84,TRAOPE!$A:$U,21,0)),"")</f>
        <v/>
      </c>
      <c r="R84" s="8">
        <f>IFERROR(IFERROR(VLOOKUP(A84,TRAOPE!$A:$W,23,0),VLOOKUP(B84,TRAOPE!$A:$W,23,0)),"")</f>
        <v/>
      </c>
      <c r="S84" s="10">
        <f>IF(AND(P84="TN",R84="TN"),N84+N(O84),IF(G84&amp;""="1",N(K84)*N84,(N84+N(O84))*N(K84)))</f>
        <v/>
      </c>
      <c r="T84" s="10">
        <f>IF(Q84="","",Q84-S84)</f>
        <v/>
      </c>
    </row>
    <row r="85">
      <c r="A85" s="7">
        <f>CONCATENATE(C85,E85,F85,I85)</f>
        <v/>
      </c>
      <c r="B85" s="7">
        <f>CONCATENATE(C85,E85,I85)</f>
        <v/>
      </c>
      <c r="C85" s="8" t="n">
        <v>900004612</v>
      </c>
      <c r="D85" s="7">
        <f>IFERROR(VLOOKUP(C85,TRAOPE!$G:$H,2,0),"")</f>
        <v/>
      </c>
      <c r="E85" s="8" t="inlineStr">
        <is>
          <t>DW55</t>
        </is>
      </c>
      <c r="F85" s="8" t="inlineStr">
        <is>
          <t>D284</t>
        </is>
      </c>
      <c r="G85" s="8">
        <f>IFERROR(VLOOKUP(A85,Flete!$A:$E,5,0),"")</f>
        <v/>
      </c>
      <c r="H85" s="7">
        <f>IFERROR(VLOOKUP(F85,TRAOPE!$AA:$AB,2,0),"")</f>
        <v/>
      </c>
      <c r="I85" s="7" t="n">
        <v>10000826</v>
      </c>
      <c r="J85" s="7">
        <f>IFERROR(VLOOKUP(I85,Materiales!$A:$H,8,0),"")</f>
        <v/>
      </c>
      <c r="K85" s="9">
        <f>IFERROR(VLOOKUP(I85,Materiales!$A:$G,7,0),"")</f>
        <v/>
      </c>
      <c r="L85" s="8" t="inlineStr">
        <is>
          <t>20220629</t>
        </is>
      </c>
      <c r="M85" s="8" t="inlineStr">
        <is>
          <t>20240710</t>
        </is>
      </c>
      <c r="N85" s="10" t="n">
        <v>165.52</v>
      </c>
      <c r="O85" s="10">
        <f>IFERROR(VLOOKUP(A85,Flete!$A:$J,10,0),"")</f>
        <v/>
      </c>
      <c r="P85" s="8" t="inlineStr">
        <is>
          <t>TN</t>
        </is>
      </c>
      <c r="Q85" s="10">
        <f>IFERROR(IFERROR(VLOOKUP(A85,TRAOPE!$A:$U,21,0),VLOOKUP(B85,TRAOPE!$A:$U,21,0)),"")</f>
        <v/>
      </c>
      <c r="R85" s="8">
        <f>IFERROR(IFERROR(VLOOKUP(A85,TRAOPE!$A:$W,23,0),VLOOKUP(B85,TRAOPE!$A:$W,23,0)),"")</f>
        <v/>
      </c>
      <c r="S85" s="10">
        <f>IF(AND(P85="TN",R85="TN"),N85+N(O85),IF(G85&amp;""="1",N(K85)*N85,(N85+N(O85))*N(K85)))</f>
        <v/>
      </c>
      <c r="T85" s="10">
        <f>IF(Q85="","",Q85-S85)</f>
        <v/>
      </c>
    </row>
    <row r="86">
      <c r="A86" s="7">
        <f>CONCATENATE(C86,E86,F86,I86)</f>
        <v/>
      </c>
      <c r="B86" s="7">
        <f>CONCATENATE(C86,E86,I86)</f>
        <v/>
      </c>
      <c r="C86" s="8" t="n">
        <v>900004612</v>
      </c>
      <c r="D86" s="7">
        <f>IFERROR(VLOOKUP(C86,TRAOPE!$G:$H,2,0),"")</f>
        <v/>
      </c>
      <c r="E86" s="8" t="inlineStr">
        <is>
          <t>DW55</t>
        </is>
      </c>
      <c r="F86" s="8" t="inlineStr">
        <is>
          <t>D309</t>
        </is>
      </c>
      <c r="G86" s="8">
        <f>IFERROR(VLOOKUP(A86,Flete!$A:$E,5,0),"")</f>
        <v/>
      </c>
      <c r="H86" s="7">
        <f>IFERROR(VLOOKUP(F86,TRAOPE!$AA:$AB,2,0),"")</f>
        <v/>
      </c>
      <c r="I86" s="7" t="n">
        <v>10000178</v>
      </c>
      <c r="J86" s="7">
        <f>IFERROR(VLOOKUP(I86,Materiales!$A:$H,8,0),"")</f>
        <v/>
      </c>
      <c r="K86" s="9">
        <f>IFERROR(VLOOKUP(I86,Materiales!$A:$G,7,0),"")</f>
        <v/>
      </c>
      <c r="L86" s="8" t="inlineStr">
        <is>
          <t>20220629</t>
        </is>
      </c>
      <c r="M86" s="8" t="inlineStr">
        <is>
          <t>20240710</t>
        </is>
      </c>
      <c r="N86" s="10" t="n">
        <v>165.89</v>
      </c>
      <c r="O86" s="10">
        <f>IFERROR(VLOOKUP(A86,Flete!$A:$J,10,0),"")</f>
        <v/>
      </c>
      <c r="P86" s="8" t="inlineStr">
        <is>
          <t>TN</t>
        </is>
      </c>
      <c r="Q86" s="10">
        <f>IFERROR(IFERROR(VLOOKUP(A86,TRAOPE!$A:$U,21,0),VLOOKUP(B86,TRAOPE!$A:$U,21,0)),"")</f>
        <v/>
      </c>
      <c r="R86" s="8">
        <f>IFERROR(IFERROR(VLOOKUP(A86,TRAOPE!$A:$W,23,0),VLOOKUP(B86,TRAOPE!$A:$W,23,0)),"")</f>
        <v/>
      </c>
      <c r="S86" s="10">
        <f>IF(AND(P86="TN",R86="TN"),N86+N(O86),IF(G86&amp;""="1",N(K86)*N86,(N86+N(O86))*N(K86)))</f>
        <v/>
      </c>
      <c r="T86" s="10">
        <f>IF(Q86="","",Q86-S86)</f>
        <v/>
      </c>
    </row>
    <row r="87">
      <c r="A87" s="7">
        <f>CONCATENATE(C87,E87,F87,I87)</f>
        <v/>
      </c>
      <c r="B87" s="7">
        <f>CONCATENATE(C87,E87,I87)</f>
        <v/>
      </c>
      <c r="C87" s="8" t="n">
        <v>900004612</v>
      </c>
      <c r="D87" s="7">
        <f>IFERROR(VLOOKUP(C87,TRAOPE!$G:$H,2,0),"")</f>
        <v/>
      </c>
      <c r="E87" s="8" t="inlineStr">
        <is>
          <t>DW55</t>
        </is>
      </c>
      <c r="F87" s="8" t="inlineStr">
        <is>
          <t>D309</t>
        </is>
      </c>
      <c r="G87" s="8">
        <f>IFERROR(VLOOKUP(A87,Flete!$A:$E,5,0),"")</f>
        <v/>
      </c>
      <c r="H87" s="7">
        <f>IFERROR(VLOOKUP(F87,TRAOPE!$AA:$AB,2,0),"")</f>
        <v/>
      </c>
      <c r="I87" s="7" t="n">
        <v>10000541</v>
      </c>
      <c r="J87" s="7">
        <f>IFERROR(VLOOKUP(I87,Materiales!$A:$H,8,0),"")</f>
        <v/>
      </c>
      <c r="K87" s="9">
        <f>IFERROR(VLOOKUP(I87,Materiales!$A:$G,7,0),"")</f>
        <v/>
      </c>
      <c r="L87" s="8" t="inlineStr">
        <is>
          <t>20220629</t>
        </is>
      </c>
      <c r="M87" s="8" t="inlineStr">
        <is>
          <t>20240710</t>
        </is>
      </c>
      <c r="N87" s="10" t="n">
        <v>84.81</v>
      </c>
      <c r="O87" s="10">
        <f>IFERROR(VLOOKUP(A87,Flete!$A:$J,10,0),"")</f>
        <v/>
      </c>
      <c r="P87" s="8" t="inlineStr">
        <is>
          <t>TN</t>
        </is>
      </c>
      <c r="Q87" s="10">
        <f>IFERROR(IFERROR(VLOOKUP(A87,TRAOPE!$A:$U,21,0),VLOOKUP(B87,TRAOPE!$A:$U,21,0)),"")</f>
        <v/>
      </c>
      <c r="R87" s="8">
        <f>IFERROR(IFERROR(VLOOKUP(A87,TRAOPE!$A:$W,23,0),VLOOKUP(B87,TRAOPE!$A:$W,23,0)),"")</f>
        <v/>
      </c>
      <c r="S87" s="10">
        <f>IF(AND(P87="TN",R87="TN"),N87+N(O87),IF(G87&amp;""="1",N(K87)*N87,(N87+N(O87))*N(K87)))</f>
        <v/>
      </c>
      <c r="T87" s="10">
        <f>IF(Q87="","",Q87-S87)</f>
        <v/>
      </c>
    </row>
    <row r="88">
      <c r="A88" s="7">
        <f>CONCATENATE(C88,E88,F88,I88)</f>
        <v/>
      </c>
      <c r="B88" s="7">
        <f>CONCATENATE(C88,E88,I88)</f>
        <v/>
      </c>
      <c r="C88" s="8" t="n">
        <v>900004612</v>
      </c>
      <c r="D88" s="7">
        <f>IFERROR(VLOOKUP(C88,TRAOPE!$G:$H,2,0),"")</f>
        <v/>
      </c>
      <c r="E88" s="8" t="inlineStr">
        <is>
          <t>DW55</t>
        </is>
      </c>
      <c r="F88" s="8" t="inlineStr">
        <is>
          <t>D309</t>
        </is>
      </c>
      <c r="G88" s="8">
        <f>IFERROR(VLOOKUP(A88,Flete!$A:$E,5,0),"")</f>
        <v/>
      </c>
      <c r="H88" s="7">
        <f>IFERROR(VLOOKUP(F88,TRAOPE!$AA:$AB,2,0),"")</f>
        <v/>
      </c>
      <c r="I88" s="7" t="n">
        <v>10000826</v>
      </c>
      <c r="J88" s="7">
        <f>IFERROR(VLOOKUP(I88,Materiales!$A:$H,8,0),"")</f>
        <v/>
      </c>
      <c r="K88" s="9">
        <f>IFERROR(VLOOKUP(I88,Materiales!$A:$G,7,0),"")</f>
        <v/>
      </c>
      <c r="L88" s="8" t="inlineStr">
        <is>
          <t>20220629</t>
        </is>
      </c>
      <c r="M88" s="8" t="inlineStr">
        <is>
          <t>20240710</t>
        </is>
      </c>
      <c r="N88" s="10" t="n">
        <v>165.52</v>
      </c>
      <c r="O88" s="10">
        <f>IFERROR(VLOOKUP(A88,Flete!$A:$J,10,0),"")</f>
        <v/>
      </c>
      <c r="P88" s="8" t="inlineStr">
        <is>
          <t>TN</t>
        </is>
      </c>
      <c r="Q88" s="10">
        <f>IFERROR(IFERROR(VLOOKUP(A88,TRAOPE!$A:$U,21,0),VLOOKUP(B88,TRAOPE!$A:$U,21,0)),"")</f>
        <v/>
      </c>
      <c r="R88" s="8">
        <f>IFERROR(IFERROR(VLOOKUP(A88,TRAOPE!$A:$W,23,0),VLOOKUP(B88,TRAOPE!$A:$W,23,0)),"")</f>
        <v/>
      </c>
      <c r="S88" s="10">
        <f>IF(AND(P88="TN",R88="TN"),N88+N(O88),IF(G88&amp;""="1",N(K88)*N88,(N88+N(O88))*N(K88)))</f>
        <v/>
      </c>
      <c r="T88" s="10">
        <f>IF(Q88="","",Q88-S88)</f>
        <v/>
      </c>
    </row>
    <row r="89">
      <c r="A89" s="7">
        <f>CONCATENATE(C89,E89,F89,I89)</f>
        <v/>
      </c>
      <c r="B89" s="7">
        <f>CONCATENATE(C89,E89,I89)</f>
        <v/>
      </c>
      <c r="C89" s="8" t="n">
        <v>900004612</v>
      </c>
      <c r="D89" s="7">
        <f>IFERROR(VLOOKUP(C89,TRAOPE!$G:$H,2,0),"")</f>
        <v/>
      </c>
      <c r="E89" s="8" t="inlineStr">
        <is>
          <t>DW55</t>
        </is>
      </c>
      <c r="F89" s="8" t="inlineStr">
        <is>
          <t>D325</t>
        </is>
      </c>
      <c r="G89" s="8">
        <f>IFERROR(VLOOKUP(A89,Flete!$A:$E,5,0),"")</f>
        <v/>
      </c>
      <c r="H89" s="7">
        <f>IFERROR(VLOOKUP(F89,TRAOPE!$AA:$AB,2,0),"")</f>
        <v/>
      </c>
      <c r="I89" s="7" t="n">
        <v>10000541</v>
      </c>
      <c r="J89" s="7">
        <f>IFERROR(VLOOKUP(I89,Materiales!$A:$H,8,0),"")</f>
        <v/>
      </c>
      <c r="K89" s="9">
        <f>IFERROR(VLOOKUP(I89,Materiales!$A:$G,7,0),"")</f>
        <v/>
      </c>
      <c r="L89" s="8" t="inlineStr">
        <is>
          <t>20220629</t>
        </is>
      </c>
      <c r="M89" s="8" t="inlineStr">
        <is>
          <t>20240710</t>
        </is>
      </c>
      <c r="N89" s="10" t="n">
        <v>84.81999999999999</v>
      </c>
      <c r="O89" s="10">
        <f>IFERROR(VLOOKUP(A89,Flete!$A:$J,10,0),"")</f>
        <v/>
      </c>
      <c r="P89" s="8" t="inlineStr">
        <is>
          <t>TN</t>
        </is>
      </c>
      <c r="Q89" s="10">
        <f>IFERROR(IFERROR(VLOOKUP(A89,TRAOPE!$A:$U,21,0),VLOOKUP(B89,TRAOPE!$A:$U,21,0)),"")</f>
        <v/>
      </c>
      <c r="R89" s="8">
        <f>IFERROR(IFERROR(VLOOKUP(A89,TRAOPE!$A:$W,23,0),VLOOKUP(B89,TRAOPE!$A:$W,23,0)),"")</f>
        <v/>
      </c>
      <c r="S89" s="10">
        <f>IF(AND(P89="TN",R89="TN"),N89+N(O89),IF(G89&amp;""="1",N(K89)*N89,(N89+N(O89))*N(K89)))</f>
        <v/>
      </c>
      <c r="T89" s="10">
        <f>IF(Q89="","",Q89-S89)</f>
        <v/>
      </c>
    </row>
    <row r="90">
      <c r="A90" s="7">
        <f>CONCATENATE(C90,E90,F90,I90)</f>
        <v/>
      </c>
      <c r="B90" s="7">
        <f>CONCATENATE(C90,E90,I90)</f>
        <v/>
      </c>
      <c r="C90" s="8" t="n">
        <v>900004612</v>
      </c>
      <c r="D90" s="7">
        <f>IFERROR(VLOOKUP(C90,TRAOPE!$G:$H,2,0),"")</f>
        <v/>
      </c>
      <c r="E90" s="8" t="inlineStr">
        <is>
          <t>DW55</t>
        </is>
      </c>
      <c r="F90" s="8" t="inlineStr">
        <is>
          <t>D342</t>
        </is>
      </c>
      <c r="G90" s="8">
        <f>IFERROR(VLOOKUP(A90,Flete!$A:$E,5,0),"")</f>
        <v/>
      </c>
      <c r="H90" s="7">
        <f>IFERROR(VLOOKUP(F90,TRAOPE!$AA:$AB,2,0),"")</f>
        <v/>
      </c>
      <c r="I90" s="7" t="n">
        <v>10000178</v>
      </c>
      <c r="J90" s="7">
        <f>IFERROR(VLOOKUP(I90,Materiales!$A:$H,8,0),"")</f>
        <v/>
      </c>
      <c r="K90" s="9">
        <f>IFERROR(VLOOKUP(I90,Materiales!$A:$G,7,0),"")</f>
        <v/>
      </c>
      <c r="L90" s="8" t="inlineStr">
        <is>
          <t>20220629</t>
        </is>
      </c>
      <c r="M90" s="8" t="inlineStr">
        <is>
          <t>20240710</t>
        </is>
      </c>
      <c r="N90" s="10" t="n">
        <v>165.89</v>
      </c>
      <c r="O90" s="10">
        <f>IFERROR(VLOOKUP(A90,Flete!$A:$J,10,0),"")</f>
        <v/>
      </c>
      <c r="P90" s="8" t="inlineStr">
        <is>
          <t>TN</t>
        </is>
      </c>
      <c r="Q90" s="10">
        <f>IFERROR(IFERROR(VLOOKUP(A90,TRAOPE!$A:$U,21,0),VLOOKUP(B90,TRAOPE!$A:$U,21,0)),"")</f>
        <v/>
      </c>
      <c r="R90" s="8">
        <f>IFERROR(IFERROR(VLOOKUP(A90,TRAOPE!$A:$W,23,0),VLOOKUP(B90,TRAOPE!$A:$W,23,0)),"")</f>
        <v/>
      </c>
      <c r="S90" s="10">
        <f>IF(AND(P90="TN",R90="TN"),N90+N(O90),IF(G90&amp;""="1",N(K90)*N90,(N90+N(O90))*N(K90)))</f>
        <v/>
      </c>
      <c r="T90" s="10">
        <f>IF(Q90="","",Q90-S90)</f>
        <v/>
      </c>
    </row>
    <row r="91">
      <c r="A91" s="7">
        <f>CONCATENATE(C91,E91,F91,I91)</f>
        <v/>
      </c>
      <c r="B91" s="7">
        <f>CONCATENATE(C91,E91,I91)</f>
        <v/>
      </c>
      <c r="C91" s="8" t="n">
        <v>900004612</v>
      </c>
      <c r="D91" s="7">
        <f>IFERROR(VLOOKUP(C91,TRAOPE!$G:$H,2,0),"")</f>
        <v/>
      </c>
      <c r="E91" s="8" t="inlineStr">
        <is>
          <t>DW55</t>
        </is>
      </c>
      <c r="F91" s="8" t="inlineStr">
        <is>
          <t>D342</t>
        </is>
      </c>
      <c r="G91" s="8">
        <f>IFERROR(VLOOKUP(A91,Flete!$A:$E,5,0),"")</f>
        <v/>
      </c>
      <c r="H91" s="7">
        <f>IFERROR(VLOOKUP(F91,TRAOPE!$AA:$AB,2,0),"")</f>
        <v/>
      </c>
      <c r="I91" s="7" t="n">
        <v>10000541</v>
      </c>
      <c r="J91" s="7">
        <f>IFERROR(VLOOKUP(I91,Materiales!$A:$H,8,0),"")</f>
        <v/>
      </c>
      <c r="K91" s="9">
        <f>IFERROR(VLOOKUP(I91,Materiales!$A:$G,7,0),"")</f>
        <v/>
      </c>
      <c r="L91" s="8" t="inlineStr">
        <is>
          <t>20220629</t>
        </is>
      </c>
      <c r="M91" s="8" t="inlineStr">
        <is>
          <t>20240710</t>
        </is>
      </c>
      <c r="N91" s="10" t="n">
        <v>84.81</v>
      </c>
      <c r="O91" s="10">
        <f>IFERROR(VLOOKUP(A91,Flete!$A:$J,10,0),"")</f>
        <v/>
      </c>
      <c r="P91" s="8" t="inlineStr">
        <is>
          <t>TN</t>
        </is>
      </c>
      <c r="Q91" s="10">
        <f>IFERROR(IFERROR(VLOOKUP(A91,TRAOPE!$A:$U,21,0),VLOOKUP(B91,TRAOPE!$A:$U,21,0)),"")</f>
        <v/>
      </c>
      <c r="R91" s="8">
        <f>IFERROR(IFERROR(VLOOKUP(A91,TRAOPE!$A:$W,23,0),VLOOKUP(B91,TRAOPE!$A:$W,23,0)),"")</f>
        <v/>
      </c>
      <c r="S91" s="10">
        <f>IF(AND(P91="TN",R91="TN"),N91+N(O91),IF(G91&amp;""="1",N(K91)*N91,(N91+N(O91))*N(K91)))</f>
        <v/>
      </c>
      <c r="T91" s="10">
        <f>IF(Q91="","",Q91-S91)</f>
        <v/>
      </c>
    </row>
    <row r="92">
      <c r="A92" s="7">
        <f>CONCATENATE(C92,E92,F92,I92)</f>
        <v/>
      </c>
      <c r="B92" s="7">
        <f>CONCATENATE(C92,E92,I92)</f>
        <v/>
      </c>
      <c r="C92" s="8" t="n">
        <v>900004612</v>
      </c>
      <c r="D92" s="7">
        <f>IFERROR(VLOOKUP(C92,TRAOPE!$G:$H,2,0),"")</f>
        <v/>
      </c>
      <c r="E92" s="8" t="inlineStr">
        <is>
          <t>DW55</t>
        </is>
      </c>
      <c r="F92" s="8" t="inlineStr">
        <is>
          <t>D342</t>
        </is>
      </c>
      <c r="G92" s="8">
        <f>IFERROR(VLOOKUP(A92,Flete!$A:$E,5,0),"")</f>
        <v/>
      </c>
      <c r="H92" s="7">
        <f>IFERROR(VLOOKUP(F92,TRAOPE!$AA:$AB,2,0),"")</f>
        <v/>
      </c>
      <c r="I92" s="7" t="n">
        <v>10000826</v>
      </c>
      <c r="J92" s="7">
        <f>IFERROR(VLOOKUP(I92,Materiales!$A:$H,8,0),"")</f>
        <v/>
      </c>
      <c r="K92" s="9">
        <f>IFERROR(VLOOKUP(I92,Materiales!$A:$G,7,0),"")</f>
        <v/>
      </c>
      <c r="L92" s="8" t="inlineStr">
        <is>
          <t>20220629</t>
        </is>
      </c>
      <c r="M92" s="8" t="inlineStr">
        <is>
          <t>20240710</t>
        </is>
      </c>
      <c r="N92" s="10" t="n">
        <v>165.52</v>
      </c>
      <c r="O92" s="10">
        <f>IFERROR(VLOOKUP(A92,Flete!$A:$J,10,0),"")</f>
        <v/>
      </c>
      <c r="P92" s="8" t="inlineStr">
        <is>
          <t>TN</t>
        </is>
      </c>
      <c r="Q92" s="10">
        <f>IFERROR(IFERROR(VLOOKUP(A92,TRAOPE!$A:$U,21,0),VLOOKUP(B92,TRAOPE!$A:$U,21,0)),"")</f>
        <v/>
      </c>
      <c r="R92" s="8">
        <f>IFERROR(IFERROR(VLOOKUP(A92,TRAOPE!$A:$W,23,0),VLOOKUP(B92,TRAOPE!$A:$W,23,0)),"")</f>
        <v/>
      </c>
      <c r="S92" s="10">
        <f>IF(AND(P92="TN",R92="TN"),N92+N(O92),IF(G92&amp;""="1",N(K92)*N92,(N92+N(O92))*N(K92)))</f>
        <v/>
      </c>
      <c r="T92" s="10">
        <f>IF(Q92="","",Q92-S92)</f>
        <v/>
      </c>
    </row>
    <row r="93">
      <c r="A93" s="7">
        <f>CONCATENATE(C93,E93,F93,I93)</f>
        <v/>
      </c>
      <c r="B93" s="7">
        <f>CONCATENATE(C93,E93,I93)</f>
        <v/>
      </c>
      <c r="C93" s="8" t="n">
        <v>900004612</v>
      </c>
      <c r="D93" s="7">
        <f>IFERROR(VLOOKUP(C93,TRAOPE!$G:$H,2,0),"")</f>
        <v/>
      </c>
      <c r="E93" s="8" t="inlineStr">
        <is>
          <t>DW55</t>
        </is>
      </c>
      <c r="F93" s="8" t="inlineStr">
        <is>
          <t>D348</t>
        </is>
      </c>
      <c r="G93" s="8">
        <f>IFERROR(VLOOKUP(A93,Flete!$A:$E,5,0),"")</f>
        <v/>
      </c>
      <c r="H93" s="7">
        <f>IFERROR(VLOOKUP(F93,TRAOPE!$AA:$AB,2,0),"")</f>
        <v/>
      </c>
      <c r="I93" s="7" t="n">
        <v>10000541</v>
      </c>
      <c r="J93" s="7">
        <f>IFERROR(VLOOKUP(I93,Materiales!$A:$H,8,0),"")</f>
        <v/>
      </c>
      <c r="K93" s="9">
        <f>IFERROR(VLOOKUP(I93,Materiales!$A:$G,7,0),"")</f>
        <v/>
      </c>
      <c r="L93" s="8" t="inlineStr">
        <is>
          <t>20220629</t>
        </is>
      </c>
      <c r="M93" s="8" t="inlineStr">
        <is>
          <t>20240710</t>
        </is>
      </c>
      <c r="N93" s="10" t="n">
        <v>84.81999999999999</v>
      </c>
      <c r="O93" s="10">
        <f>IFERROR(VLOOKUP(A93,Flete!$A:$J,10,0),"")</f>
        <v/>
      </c>
      <c r="P93" s="8" t="inlineStr">
        <is>
          <t>TN</t>
        </is>
      </c>
      <c r="Q93" s="10">
        <f>IFERROR(IFERROR(VLOOKUP(A93,TRAOPE!$A:$U,21,0),VLOOKUP(B93,TRAOPE!$A:$U,21,0)),"")</f>
        <v/>
      </c>
      <c r="R93" s="8">
        <f>IFERROR(IFERROR(VLOOKUP(A93,TRAOPE!$A:$W,23,0),VLOOKUP(B93,TRAOPE!$A:$W,23,0)),"")</f>
        <v/>
      </c>
      <c r="S93" s="10">
        <f>IF(AND(P93="TN",R93="TN"),N93+N(O93),IF(G93&amp;""="1",N(K93)*N93,(N93+N(O93))*N(K93)))</f>
        <v/>
      </c>
      <c r="T93" s="10">
        <f>IF(Q93="","",Q93-S93)</f>
        <v/>
      </c>
    </row>
    <row r="94">
      <c r="A94" s="7">
        <f>CONCATENATE(C94,E94,F94,I94)</f>
        <v/>
      </c>
      <c r="B94" s="7">
        <f>CONCATENATE(C94,E94,I94)</f>
        <v/>
      </c>
      <c r="C94" s="8" t="n">
        <v>900004612</v>
      </c>
      <c r="D94" s="7">
        <f>IFERROR(VLOOKUP(C94,TRAOPE!$G:$H,2,0),"")</f>
        <v/>
      </c>
      <c r="E94" s="8" t="inlineStr">
        <is>
          <t>DW55</t>
        </is>
      </c>
      <c r="F94" s="8" t="inlineStr">
        <is>
          <t>ER67</t>
        </is>
      </c>
      <c r="G94" s="8">
        <f>IFERROR(VLOOKUP(A94,Flete!$A:$E,5,0),"")</f>
        <v/>
      </c>
      <c r="H94" s="7">
        <f>IFERROR(VLOOKUP(F94,TRAOPE!$AA:$AB,2,0),"")</f>
        <v/>
      </c>
      <c r="I94" s="7" t="n">
        <v>10000541</v>
      </c>
      <c r="J94" s="7">
        <f>IFERROR(VLOOKUP(I94,Materiales!$A:$H,8,0),"")</f>
        <v/>
      </c>
      <c r="K94" s="9">
        <f>IFERROR(VLOOKUP(I94,Materiales!$A:$G,7,0),"")</f>
        <v/>
      </c>
      <c r="L94" s="8" t="inlineStr">
        <is>
          <t>20220504</t>
        </is>
      </c>
      <c r="M94" s="8" t="inlineStr">
        <is>
          <t>20230127</t>
        </is>
      </c>
      <c r="N94" s="10" t="n">
        <v>89.29000000000001</v>
      </c>
      <c r="O94" s="10">
        <f>IFERROR(VLOOKUP(A94,Flete!$A:$J,10,0),"")</f>
        <v/>
      </c>
      <c r="P94" s="8" t="inlineStr">
        <is>
          <t>TN</t>
        </is>
      </c>
      <c r="Q94" s="10">
        <f>IFERROR(IFERROR(VLOOKUP(A94,TRAOPE!$A:$U,21,0),VLOOKUP(B94,TRAOPE!$A:$U,21,0)),"")</f>
        <v/>
      </c>
      <c r="R94" s="8">
        <f>IFERROR(IFERROR(VLOOKUP(A94,TRAOPE!$A:$W,23,0),VLOOKUP(B94,TRAOPE!$A:$W,23,0)),"")</f>
        <v/>
      </c>
      <c r="S94" s="10">
        <f>IF(AND(P94="TN",R94="TN"),N94+N(O94),IF(G94&amp;""="1",N(K94)*N94,(N94+N(O94))*N(K94)))</f>
        <v/>
      </c>
      <c r="T94" s="10">
        <f>IF(Q94="","",Q94-S94)</f>
        <v/>
      </c>
    </row>
    <row r="95">
      <c r="A95" s="7">
        <f>CONCATENATE(C95,E95,F95,I95)</f>
        <v/>
      </c>
      <c r="B95" s="7">
        <f>CONCATENATE(C95,E95,I95)</f>
        <v/>
      </c>
      <c r="C95" s="8" t="n">
        <v>900004612</v>
      </c>
      <c r="D95" s="7">
        <f>IFERROR(VLOOKUP(C95,TRAOPE!$G:$H,2,0),"")</f>
        <v/>
      </c>
      <c r="E95" s="8" t="inlineStr">
        <is>
          <t>DW55</t>
        </is>
      </c>
      <c r="F95" s="8" t="inlineStr">
        <is>
          <t>ER67</t>
        </is>
      </c>
      <c r="G95" s="8">
        <f>IFERROR(VLOOKUP(A95,Flete!$A:$E,5,0),"")</f>
        <v/>
      </c>
      <c r="H95" s="7">
        <f>IFERROR(VLOOKUP(F95,TRAOPE!$AA:$AB,2,0),"")</f>
        <v/>
      </c>
      <c r="I95" s="7" t="n">
        <v>10000826</v>
      </c>
      <c r="J95" s="7">
        <f>IFERROR(VLOOKUP(I95,Materiales!$A:$H,8,0),"")</f>
        <v/>
      </c>
      <c r="K95" s="9">
        <f>IFERROR(VLOOKUP(I95,Materiales!$A:$G,7,0),"")</f>
        <v/>
      </c>
      <c r="L95" s="8" t="inlineStr">
        <is>
          <t>20220504</t>
        </is>
      </c>
      <c r="M95" s="8" t="inlineStr">
        <is>
          <t>20230127</t>
        </is>
      </c>
      <c r="N95" s="10" t="n">
        <v>165.52</v>
      </c>
      <c r="O95" s="10">
        <f>IFERROR(VLOOKUP(A95,Flete!$A:$J,10,0),"")</f>
        <v/>
      </c>
      <c r="P95" s="8" t="inlineStr">
        <is>
          <t>TN</t>
        </is>
      </c>
      <c r="Q95" s="10">
        <f>IFERROR(IFERROR(VLOOKUP(A95,TRAOPE!$A:$U,21,0),VLOOKUP(B95,TRAOPE!$A:$U,21,0)),"")</f>
        <v/>
      </c>
      <c r="R95" s="8">
        <f>IFERROR(IFERROR(VLOOKUP(A95,TRAOPE!$A:$W,23,0),VLOOKUP(B95,TRAOPE!$A:$W,23,0)),"")</f>
        <v/>
      </c>
      <c r="S95" s="10">
        <f>IF(AND(P95="TN",R95="TN"),N95+N(O95),IF(G95&amp;""="1",N(K95)*N95,(N95+N(O95))*N(K95)))</f>
        <v/>
      </c>
      <c r="T95" s="10">
        <f>IF(Q95="","",Q95-S95)</f>
        <v/>
      </c>
    </row>
    <row r="96">
      <c r="A96" s="7">
        <f>CONCATENATE(C96,E96,F96,I96)</f>
        <v/>
      </c>
      <c r="B96" s="7">
        <f>CONCATENATE(C96,E96,I96)</f>
        <v/>
      </c>
      <c r="C96" s="8" t="n">
        <v>900005010</v>
      </c>
      <c r="D96" s="7">
        <f>IFERROR(VLOOKUP(C96,TRAOPE!$G:$H,2,0),"")</f>
        <v/>
      </c>
      <c r="E96" s="8" t="inlineStr">
        <is>
          <t>DW55</t>
        </is>
      </c>
      <c r="F96" s="8" t="inlineStr">
        <is>
          <t>D325</t>
        </is>
      </c>
      <c r="G96" s="8">
        <f>IFERROR(VLOOKUP(A96,Flete!$A:$E,5,0),"")</f>
        <v/>
      </c>
      <c r="H96" s="7">
        <f>IFERROR(VLOOKUP(F96,TRAOPE!$AA:$AB,2,0),"")</f>
        <v/>
      </c>
      <c r="I96" s="7" t="n">
        <v>10000372</v>
      </c>
      <c r="J96" s="7">
        <f>IFERROR(VLOOKUP(I96,Materiales!$A:$H,8,0),"")</f>
        <v/>
      </c>
      <c r="K96" s="9">
        <f>IFERROR(VLOOKUP(I96,Materiales!$A:$G,7,0),"")</f>
        <v/>
      </c>
      <c r="L96" s="8" t="inlineStr">
        <is>
          <t>20220516</t>
        </is>
      </c>
      <c r="M96" s="8" t="inlineStr">
        <is>
          <t>20240320</t>
        </is>
      </c>
      <c r="N96" s="10" t="n">
        <v>124.31</v>
      </c>
      <c r="O96" s="10">
        <f>IFERROR(VLOOKUP(A96,Flete!$A:$J,10,0),"")</f>
        <v/>
      </c>
      <c r="P96" s="8" t="inlineStr">
        <is>
          <t>TN</t>
        </is>
      </c>
      <c r="Q96" s="10">
        <f>IFERROR(IFERROR(VLOOKUP(A96,TRAOPE!$A:$U,21,0),VLOOKUP(B96,TRAOPE!$A:$U,21,0)),"")</f>
        <v/>
      </c>
      <c r="R96" s="8">
        <f>IFERROR(IFERROR(VLOOKUP(A96,TRAOPE!$A:$W,23,0),VLOOKUP(B96,TRAOPE!$A:$W,23,0)),"")</f>
        <v/>
      </c>
      <c r="S96" s="10">
        <f>IF(AND(P96="TN",R96="TN"),N96+N(O96),IF(G96&amp;""="1",N(K96)*N96,(N96+N(O96))*N(K96)))</f>
        <v/>
      </c>
      <c r="T96" s="10">
        <f>IF(Q96="","",Q96-S96)</f>
        <v/>
      </c>
    </row>
    <row r="97">
      <c r="A97" s="7">
        <f>CONCATENATE(C97,E97,F97,I97)</f>
        <v/>
      </c>
      <c r="B97" s="7">
        <f>CONCATENATE(C97,E97,I97)</f>
        <v/>
      </c>
      <c r="C97" s="8" t="n">
        <v>900005010</v>
      </c>
      <c r="D97" s="7">
        <f>IFERROR(VLOOKUP(C97,TRAOPE!$G:$H,2,0),"")</f>
        <v/>
      </c>
      <c r="E97" s="8" t="inlineStr">
        <is>
          <t>DW55</t>
        </is>
      </c>
      <c r="F97" s="8" t="inlineStr">
        <is>
          <t>D325</t>
        </is>
      </c>
      <c r="G97" s="8">
        <f>IFERROR(VLOOKUP(A97,Flete!$A:$E,5,0),"")</f>
        <v/>
      </c>
      <c r="H97" s="7">
        <f>IFERROR(VLOOKUP(F97,TRAOPE!$AA:$AB,2,0),"")</f>
        <v/>
      </c>
      <c r="I97" s="7" t="n">
        <v>10106911</v>
      </c>
      <c r="J97" s="7">
        <f>IFERROR(VLOOKUP(I97,Materiales!$A:$H,8,0),"")</f>
        <v/>
      </c>
      <c r="K97" s="9">
        <f>IFERROR(VLOOKUP(I97,Materiales!$A:$G,7,0),"")</f>
        <v/>
      </c>
      <c r="L97" s="8" t="inlineStr">
        <is>
          <t>20220516</t>
        </is>
      </c>
      <c r="M97" s="8" t="inlineStr">
        <is>
          <t>20240320</t>
        </is>
      </c>
      <c r="N97" s="10" t="n">
        <v>150.18</v>
      </c>
      <c r="O97" s="10">
        <f>IFERROR(VLOOKUP(A97,Flete!$A:$J,10,0),"")</f>
        <v/>
      </c>
      <c r="P97" s="8" t="inlineStr">
        <is>
          <t>TN</t>
        </is>
      </c>
      <c r="Q97" s="10">
        <f>IFERROR(IFERROR(VLOOKUP(A97,TRAOPE!$A:$U,21,0),VLOOKUP(B97,TRAOPE!$A:$U,21,0)),"")</f>
        <v/>
      </c>
      <c r="R97" s="8">
        <f>IFERROR(IFERROR(VLOOKUP(A97,TRAOPE!$A:$W,23,0),VLOOKUP(B97,TRAOPE!$A:$W,23,0)),"")</f>
        <v/>
      </c>
      <c r="S97" s="10">
        <f>IF(AND(P97="TN",R97="TN"),N97+N(O97),IF(G97&amp;""="1",N(K97)*N97,(N97+N(O97))*N(K97)))</f>
        <v/>
      </c>
      <c r="T97" s="10">
        <f>IF(Q97="","",Q97-S97)</f>
        <v/>
      </c>
    </row>
    <row r="98">
      <c r="A98" s="7">
        <f>CONCATENATE(C98,E98,F98,I98)</f>
        <v/>
      </c>
      <c r="B98" s="7">
        <f>CONCATENATE(C98,E98,I98)</f>
        <v/>
      </c>
      <c r="C98" s="8" t="n">
        <v>900005010</v>
      </c>
      <c r="D98" s="7">
        <f>IFERROR(VLOOKUP(C98,TRAOPE!$G:$H,2,0),"")</f>
        <v/>
      </c>
      <c r="E98" s="8" t="inlineStr">
        <is>
          <t>DW55</t>
        </is>
      </c>
      <c r="F98" s="8" t="inlineStr">
        <is>
          <t>ER68</t>
        </is>
      </c>
      <c r="G98" s="8">
        <f>IFERROR(VLOOKUP(A98,Flete!$A:$E,5,0),"")</f>
        <v/>
      </c>
      <c r="H98" s="7">
        <f>IFERROR(VLOOKUP(F98,TRAOPE!$AA:$AB,2,0),"")</f>
        <v/>
      </c>
      <c r="I98" s="7" t="n">
        <v>10000372</v>
      </c>
      <c r="J98" s="7">
        <f>IFERROR(VLOOKUP(I98,Materiales!$A:$H,8,0),"")</f>
        <v/>
      </c>
      <c r="K98" s="9">
        <f>IFERROR(VLOOKUP(I98,Materiales!$A:$G,7,0),"")</f>
        <v/>
      </c>
      <c r="L98" s="8" t="inlineStr">
        <is>
          <t>20220516</t>
        </is>
      </c>
      <c r="M98" s="8" t="inlineStr">
        <is>
          <t>20240320</t>
        </is>
      </c>
      <c r="N98" s="10" t="n">
        <v>124.31</v>
      </c>
      <c r="O98" s="10">
        <f>IFERROR(VLOOKUP(A98,Flete!$A:$J,10,0),"")</f>
        <v/>
      </c>
      <c r="P98" s="8" t="inlineStr">
        <is>
          <t>TN</t>
        </is>
      </c>
      <c r="Q98" s="10">
        <f>IFERROR(IFERROR(VLOOKUP(A98,TRAOPE!$A:$U,21,0),VLOOKUP(B98,TRAOPE!$A:$U,21,0)),"")</f>
        <v/>
      </c>
      <c r="R98" s="8">
        <f>IFERROR(IFERROR(VLOOKUP(A98,TRAOPE!$A:$W,23,0),VLOOKUP(B98,TRAOPE!$A:$W,23,0)),"")</f>
        <v/>
      </c>
      <c r="S98" s="10">
        <f>IF(AND(P98="TN",R98="TN"),N98+N(O98),IF(G98&amp;""="1",N(K98)*N98,(N98+N(O98))*N(K98)))</f>
        <v/>
      </c>
      <c r="T98" s="10">
        <f>IF(Q98="","",Q98-S98)</f>
        <v/>
      </c>
    </row>
    <row r="99">
      <c r="A99" s="7">
        <f>CONCATENATE(C99,E99,F99,I99)</f>
        <v/>
      </c>
      <c r="B99" s="7">
        <f>CONCATENATE(C99,E99,I99)</f>
        <v/>
      </c>
      <c r="C99" s="8" t="n">
        <v>900005011</v>
      </c>
      <c r="D99" s="7">
        <f>IFERROR(VLOOKUP(C99,TRAOPE!$G:$H,2,0),"")</f>
        <v/>
      </c>
      <c r="E99" s="8" t="inlineStr">
        <is>
          <t>DW55</t>
        </is>
      </c>
      <c r="F99" s="8" t="inlineStr">
        <is>
          <t>D325</t>
        </is>
      </c>
      <c r="G99" s="8">
        <f>IFERROR(VLOOKUP(A99,Flete!$A:$E,5,0),"")</f>
        <v/>
      </c>
      <c r="H99" s="7">
        <f>IFERROR(VLOOKUP(F99,TRAOPE!$AA:$AB,2,0),"")</f>
        <v/>
      </c>
      <c r="I99" s="7" t="n">
        <v>10000372</v>
      </c>
      <c r="J99" s="7">
        <f>IFERROR(VLOOKUP(I99,Materiales!$A:$H,8,0),"")</f>
        <v/>
      </c>
      <c r="K99" s="9">
        <f>IFERROR(VLOOKUP(I99,Materiales!$A:$G,7,0),"")</f>
        <v/>
      </c>
      <c r="L99" s="8" t="inlineStr">
        <is>
          <t>20220504</t>
        </is>
      </c>
      <c r="M99" s="8" t="inlineStr">
        <is>
          <t>99991231</t>
        </is>
      </c>
      <c r="N99" s="10" t="n">
        <v>124.31</v>
      </c>
      <c r="O99" s="10">
        <f>IFERROR(VLOOKUP(A99,Flete!$A:$J,10,0),"")</f>
        <v/>
      </c>
      <c r="P99" s="8" t="inlineStr">
        <is>
          <t>TN</t>
        </is>
      </c>
      <c r="Q99" s="10">
        <f>IFERROR(IFERROR(VLOOKUP(A99,TRAOPE!$A:$U,21,0),VLOOKUP(B99,TRAOPE!$A:$U,21,0)),"")</f>
        <v/>
      </c>
      <c r="R99" s="8">
        <f>IFERROR(IFERROR(VLOOKUP(A99,TRAOPE!$A:$W,23,0),VLOOKUP(B99,TRAOPE!$A:$W,23,0)),"")</f>
        <v/>
      </c>
      <c r="S99" s="10">
        <f>IF(AND(P99="TN",R99="TN"),N99+N(O99),IF(G99&amp;""="1",N(K99)*N99,(N99+N(O99))*N(K99)))</f>
        <v/>
      </c>
      <c r="T99" s="10">
        <f>IF(Q99="","",Q99-S99)</f>
        <v/>
      </c>
    </row>
    <row r="100">
      <c r="A100" s="7">
        <f>CONCATENATE(C100,E100,F100,I100)</f>
        <v/>
      </c>
      <c r="B100" s="7">
        <f>CONCATENATE(C100,E100,I100)</f>
        <v/>
      </c>
      <c r="C100" s="8" t="n">
        <v>900005011</v>
      </c>
      <c r="D100" s="7">
        <f>IFERROR(VLOOKUP(C100,TRAOPE!$G:$H,2,0),"")</f>
        <v/>
      </c>
      <c r="E100" s="8" t="inlineStr">
        <is>
          <t>DW55</t>
        </is>
      </c>
      <c r="F100" s="8" t="inlineStr">
        <is>
          <t>D325</t>
        </is>
      </c>
      <c r="G100" s="8">
        <f>IFERROR(VLOOKUP(A100,Flete!$A:$E,5,0),"")</f>
        <v/>
      </c>
      <c r="H100" s="7">
        <f>IFERROR(VLOOKUP(F100,TRAOPE!$AA:$AB,2,0),"")</f>
        <v/>
      </c>
      <c r="I100" s="7" t="n">
        <v>10000673</v>
      </c>
      <c r="J100" s="7">
        <f>IFERROR(VLOOKUP(I100,Materiales!$A:$H,8,0),"")</f>
        <v/>
      </c>
      <c r="K100" s="9">
        <f>IFERROR(VLOOKUP(I100,Materiales!$A:$G,7,0),"")</f>
        <v/>
      </c>
      <c r="L100" s="8" t="inlineStr">
        <is>
          <t>20220516</t>
        </is>
      </c>
      <c r="M100" s="8" t="inlineStr">
        <is>
          <t>20240930</t>
        </is>
      </c>
      <c r="N100" s="10" t="n">
        <v>604.34</v>
      </c>
      <c r="O100" s="10">
        <f>IFERROR(VLOOKUP(A100,Flete!$A:$J,10,0),"")</f>
        <v/>
      </c>
      <c r="P100" s="8" t="inlineStr">
        <is>
          <t>TN</t>
        </is>
      </c>
      <c r="Q100" s="10">
        <f>IFERROR(IFERROR(VLOOKUP(A100,TRAOPE!$A:$U,21,0),VLOOKUP(B100,TRAOPE!$A:$U,21,0)),"")</f>
        <v/>
      </c>
      <c r="R100" s="8">
        <f>IFERROR(IFERROR(VLOOKUP(A100,TRAOPE!$A:$W,23,0),VLOOKUP(B100,TRAOPE!$A:$W,23,0)),"")</f>
        <v/>
      </c>
      <c r="S100" s="10">
        <f>IF(AND(P100="TN",R100="TN"),N100+N(O100),IF(G100&amp;""="1",N(K100)*N100,(N100+N(O100))*N(K100)))</f>
        <v/>
      </c>
      <c r="T100" s="10">
        <f>IF(Q100="","",Q100-S100)</f>
        <v/>
      </c>
    </row>
    <row r="101">
      <c r="A101" s="7">
        <f>CONCATENATE(C101,E101,F101,I101)</f>
        <v/>
      </c>
      <c r="B101" s="7">
        <f>CONCATENATE(C101,E101,I101)</f>
        <v/>
      </c>
      <c r="C101" s="8" t="n">
        <v>900005011</v>
      </c>
      <c r="D101" s="7">
        <f>IFERROR(VLOOKUP(C101,TRAOPE!$G:$H,2,0),"")</f>
        <v/>
      </c>
      <c r="E101" s="8" t="inlineStr">
        <is>
          <t>DW55</t>
        </is>
      </c>
      <c r="F101" s="8" t="inlineStr">
        <is>
          <t>D325</t>
        </is>
      </c>
      <c r="G101" s="8">
        <f>IFERROR(VLOOKUP(A101,Flete!$A:$E,5,0),"")</f>
        <v/>
      </c>
      <c r="H101" s="7">
        <f>IFERROR(VLOOKUP(F101,TRAOPE!$AA:$AB,2,0),"")</f>
        <v/>
      </c>
      <c r="I101" s="7" t="n">
        <v>10023592</v>
      </c>
      <c r="J101" s="7">
        <f>IFERROR(VLOOKUP(I101,Materiales!$A:$H,8,0),"")</f>
        <v/>
      </c>
      <c r="K101" s="9">
        <f>IFERROR(VLOOKUP(I101,Materiales!$A:$G,7,0),"")</f>
        <v/>
      </c>
      <c r="L101" s="8" t="inlineStr">
        <is>
          <t>20220504</t>
        </is>
      </c>
      <c r="M101" s="8" t="inlineStr">
        <is>
          <t>99991231</t>
        </is>
      </c>
      <c r="N101" s="10" t="n">
        <v>111.67</v>
      </c>
      <c r="O101" s="10">
        <f>IFERROR(VLOOKUP(A101,Flete!$A:$J,10,0),"")</f>
        <v/>
      </c>
      <c r="P101" s="8" t="inlineStr">
        <is>
          <t>TN</t>
        </is>
      </c>
      <c r="Q101" s="10">
        <f>IFERROR(IFERROR(VLOOKUP(A101,TRAOPE!$A:$U,21,0),VLOOKUP(B101,TRAOPE!$A:$U,21,0)),"")</f>
        <v/>
      </c>
      <c r="R101" s="8">
        <f>IFERROR(IFERROR(VLOOKUP(A101,TRAOPE!$A:$W,23,0),VLOOKUP(B101,TRAOPE!$A:$W,23,0)),"")</f>
        <v/>
      </c>
      <c r="S101" s="10">
        <f>IF(AND(P101="TN",R101="TN"),N101+N(O101),IF(G101&amp;""="1",N(K101)*N101,(N101+N(O101))*N(K101)))</f>
        <v/>
      </c>
      <c r="T101" s="10">
        <f>IF(Q101="","",Q101-S101)</f>
        <v/>
      </c>
    </row>
    <row r="102">
      <c r="A102" s="7">
        <f>CONCATENATE(C102,E102,F102,I102)</f>
        <v/>
      </c>
      <c r="B102" s="7">
        <f>CONCATENATE(C102,E102,I102)</f>
        <v/>
      </c>
      <c r="C102" s="8" t="n">
        <v>900005011</v>
      </c>
      <c r="D102" s="7">
        <f>IFERROR(VLOOKUP(C102,TRAOPE!$G:$H,2,0),"")</f>
        <v/>
      </c>
      <c r="E102" s="8" t="inlineStr">
        <is>
          <t>DW55</t>
        </is>
      </c>
      <c r="F102" s="8" t="inlineStr">
        <is>
          <t>D325</t>
        </is>
      </c>
      <c r="G102" s="8">
        <f>IFERROR(VLOOKUP(A102,Flete!$A:$E,5,0),"")</f>
        <v/>
      </c>
      <c r="H102" s="7">
        <f>IFERROR(VLOOKUP(F102,TRAOPE!$AA:$AB,2,0),"")</f>
        <v/>
      </c>
      <c r="I102" s="7" t="n">
        <v>10106911</v>
      </c>
      <c r="J102" s="7">
        <f>IFERROR(VLOOKUP(I102,Materiales!$A:$H,8,0),"")</f>
        <v/>
      </c>
      <c r="K102" s="9">
        <f>IFERROR(VLOOKUP(I102,Materiales!$A:$G,7,0),"")</f>
        <v/>
      </c>
      <c r="L102" s="8" t="inlineStr">
        <is>
          <t>20220516</t>
        </is>
      </c>
      <c r="M102" s="8" t="inlineStr">
        <is>
          <t>20240930</t>
        </is>
      </c>
      <c r="N102" s="10" t="n">
        <v>176.41</v>
      </c>
      <c r="O102" s="10">
        <f>IFERROR(VLOOKUP(A102,Flete!$A:$J,10,0),"")</f>
        <v/>
      </c>
      <c r="P102" s="8" t="inlineStr">
        <is>
          <t>TN</t>
        </is>
      </c>
      <c r="Q102" s="10">
        <f>IFERROR(IFERROR(VLOOKUP(A102,TRAOPE!$A:$U,21,0),VLOOKUP(B102,TRAOPE!$A:$U,21,0)),"")</f>
        <v/>
      </c>
      <c r="R102" s="8">
        <f>IFERROR(IFERROR(VLOOKUP(A102,TRAOPE!$A:$W,23,0),VLOOKUP(B102,TRAOPE!$A:$W,23,0)),"")</f>
        <v/>
      </c>
      <c r="S102" s="10">
        <f>IF(AND(P102="TN",R102="TN"),N102+N(O102),IF(G102&amp;""="1",N(K102)*N102,(N102+N(O102))*N(K102)))</f>
        <v/>
      </c>
      <c r="T102" s="10">
        <f>IF(Q102="","",Q102-S102)</f>
        <v/>
      </c>
    </row>
    <row r="103">
      <c r="A103" s="7">
        <f>CONCATENATE(C103,E103,F103,I103)</f>
        <v/>
      </c>
      <c r="B103" s="7">
        <f>CONCATENATE(C103,E103,I103)</f>
        <v/>
      </c>
      <c r="C103" s="8" t="n">
        <v>900005011</v>
      </c>
      <c r="D103" s="7">
        <f>IFERROR(VLOOKUP(C103,TRAOPE!$G:$H,2,0),"")</f>
        <v/>
      </c>
      <c r="E103" s="8" t="inlineStr">
        <is>
          <t>DW55</t>
        </is>
      </c>
      <c r="F103" s="8" t="inlineStr">
        <is>
          <t>D348</t>
        </is>
      </c>
      <c r="G103" s="8">
        <f>IFERROR(VLOOKUP(A103,Flete!$A:$E,5,0),"")</f>
        <v/>
      </c>
      <c r="H103" s="7">
        <f>IFERROR(VLOOKUP(F103,TRAOPE!$AA:$AB,2,0),"")</f>
        <v/>
      </c>
      <c r="I103" s="7" t="n">
        <v>10000372</v>
      </c>
      <c r="J103" s="7">
        <f>IFERROR(VLOOKUP(I103,Materiales!$A:$H,8,0),"")</f>
        <v/>
      </c>
      <c r="K103" s="9">
        <f>IFERROR(VLOOKUP(I103,Materiales!$A:$G,7,0),"")</f>
        <v/>
      </c>
      <c r="L103" s="8" t="inlineStr">
        <is>
          <t>20250428</t>
        </is>
      </c>
      <c r="M103" s="8" t="inlineStr">
        <is>
          <t>20251031</t>
        </is>
      </c>
      <c r="N103" s="10" t="n">
        <v>124.31</v>
      </c>
      <c r="O103" s="10">
        <f>IFERROR(VLOOKUP(A103,Flete!$A:$J,10,0),"")</f>
        <v/>
      </c>
      <c r="P103" s="8" t="inlineStr">
        <is>
          <t>TN</t>
        </is>
      </c>
      <c r="Q103" s="10">
        <f>IFERROR(IFERROR(VLOOKUP(A103,TRAOPE!$A:$U,21,0),VLOOKUP(B103,TRAOPE!$A:$U,21,0)),"")</f>
        <v/>
      </c>
      <c r="R103" s="8">
        <f>IFERROR(IFERROR(VLOOKUP(A103,TRAOPE!$A:$W,23,0),VLOOKUP(B103,TRAOPE!$A:$W,23,0)),"")</f>
        <v/>
      </c>
      <c r="S103" s="10">
        <f>IF(AND(P103="TN",R103="TN"),N103+N(O103),IF(G103&amp;""="1",N(K103)*N103,(N103+N(O103))*N(K103)))</f>
        <v/>
      </c>
      <c r="T103" s="10">
        <f>IF(Q103="","",Q103-S103)</f>
        <v/>
      </c>
    </row>
    <row r="104">
      <c r="A104" s="7">
        <f>CONCATENATE(C104,E104,F104,I104)</f>
        <v/>
      </c>
      <c r="B104" s="7">
        <f>CONCATENATE(C104,E104,I104)</f>
        <v/>
      </c>
      <c r="C104" s="8" t="n">
        <v>900005011</v>
      </c>
      <c r="D104" s="7">
        <f>IFERROR(VLOOKUP(C104,TRAOPE!$G:$H,2,0),"")</f>
        <v/>
      </c>
      <c r="E104" s="8" t="inlineStr">
        <is>
          <t>DW55</t>
        </is>
      </c>
      <c r="F104" s="8" t="inlineStr">
        <is>
          <t>D348</t>
        </is>
      </c>
      <c r="G104" s="8">
        <f>IFERROR(VLOOKUP(A104,Flete!$A:$E,5,0),"")</f>
        <v/>
      </c>
      <c r="H104" s="7">
        <f>IFERROR(VLOOKUP(F104,TRAOPE!$AA:$AB,2,0),"")</f>
        <v/>
      </c>
      <c r="I104" s="7" t="n">
        <v>10000373</v>
      </c>
      <c r="J104" s="7">
        <f>IFERROR(VLOOKUP(I104,Materiales!$A:$H,8,0),"")</f>
        <v/>
      </c>
      <c r="K104" s="9">
        <f>IFERROR(VLOOKUP(I104,Materiales!$A:$G,7,0),"")</f>
        <v/>
      </c>
      <c r="L104" s="8" t="inlineStr">
        <is>
          <t>20240122</t>
        </is>
      </c>
      <c r="M104" s="8" t="inlineStr">
        <is>
          <t>20241015</t>
        </is>
      </c>
      <c r="N104" s="10" t="n">
        <v>179.21</v>
      </c>
      <c r="O104" s="10">
        <f>IFERROR(VLOOKUP(A104,Flete!$A:$J,10,0),"")</f>
        <v/>
      </c>
      <c r="P104" s="8" t="inlineStr">
        <is>
          <t>TN</t>
        </is>
      </c>
      <c r="Q104" s="10">
        <f>IFERROR(IFERROR(VLOOKUP(A104,TRAOPE!$A:$U,21,0),VLOOKUP(B104,TRAOPE!$A:$U,21,0)),"")</f>
        <v/>
      </c>
      <c r="R104" s="8">
        <f>IFERROR(IFERROR(VLOOKUP(A104,TRAOPE!$A:$W,23,0),VLOOKUP(B104,TRAOPE!$A:$W,23,0)),"")</f>
        <v/>
      </c>
      <c r="S104" s="10">
        <f>IF(AND(P104="TN",R104="TN"),N104+N(O104),IF(G104&amp;""="1",N(K104)*N104,(N104+N(O104))*N(K104)))</f>
        <v/>
      </c>
      <c r="T104" s="10">
        <f>IF(Q104="","",Q104-S104)</f>
        <v/>
      </c>
    </row>
    <row r="105">
      <c r="A105" s="7">
        <f>CONCATENATE(C105,E105,F105,I105)</f>
        <v/>
      </c>
      <c r="B105" s="7">
        <f>CONCATENATE(C105,E105,I105)</f>
        <v/>
      </c>
      <c r="C105" s="8" t="n">
        <v>900005011</v>
      </c>
      <c r="D105" s="7">
        <f>IFERROR(VLOOKUP(C105,TRAOPE!$G:$H,2,0),"")</f>
        <v/>
      </c>
      <c r="E105" s="8" t="inlineStr">
        <is>
          <t>DW55</t>
        </is>
      </c>
      <c r="F105" s="8" t="inlineStr">
        <is>
          <t>D348</t>
        </is>
      </c>
      <c r="G105" s="8">
        <f>IFERROR(VLOOKUP(A105,Flete!$A:$E,5,0),"")</f>
        <v/>
      </c>
      <c r="H105" s="7">
        <f>IFERROR(VLOOKUP(F105,TRAOPE!$AA:$AB,2,0),"")</f>
        <v/>
      </c>
      <c r="I105" s="7" t="n">
        <v>10000673</v>
      </c>
      <c r="J105" s="7">
        <f>IFERROR(VLOOKUP(I105,Materiales!$A:$H,8,0),"")</f>
        <v/>
      </c>
      <c r="K105" s="9">
        <f>IFERROR(VLOOKUP(I105,Materiales!$A:$G,7,0),"")</f>
        <v/>
      </c>
      <c r="L105" s="8" t="inlineStr">
        <is>
          <t>20220516</t>
        </is>
      </c>
      <c r="M105" s="8" t="inlineStr">
        <is>
          <t>20240930</t>
        </is>
      </c>
      <c r="N105" s="10" t="n">
        <v>181.82</v>
      </c>
      <c r="O105" s="10">
        <f>IFERROR(VLOOKUP(A105,Flete!$A:$J,10,0),"")</f>
        <v/>
      </c>
      <c r="P105" s="8" t="inlineStr">
        <is>
          <t>TN</t>
        </is>
      </c>
      <c r="Q105" s="10">
        <f>IFERROR(IFERROR(VLOOKUP(A105,TRAOPE!$A:$U,21,0),VLOOKUP(B105,TRAOPE!$A:$U,21,0)),"")</f>
        <v/>
      </c>
      <c r="R105" s="8">
        <f>IFERROR(IFERROR(VLOOKUP(A105,TRAOPE!$A:$W,23,0),VLOOKUP(B105,TRAOPE!$A:$W,23,0)),"")</f>
        <v/>
      </c>
      <c r="S105" s="10">
        <f>IF(AND(P105="TN",R105="TN"),N105+N(O105),IF(G105&amp;""="1",N(K105)*N105,(N105+N(O105))*N(K105)))</f>
        <v/>
      </c>
      <c r="T105" s="10">
        <f>IF(Q105="","",Q105-S105)</f>
        <v/>
      </c>
    </row>
    <row r="106">
      <c r="A106" s="7">
        <f>CONCATENATE(C106,E106,F106,I106)</f>
        <v/>
      </c>
      <c r="B106" s="7">
        <f>CONCATENATE(C106,E106,I106)</f>
        <v/>
      </c>
      <c r="C106" s="8" t="n">
        <v>900005011</v>
      </c>
      <c r="D106" s="7">
        <f>IFERROR(VLOOKUP(C106,TRAOPE!$G:$H,2,0),"")</f>
        <v/>
      </c>
      <c r="E106" s="8" t="inlineStr">
        <is>
          <t>DW55</t>
        </is>
      </c>
      <c r="F106" s="8" t="inlineStr">
        <is>
          <t>ER67</t>
        </is>
      </c>
      <c r="G106" s="8">
        <f>IFERROR(VLOOKUP(A106,Flete!$A:$E,5,0),"")</f>
        <v/>
      </c>
      <c r="H106" s="7">
        <f>IFERROR(VLOOKUP(F106,TRAOPE!$AA:$AB,2,0),"")</f>
        <v/>
      </c>
      <c r="I106" s="7" t="n">
        <v>10000372</v>
      </c>
      <c r="J106" s="7">
        <f>IFERROR(VLOOKUP(I106,Materiales!$A:$H,8,0),"")</f>
        <v/>
      </c>
      <c r="K106" s="9">
        <f>IFERROR(VLOOKUP(I106,Materiales!$A:$G,7,0),"")</f>
        <v/>
      </c>
      <c r="L106" s="8" t="inlineStr">
        <is>
          <t>20220504</t>
        </is>
      </c>
      <c r="M106" s="8" t="inlineStr">
        <is>
          <t>20230127</t>
        </is>
      </c>
      <c r="N106" s="10" t="n">
        <v>124.31</v>
      </c>
      <c r="O106" s="10">
        <f>IFERROR(VLOOKUP(A106,Flete!$A:$J,10,0),"")</f>
        <v/>
      </c>
      <c r="P106" s="8" t="inlineStr">
        <is>
          <t>TN</t>
        </is>
      </c>
      <c r="Q106" s="10">
        <f>IFERROR(IFERROR(VLOOKUP(A106,TRAOPE!$A:$U,21,0),VLOOKUP(B106,TRAOPE!$A:$U,21,0)),"")</f>
        <v/>
      </c>
      <c r="R106" s="8">
        <f>IFERROR(IFERROR(VLOOKUP(A106,TRAOPE!$A:$W,23,0),VLOOKUP(B106,TRAOPE!$A:$W,23,0)),"")</f>
        <v/>
      </c>
      <c r="S106" s="10">
        <f>IF(AND(P106="TN",R106="TN"),N106+N(O106),IF(G106&amp;""="1",N(K106)*N106,(N106+N(O106))*N(K106)))</f>
        <v/>
      </c>
      <c r="T106" s="10">
        <f>IF(Q106="","",Q106-S106)</f>
        <v/>
      </c>
    </row>
    <row r="107">
      <c r="A107" s="7">
        <f>CONCATENATE(C107,E107,F107,I107)</f>
        <v/>
      </c>
      <c r="B107" s="7">
        <f>CONCATENATE(C107,E107,I107)</f>
        <v/>
      </c>
      <c r="C107" s="8" t="n">
        <v>900005011</v>
      </c>
      <c r="D107" s="7">
        <f>IFERROR(VLOOKUP(C107,TRAOPE!$G:$H,2,0),"")</f>
        <v/>
      </c>
      <c r="E107" s="8" t="inlineStr">
        <is>
          <t>DW55</t>
        </is>
      </c>
      <c r="F107" s="8" t="inlineStr">
        <is>
          <t>ER68</t>
        </is>
      </c>
      <c r="G107" s="8">
        <f>IFERROR(VLOOKUP(A107,Flete!$A:$E,5,0),"")</f>
        <v/>
      </c>
      <c r="H107" s="7">
        <f>IFERROR(VLOOKUP(F107,TRAOPE!$AA:$AB,2,0),"")</f>
        <v/>
      </c>
      <c r="I107" s="7" t="n">
        <v>10000372</v>
      </c>
      <c r="J107" s="7">
        <f>IFERROR(VLOOKUP(I107,Materiales!$A:$H,8,0),"")</f>
        <v/>
      </c>
      <c r="K107" s="9">
        <f>IFERROR(VLOOKUP(I107,Materiales!$A:$G,7,0),"")</f>
        <v/>
      </c>
      <c r="L107" s="8" t="inlineStr">
        <is>
          <t>20220516</t>
        </is>
      </c>
      <c r="M107" s="8" t="inlineStr">
        <is>
          <t>20240320</t>
        </is>
      </c>
      <c r="N107" s="10" t="n">
        <v>124.31</v>
      </c>
      <c r="O107" s="10">
        <f>IFERROR(VLOOKUP(A107,Flete!$A:$J,10,0),"")</f>
        <v/>
      </c>
      <c r="P107" s="8" t="inlineStr">
        <is>
          <t>TN</t>
        </is>
      </c>
      <c r="Q107" s="10">
        <f>IFERROR(IFERROR(VLOOKUP(A107,TRAOPE!$A:$U,21,0),VLOOKUP(B107,TRAOPE!$A:$U,21,0)),"")</f>
        <v/>
      </c>
      <c r="R107" s="8">
        <f>IFERROR(IFERROR(VLOOKUP(A107,TRAOPE!$A:$W,23,0),VLOOKUP(B107,TRAOPE!$A:$W,23,0)),"")</f>
        <v/>
      </c>
      <c r="S107" s="10">
        <f>IF(AND(P107="TN",R107="TN"),N107+N(O107),IF(G107&amp;""="1",N(K107)*N107,(N107+N(O107))*N(K107)))</f>
        <v/>
      </c>
      <c r="T107" s="10">
        <f>IF(Q107="","",Q107-S107)</f>
        <v/>
      </c>
    </row>
    <row r="108">
      <c r="A108" s="7">
        <f>CONCATENATE(C108,E108,F108,I108)</f>
        <v/>
      </c>
      <c r="B108" s="7">
        <f>CONCATENATE(C108,E108,I108)</f>
        <v/>
      </c>
      <c r="C108" s="8" t="n">
        <v>900005417</v>
      </c>
      <c r="D108" s="7">
        <f>IFERROR(VLOOKUP(C108,TRAOPE!$G:$H,2,0),"")</f>
        <v/>
      </c>
      <c r="E108" s="8" t="inlineStr">
        <is>
          <t>DW55</t>
        </is>
      </c>
      <c r="F108" s="8" t="inlineStr">
        <is>
          <t>D284</t>
        </is>
      </c>
      <c r="G108" s="8">
        <f>IFERROR(VLOOKUP(A108,Flete!$A:$E,5,0),"")</f>
        <v/>
      </c>
      <c r="H108" s="7">
        <f>IFERROR(VLOOKUP(F108,TRAOPE!$AA:$AB,2,0),"")</f>
        <v/>
      </c>
      <c r="I108" s="7" t="n">
        <v>10000834</v>
      </c>
      <c r="J108" s="7">
        <f>IFERROR(VLOOKUP(I108,Materiales!$A:$H,8,0),"")</f>
        <v/>
      </c>
      <c r="K108" s="9">
        <f>IFERROR(VLOOKUP(I108,Materiales!$A:$G,7,0),"")</f>
        <v/>
      </c>
      <c r="L108" s="8" t="inlineStr">
        <is>
          <t>20220516</t>
        </is>
      </c>
      <c r="M108" s="8" t="inlineStr">
        <is>
          <t>20240710</t>
        </is>
      </c>
      <c r="N108" s="10" t="n">
        <v>38.49</v>
      </c>
      <c r="O108" s="10">
        <f>IFERROR(VLOOKUP(A108,Flete!$A:$J,10,0),"")</f>
        <v/>
      </c>
      <c r="P108" s="8" t="inlineStr">
        <is>
          <t>TN</t>
        </is>
      </c>
      <c r="Q108" s="10">
        <f>IFERROR(IFERROR(VLOOKUP(A108,TRAOPE!$A:$U,21,0),VLOOKUP(B108,TRAOPE!$A:$U,21,0)),"")</f>
        <v/>
      </c>
      <c r="R108" s="8">
        <f>IFERROR(IFERROR(VLOOKUP(A108,TRAOPE!$A:$W,23,0),VLOOKUP(B108,TRAOPE!$A:$W,23,0)),"")</f>
        <v/>
      </c>
      <c r="S108" s="10">
        <f>IF(AND(P108="TN",R108="TN"),N108+N(O108),IF(G108&amp;""="1",N(K108)*N108,(N108+N(O108))*N(K108)))</f>
        <v/>
      </c>
      <c r="T108" s="10">
        <f>IF(Q108="","",Q108-S108)</f>
        <v/>
      </c>
    </row>
    <row r="109">
      <c r="A109" s="7">
        <f>CONCATENATE(C109,E109,F109,I109)</f>
        <v/>
      </c>
      <c r="B109" s="7">
        <f>CONCATENATE(C109,E109,I109)</f>
        <v/>
      </c>
      <c r="C109" s="8" t="n">
        <v>900005417</v>
      </c>
      <c r="D109" s="7">
        <f>IFERROR(VLOOKUP(C109,TRAOPE!$G:$H,2,0),"")</f>
        <v/>
      </c>
      <c r="E109" s="8" t="inlineStr">
        <is>
          <t>DW55</t>
        </is>
      </c>
      <c r="F109" s="8" t="inlineStr">
        <is>
          <t>D309</t>
        </is>
      </c>
      <c r="G109" s="8">
        <f>IFERROR(VLOOKUP(A109,Flete!$A:$E,5,0),"")</f>
        <v/>
      </c>
      <c r="H109" s="7">
        <f>IFERROR(VLOOKUP(F109,TRAOPE!$AA:$AB,2,0),"")</f>
        <v/>
      </c>
      <c r="I109" s="7" t="n">
        <v>10000834</v>
      </c>
      <c r="J109" s="7">
        <f>IFERROR(VLOOKUP(I109,Materiales!$A:$H,8,0),"")</f>
        <v/>
      </c>
      <c r="K109" s="9">
        <f>IFERROR(VLOOKUP(I109,Materiales!$A:$G,7,0),"")</f>
        <v/>
      </c>
      <c r="L109" s="8" t="inlineStr">
        <is>
          <t>20220516</t>
        </is>
      </c>
      <c r="M109" s="8" t="inlineStr">
        <is>
          <t>20240710</t>
        </is>
      </c>
      <c r="N109" s="10" t="n">
        <v>38.49</v>
      </c>
      <c r="O109" s="10">
        <f>IFERROR(VLOOKUP(A109,Flete!$A:$J,10,0),"")</f>
        <v/>
      </c>
      <c r="P109" s="8" t="inlineStr">
        <is>
          <t>TN</t>
        </is>
      </c>
      <c r="Q109" s="10">
        <f>IFERROR(IFERROR(VLOOKUP(A109,TRAOPE!$A:$U,21,0),VLOOKUP(B109,TRAOPE!$A:$U,21,0)),"")</f>
        <v/>
      </c>
      <c r="R109" s="8">
        <f>IFERROR(IFERROR(VLOOKUP(A109,TRAOPE!$A:$W,23,0),VLOOKUP(B109,TRAOPE!$A:$W,23,0)),"")</f>
        <v/>
      </c>
      <c r="S109" s="10">
        <f>IF(AND(P109="TN",R109="TN"),N109+N(O109),IF(G109&amp;""="1",N(K109)*N109,(N109+N(O109))*N(K109)))</f>
        <v/>
      </c>
      <c r="T109" s="10">
        <f>IF(Q109="","",Q109-S109)</f>
        <v/>
      </c>
    </row>
    <row r="110">
      <c r="A110" s="7">
        <f>CONCATENATE(C110,E110,F110,I110)</f>
        <v/>
      </c>
      <c r="B110" s="7">
        <f>CONCATENATE(C110,E110,I110)</f>
        <v/>
      </c>
      <c r="C110" s="8" t="n">
        <v>900005417</v>
      </c>
      <c r="D110" s="7">
        <f>IFERROR(VLOOKUP(C110,TRAOPE!$G:$H,2,0),"")</f>
        <v/>
      </c>
      <c r="E110" s="8" t="inlineStr">
        <is>
          <t>DW55</t>
        </is>
      </c>
      <c r="F110" s="8" t="inlineStr">
        <is>
          <t>D342</t>
        </is>
      </c>
      <c r="G110" s="8">
        <f>IFERROR(VLOOKUP(A110,Flete!$A:$E,5,0),"")</f>
        <v/>
      </c>
      <c r="H110" s="7">
        <f>IFERROR(VLOOKUP(F110,TRAOPE!$AA:$AB,2,0),"")</f>
        <v/>
      </c>
      <c r="I110" s="7" t="n">
        <v>10000834</v>
      </c>
      <c r="J110" s="7">
        <f>IFERROR(VLOOKUP(I110,Materiales!$A:$H,8,0),"")</f>
        <v/>
      </c>
      <c r="K110" s="9">
        <f>IFERROR(VLOOKUP(I110,Materiales!$A:$G,7,0),"")</f>
        <v/>
      </c>
      <c r="L110" s="8" t="inlineStr">
        <is>
          <t>20220516</t>
        </is>
      </c>
      <c r="M110" s="8" t="inlineStr">
        <is>
          <t>20240710</t>
        </is>
      </c>
      <c r="N110" s="10" t="n">
        <v>38.49</v>
      </c>
      <c r="O110" s="10">
        <f>IFERROR(VLOOKUP(A110,Flete!$A:$J,10,0),"")</f>
        <v/>
      </c>
      <c r="P110" s="8" t="inlineStr">
        <is>
          <t>TN</t>
        </is>
      </c>
      <c r="Q110" s="10">
        <f>IFERROR(IFERROR(VLOOKUP(A110,TRAOPE!$A:$U,21,0),VLOOKUP(B110,TRAOPE!$A:$U,21,0)),"")</f>
        <v/>
      </c>
      <c r="R110" s="8">
        <f>IFERROR(IFERROR(VLOOKUP(A110,TRAOPE!$A:$W,23,0),VLOOKUP(B110,TRAOPE!$A:$W,23,0)),"")</f>
        <v/>
      </c>
      <c r="S110" s="10">
        <f>IF(AND(P110="TN",R110="TN"),N110+N(O110),IF(G110&amp;""="1",N(K110)*N110,(N110+N(O110))*N(K110)))</f>
        <v/>
      </c>
      <c r="T110" s="10">
        <f>IF(Q110="","",Q110-S110)</f>
        <v/>
      </c>
    </row>
    <row r="111">
      <c r="A111" s="7">
        <f>CONCATENATE(C111,E111,F111,I111)</f>
        <v/>
      </c>
      <c r="B111" s="7">
        <f>CONCATENATE(C111,E111,I111)</f>
        <v/>
      </c>
      <c r="C111" s="8" t="n">
        <v>900005417</v>
      </c>
      <c r="D111" s="7">
        <f>IFERROR(VLOOKUP(C111,TRAOPE!$G:$H,2,0),"")</f>
        <v/>
      </c>
      <c r="E111" s="8" t="inlineStr">
        <is>
          <t>DW55</t>
        </is>
      </c>
      <c r="F111" s="8" t="inlineStr">
        <is>
          <t>D348</t>
        </is>
      </c>
      <c r="G111" s="8">
        <f>IFERROR(VLOOKUP(A111,Flete!$A:$E,5,0),"")</f>
        <v/>
      </c>
      <c r="H111" s="7">
        <f>IFERROR(VLOOKUP(F111,TRAOPE!$AA:$AB,2,0),"")</f>
        <v/>
      </c>
      <c r="I111" s="7" t="n">
        <v>10000834</v>
      </c>
      <c r="J111" s="7">
        <f>IFERROR(VLOOKUP(I111,Materiales!$A:$H,8,0),"")</f>
        <v/>
      </c>
      <c r="K111" s="9">
        <f>IFERROR(VLOOKUP(I111,Materiales!$A:$G,7,0),"")</f>
        <v/>
      </c>
      <c r="L111" s="8" t="inlineStr">
        <is>
          <t>20220516</t>
        </is>
      </c>
      <c r="M111" s="8" t="inlineStr">
        <is>
          <t>20240710</t>
        </is>
      </c>
      <c r="N111" s="10" t="n">
        <v>38.49</v>
      </c>
      <c r="O111" s="10">
        <f>IFERROR(VLOOKUP(A111,Flete!$A:$J,10,0),"")</f>
        <v/>
      </c>
      <c r="P111" s="8" t="inlineStr">
        <is>
          <t>TN</t>
        </is>
      </c>
      <c r="Q111" s="10">
        <f>IFERROR(IFERROR(VLOOKUP(A111,TRAOPE!$A:$U,21,0),VLOOKUP(B111,TRAOPE!$A:$U,21,0)),"")</f>
        <v/>
      </c>
      <c r="R111" s="8">
        <f>IFERROR(IFERROR(VLOOKUP(A111,TRAOPE!$A:$W,23,0),VLOOKUP(B111,TRAOPE!$A:$W,23,0)),"")</f>
        <v/>
      </c>
      <c r="S111" s="10">
        <f>IF(AND(P111="TN",R111="TN"),N111+N(O111),IF(G111&amp;""="1",N(K111)*N111,(N111+N(O111))*N(K111)))</f>
        <v/>
      </c>
      <c r="T111" s="10">
        <f>IF(Q111="","",Q111-S111)</f>
        <v/>
      </c>
    </row>
    <row r="112">
      <c r="A112" s="7">
        <f>CONCATENATE(C112,E112,F112,I112)</f>
        <v/>
      </c>
      <c r="B112" s="7">
        <f>CONCATENATE(C112,E112,I112)</f>
        <v/>
      </c>
      <c r="C112" s="8" t="n">
        <v>900005887</v>
      </c>
      <c r="D112" s="7">
        <f>IFERROR(VLOOKUP(C112,TRAOPE!$G:$H,2,0),"")</f>
        <v/>
      </c>
      <c r="E112" s="8" t="inlineStr">
        <is>
          <t>DW55</t>
        </is>
      </c>
      <c r="F112" s="8" t="inlineStr">
        <is>
          <t>D284</t>
        </is>
      </c>
      <c r="G112" s="8">
        <f>IFERROR(VLOOKUP(A112,Flete!$A:$E,5,0),"")</f>
        <v/>
      </c>
      <c r="H112" s="7">
        <f>IFERROR(VLOOKUP(F112,TRAOPE!$AA:$AB,2,0),"")</f>
        <v/>
      </c>
      <c r="I112" s="7" t="n">
        <v>10000561</v>
      </c>
      <c r="J112" s="7">
        <f>IFERROR(VLOOKUP(I112,Materiales!$A:$H,8,0),"")</f>
        <v/>
      </c>
      <c r="K112" s="9">
        <f>IFERROR(VLOOKUP(I112,Materiales!$A:$G,7,0),"")</f>
        <v/>
      </c>
      <c r="L112" s="8" t="inlineStr">
        <is>
          <t>20240122</t>
        </is>
      </c>
      <c r="M112" s="8" t="inlineStr">
        <is>
          <t>20241015</t>
        </is>
      </c>
      <c r="N112" s="10" t="n">
        <v>129.37</v>
      </c>
      <c r="O112" s="10">
        <f>IFERROR(VLOOKUP(A112,Flete!$A:$J,10,0),"")</f>
        <v/>
      </c>
      <c r="P112" s="8" t="inlineStr">
        <is>
          <t>TN</t>
        </is>
      </c>
      <c r="Q112" s="10">
        <f>IFERROR(IFERROR(VLOOKUP(A112,TRAOPE!$A:$U,21,0),VLOOKUP(B112,TRAOPE!$A:$U,21,0)),"")</f>
        <v/>
      </c>
      <c r="R112" s="8">
        <f>IFERROR(IFERROR(VLOOKUP(A112,TRAOPE!$A:$W,23,0),VLOOKUP(B112,TRAOPE!$A:$W,23,0)),"")</f>
        <v/>
      </c>
      <c r="S112" s="10">
        <f>IF(AND(P112="TN",R112="TN"),N112+N(O112),IF(G112&amp;""="1",N(K112)*N112,(N112+N(O112))*N(K112)))</f>
        <v/>
      </c>
      <c r="T112" s="10">
        <f>IF(Q112="","",Q112-S112)</f>
        <v/>
      </c>
    </row>
    <row r="113">
      <c r="A113" s="7">
        <f>CONCATENATE(C113,E113,F113,I113)</f>
        <v/>
      </c>
      <c r="B113" s="7">
        <f>CONCATENATE(C113,E113,I113)</f>
        <v/>
      </c>
      <c r="C113" s="8" t="n">
        <v>900005887</v>
      </c>
      <c r="D113" s="7">
        <f>IFERROR(VLOOKUP(C113,TRAOPE!$G:$H,2,0),"")</f>
        <v/>
      </c>
      <c r="E113" s="8" t="inlineStr">
        <is>
          <t>DW55</t>
        </is>
      </c>
      <c r="F113" s="8" t="inlineStr">
        <is>
          <t>D342</t>
        </is>
      </c>
      <c r="G113" s="8">
        <f>IFERROR(VLOOKUP(A113,Flete!$A:$E,5,0),"")</f>
        <v/>
      </c>
      <c r="H113" s="7">
        <f>IFERROR(VLOOKUP(F113,TRAOPE!$AA:$AB,2,0),"")</f>
        <v/>
      </c>
      <c r="I113" s="7" t="n">
        <v>10000561</v>
      </c>
      <c r="J113" s="7">
        <f>IFERROR(VLOOKUP(I113,Materiales!$A:$H,8,0),"")</f>
        <v/>
      </c>
      <c r="K113" s="9">
        <f>IFERROR(VLOOKUP(I113,Materiales!$A:$G,7,0),"")</f>
        <v/>
      </c>
      <c r="L113" s="8" t="inlineStr">
        <is>
          <t>20240122</t>
        </is>
      </c>
      <c r="M113" s="8" t="inlineStr">
        <is>
          <t>20241015</t>
        </is>
      </c>
      <c r="N113" s="10" t="n">
        <v>129.37</v>
      </c>
      <c r="O113" s="10">
        <f>IFERROR(VLOOKUP(A113,Flete!$A:$J,10,0),"")</f>
        <v/>
      </c>
      <c r="P113" s="8" t="inlineStr">
        <is>
          <t>TN</t>
        </is>
      </c>
      <c r="Q113" s="10">
        <f>IFERROR(IFERROR(VLOOKUP(A113,TRAOPE!$A:$U,21,0),VLOOKUP(B113,TRAOPE!$A:$U,21,0)),"")</f>
        <v/>
      </c>
      <c r="R113" s="8">
        <f>IFERROR(IFERROR(VLOOKUP(A113,TRAOPE!$A:$W,23,0),VLOOKUP(B113,TRAOPE!$A:$W,23,0)),"")</f>
        <v/>
      </c>
      <c r="S113" s="10">
        <f>IF(AND(P113="TN",R113="TN"),N113+N(O113),IF(G113&amp;""="1",N(K113)*N113,(N113+N(O113))*N(K113)))</f>
        <v/>
      </c>
      <c r="T113" s="10">
        <f>IF(Q113="","",Q113-S113)</f>
        <v/>
      </c>
    </row>
    <row r="114">
      <c r="A114" s="7">
        <f>CONCATENATE(C114,E114,F114,I114)</f>
        <v/>
      </c>
      <c r="B114" s="7">
        <f>CONCATENATE(C114,E114,I114)</f>
        <v/>
      </c>
      <c r="C114" s="8" t="n">
        <v>900005887</v>
      </c>
      <c r="D114" s="7">
        <f>IFERROR(VLOOKUP(C114,TRAOPE!$G:$H,2,0),"")</f>
        <v/>
      </c>
      <c r="E114" s="8" t="inlineStr">
        <is>
          <t>DW55</t>
        </is>
      </c>
      <c r="F114" s="8" t="inlineStr">
        <is>
          <t>ER67</t>
        </is>
      </c>
      <c r="G114" s="8">
        <f>IFERROR(VLOOKUP(A114,Flete!$A:$E,5,0),"")</f>
        <v/>
      </c>
      <c r="H114" s="7">
        <f>IFERROR(VLOOKUP(F114,TRAOPE!$AA:$AB,2,0),"")</f>
        <v/>
      </c>
      <c r="I114" s="7" t="n">
        <v>10189800</v>
      </c>
      <c r="J114" s="7">
        <f>IFERROR(VLOOKUP(I114,Materiales!$A:$H,8,0),"")</f>
        <v/>
      </c>
      <c r="K114" s="9">
        <f>IFERROR(VLOOKUP(I114,Materiales!$A:$G,7,0),"")</f>
        <v/>
      </c>
      <c r="L114" s="8" t="inlineStr">
        <is>
          <t>20220504</t>
        </is>
      </c>
      <c r="M114" s="8" t="inlineStr">
        <is>
          <t>20230127</t>
        </is>
      </c>
      <c r="N114" s="10" t="n">
        <v>184.62</v>
      </c>
      <c r="O114" s="10">
        <f>IFERROR(VLOOKUP(A114,Flete!$A:$J,10,0),"")</f>
        <v/>
      </c>
      <c r="P114" s="8" t="inlineStr">
        <is>
          <t>TN</t>
        </is>
      </c>
      <c r="Q114" s="10">
        <f>IFERROR(IFERROR(VLOOKUP(A114,TRAOPE!$A:$U,21,0),VLOOKUP(B114,TRAOPE!$A:$U,21,0)),"")</f>
        <v/>
      </c>
      <c r="R114" s="8">
        <f>IFERROR(IFERROR(VLOOKUP(A114,TRAOPE!$A:$W,23,0),VLOOKUP(B114,TRAOPE!$A:$W,23,0)),"")</f>
        <v/>
      </c>
      <c r="S114" s="10">
        <f>IF(AND(P114="TN",R114="TN"),N114+N(O114),IF(G114&amp;""="1",N(K114)*N114,(N114+N(O114))*N(K114)))</f>
        <v/>
      </c>
      <c r="T114" s="10">
        <f>IF(Q114="","",Q114-S114)</f>
        <v/>
      </c>
    </row>
    <row r="115">
      <c r="A115" s="7">
        <f>CONCATENATE(C115,E115,F115,I115)</f>
        <v/>
      </c>
      <c r="B115" s="7">
        <f>CONCATENATE(C115,E115,I115)</f>
        <v/>
      </c>
      <c r="C115" s="8" t="n">
        <v>900005887</v>
      </c>
      <c r="D115" s="7">
        <f>IFERROR(VLOOKUP(C115,TRAOPE!$G:$H,2,0),"")</f>
        <v/>
      </c>
      <c r="E115" s="8" t="inlineStr">
        <is>
          <t>DW55</t>
        </is>
      </c>
      <c r="F115" s="8" t="inlineStr">
        <is>
          <t>ER68</t>
        </is>
      </c>
      <c r="G115" s="8">
        <f>IFERROR(VLOOKUP(A115,Flete!$A:$E,5,0),"")</f>
        <v/>
      </c>
      <c r="H115" s="7">
        <f>IFERROR(VLOOKUP(F115,TRAOPE!$AA:$AB,2,0),"")</f>
        <v/>
      </c>
      <c r="I115" s="7" t="n">
        <v>10189800</v>
      </c>
      <c r="J115" s="7">
        <f>IFERROR(VLOOKUP(I115,Materiales!$A:$H,8,0),"")</f>
        <v/>
      </c>
      <c r="K115" s="9">
        <f>IFERROR(VLOOKUP(I115,Materiales!$A:$G,7,0),"")</f>
        <v/>
      </c>
      <c r="L115" s="8" t="inlineStr">
        <is>
          <t>20240122</t>
        </is>
      </c>
      <c r="M115" s="8" t="inlineStr">
        <is>
          <t>20241015</t>
        </is>
      </c>
      <c r="N115" s="10" t="n">
        <v>253.85</v>
      </c>
      <c r="O115" s="10">
        <f>IFERROR(VLOOKUP(A115,Flete!$A:$J,10,0),"")</f>
        <v/>
      </c>
      <c r="P115" s="8" t="inlineStr">
        <is>
          <t>TN</t>
        </is>
      </c>
      <c r="Q115" s="10">
        <f>IFERROR(IFERROR(VLOOKUP(A115,TRAOPE!$A:$U,21,0),VLOOKUP(B115,TRAOPE!$A:$U,21,0)),"")</f>
        <v/>
      </c>
      <c r="R115" s="8">
        <f>IFERROR(IFERROR(VLOOKUP(A115,TRAOPE!$A:$W,23,0),VLOOKUP(B115,TRAOPE!$A:$W,23,0)),"")</f>
        <v/>
      </c>
      <c r="S115" s="10">
        <f>IF(AND(P115="TN",R115="TN"),N115+N(O115),IF(G115&amp;""="1",N(K115)*N115,(N115+N(O115))*N(K115)))</f>
        <v/>
      </c>
      <c r="T115" s="10">
        <f>IF(Q115="","",Q115-S115)</f>
        <v/>
      </c>
    </row>
    <row r="116">
      <c r="A116" s="7">
        <f>CONCATENATE(C116,E116,F116,I116)</f>
        <v/>
      </c>
      <c r="B116" s="7">
        <f>CONCATENATE(C116,E116,I116)</f>
        <v/>
      </c>
      <c r="C116" s="8" t="n">
        <v>900005920</v>
      </c>
      <c r="D116" s="7">
        <f>IFERROR(VLOOKUP(C116,TRAOPE!$G:$H,2,0),"")</f>
        <v/>
      </c>
      <c r="E116" s="8" t="inlineStr">
        <is>
          <t>DW55</t>
        </is>
      </c>
      <c r="F116" s="8" t="inlineStr">
        <is>
          <t>ER67</t>
        </is>
      </c>
      <c r="G116" s="8">
        <f>IFERROR(VLOOKUP(A116,Flete!$A:$E,5,0),"")</f>
        <v/>
      </c>
      <c r="H116" s="7">
        <f>IFERROR(VLOOKUP(F116,TRAOPE!$AA:$AB,2,0),"")</f>
        <v/>
      </c>
      <c r="I116" s="7" t="n">
        <v>10003240</v>
      </c>
      <c r="J116" s="7">
        <f>IFERROR(VLOOKUP(I116,Materiales!$A:$H,8,0),"")</f>
        <v/>
      </c>
      <c r="K116" s="9">
        <f>IFERROR(VLOOKUP(I116,Materiales!$A:$G,7,0),"")</f>
        <v/>
      </c>
      <c r="L116" s="8" t="inlineStr">
        <is>
          <t>20220504</t>
        </is>
      </c>
      <c r="M116" s="8" t="inlineStr">
        <is>
          <t>20230127</t>
        </is>
      </c>
      <c r="N116" s="10" t="n">
        <v>179.68</v>
      </c>
      <c r="O116" s="10">
        <f>IFERROR(VLOOKUP(A116,Flete!$A:$J,10,0),"")</f>
        <v/>
      </c>
      <c r="P116" s="8" t="inlineStr">
        <is>
          <t>TN</t>
        </is>
      </c>
      <c r="Q116" s="10">
        <f>IFERROR(IFERROR(VLOOKUP(A116,TRAOPE!$A:$U,21,0),VLOOKUP(B116,TRAOPE!$A:$U,21,0)),"")</f>
        <v/>
      </c>
      <c r="R116" s="8">
        <f>IFERROR(IFERROR(VLOOKUP(A116,TRAOPE!$A:$W,23,0),VLOOKUP(B116,TRAOPE!$A:$W,23,0)),"")</f>
        <v/>
      </c>
      <c r="S116" s="10">
        <f>IF(AND(P116="TN",R116="TN"),N116+N(O116),IF(G116&amp;""="1",N(K116)*N116,(N116+N(O116))*N(K116)))</f>
        <v/>
      </c>
      <c r="T116" s="10">
        <f>IF(Q116="","",Q116-S116)</f>
        <v/>
      </c>
    </row>
    <row r="117">
      <c r="A117" s="7">
        <f>CONCATENATE(C117,E117,F117,I117)</f>
        <v/>
      </c>
      <c r="B117" s="7">
        <f>CONCATENATE(C117,E117,I117)</f>
        <v/>
      </c>
      <c r="C117" s="8" t="n">
        <v>900006300</v>
      </c>
      <c r="D117" s="7">
        <f>IFERROR(VLOOKUP(C117,TRAOPE!$G:$H,2,0),"")</f>
        <v/>
      </c>
      <c r="E117" s="8" t="inlineStr">
        <is>
          <t>DW55</t>
        </is>
      </c>
      <c r="F117" s="8" t="inlineStr">
        <is>
          <t>ER68</t>
        </is>
      </c>
      <c r="G117" s="8">
        <f>IFERROR(VLOOKUP(A117,Flete!$A:$E,5,0),"")</f>
        <v/>
      </c>
      <c r="H117" s="7">
        <f>IFERROR(VLOOKUP(F117,TRAOPE!$AA:$AB,2,0),"")</f>
        <v/>
      </c>
      <c r="I117" s="7" t="n">
        <v>10210260</v>
      </c>
      <c r="J117" s="7">
        <f>IFERROR(VLOOKUP(I117,Materiales!$A:$H,8,0),"")</f>
        <v/>
      </c>
      <c r="K117" s="9">
        <f>IFERROR(VLOOKUP(I117,Materiales!$A:$G,7,0),"")</f>
        <v/>
      </c>
      <c r="L117" s="8" t="inlineStr">
        <is>
          <t>20240122</t>
        </is>
      </c>
      <c r="M117" s="8" t="inlineStr">
        <is>
          <t>20241015</t>
        </is>
      </c>
      <c r="N117" s="10" t="n">
        <v>201.21</v>
      </c>
      <c r="O117" s="10">
        <f>IFERROR(VLOOKUP(A117,Flete!$A:$J,10,0),"")</f>
        <v/>
      </c>
      <c r="P117" s="8" t="inlineStr">
        <is>
          <t>TN</t>
        </is>
      </c>
      <c r="Q117" s="10">
        <f>IFERROR(IFERROR(VLOOKUP(A117,TRAOPE!$A:$U,21,0),VLOOKUP(B117,TRAOPE!$A:$U,21,0)),"")</f>
        <v/>
      </c>
      <c r="R117" s="8">
        <f>IFERROR(IFERROR(VLOOKUP(A117,TRAOPE!$A:$W,23,0),VLOOKUP(B117,TRAOPE!$A:$W,23,0)),"")</f>
        <v/>
      </c>
      <c r="S117" s="10">
        <f>IF(AND(P117="TN",R117="TN"),N117+N(O117),IF(G117&amp;""="1",N(K117)*N117,(N117+N(O117))*N(K117)))</f>
        <v/>
      </c>
      <c r="T117" s="10">
        <f>IF(Q117="","",Q117-S117)</f>
        <v/>
      </c>
    </row>
    <row r="118">
      <c r="A118" s="7">
        <f>CONCATENATE(C118,E118,F118,I118)</f>
        <v/>
      </c>
      <c r="B118" s="7">
        <f>CONCATENATE(C118,E118,I118)</f>
        <v/>
      </c>
      <c r="C118" s="8" t="n">
        <v>900006304</v>
      </c>
      <c r="D118" s="7">
        <f>IFERROR(VLOOKUP(C118,TRAOPE!$G:$H,2,0),"")</f>
        <v/>
      </c>
      <c r="E118" s="8" t="inlineStr">
        <is>
          <t>DW55</t>
        </is>
      </c>
      <c r="F118" s="8" t="inlineStr">
        <is>
          <t>D284</t>
        </is>
      </c>
      <c r="G118" s="8">
        <f>IFERROR(VLOOKUP(A118,Flete!$A:$E,5,0),"")</f>
        <v/>
      </c>
      <c r="H118" s="7">
        <f>IFERROR(VLOOKUP(F118,TRAOPE!$AA:$AB,2,0),"")</f>
        <v/>
      </c>
      <c r="I118" s="7" t="n">
        <v>10079650</v>
      </c>
      <c r="J118" s="7">
        <f>IFERROR(VLOOKUP(I118,Materiales!$A:$H,8,0),"")</f>
        <v/>
      </c>
      <c r="K118" s="9">
        <f>IFERROR(VLOOKUP(I118,Materiales!$A:$G,7,0),"")</f>
        <v/>
      </c>
      <c r="L118" s="8" t="inlineStr">
        <is>
          <t>20240122</t>
        </is>
      </c>
      <c r="M118" s="8" t="inlineStr">
        <is>
          <t>20241015</t>
        </is>
      </c>
      <c r="N118" s="10" t="n">
        <v>37.64</v>
      </c>
      <c r="O118" s="10">
        <f>IFERROR(VLOOKUP(A118,Flete!$A:$J,10,0),"")</f>
        <v/>
      </c>
      <c r="P118" s="8" t="inlineStr">
        <is>
          <t>TN</t>
        </is>
      </c>
      <c r="Q118" s="10">
        <f>IFERROR(IFERROR(VLOOKUP(A118,TRAOPE!$A:$U,21,0),VLOOKUP(B118,TRAOPE!$A:$U,21,0)),"")</f>
        <v/>
      </c>
      <c r="R118" s="8">
        <f>IFERROR(IFERROR(VLOOKUP(A118,TRAOPE!$A:$W,23,0),VLOOKUP(B118,TRAOPE!$A:$W,23,0)),"")</f>
        <v/>
      </c>
      <c r="S118" s="10">
        <f>IF(AND(P118="TN",R118="TN"),N118+N(O118),IF(G118&amp;""="1",N(K118)*N118,(N118+N(O118))*N(K118)))</f>
        <v/>
      </c>
      <c r="T118" s="10">
        <f>IF(Q118="","",Q118-S118)</f>
        <v/>
      </c>
    </row>
    <row r="119">
      <c r="A119" s="7">
        <f>CONCATENATE(C119,E119,F119,I119)</f>
        <v/>
      </c>
      <c r="B119" s="7">
        <f>CONCATENATE(C119,E119,I119)</f>
        <v/>
      </c>
      <c r="C119" s="8" t="n">
        <v>900006304</v>
      </c>
      <c r="D119" s="7">
        <f>IFERROR(VLOOKUP(C119,TRAOPE!$G:$H,2,0),"")</f>
        <v/>
      </c>
      <c r="E119" s="8" t="inlineStr">
        <is>
          <t>DW55</t>
        </is>
      </c>
      <c r="F119" s="8" t="inlineStr">
        <is>
          <t>D309</t>
        </is>
      </c>
      <c r="G119" s="8">
        <f>IFERROR(VLOOKUP(A119,Flete!$A:$E,5,0),"")</f>
        <v/>
      </c>
      <c r="H119" s="7">
        <f>IFERROR(VLOOKUP(F119,TRAOPE!$AA:$AB,2,0),"")</f>
        <v/>
      </c>
      <c r="I119" s="7" t="n">
        <v>10079650</v>
      </c>
      <c r="J119" s="7">
        <f>IFERROR(VLOOKUP(I119,Materiales!$A:$H,8,0),"")</f>
        <v/>
      </c>
      <c r="K119" s="9">
        <f>IFERROR(VLOOKUP(I119,Materiales!$A:$G,7,0),"")</f>
        <v/>
      </c>
      <c r="L119" s="8" t="inlineStr">
        <is>
          <t>20240122</t>
        </is>
      </c>
      <c r="M119" s="8" t="inlineStr">
        <is>
          <t>20241015</t>
        </is>
      </c>
      <c r="N119" s="10" t="n">
        <v>37.64</v>
      </c>
      <c r="O119" s="10">
        <f>IFERROR(VLOOKUP(A119,Flete!$A:$J,10,0),"")</f>
        <v/>
      </c>
      <c r="P119" s="8" t="inlineStr">
        <is>
          <t>TN</t>
        </is>
      </c>
      <c r="Q119" s="10">
        <f>IFERROR(IFERROR(VLOOKUP(A119,TRAOPE!$A:$U,21,0),VLOOKUP(B119,TRAOPE!$A:$U,21,0)),"")</f>
        <v/>
      </c>
      <c r="R119" s="8">
        <f>IFERROR(IFERROR(VLOOKUP(A119,TRAOPE!$A:$W,23,0),VLOOKUP(B119,TRAOPE!$A:$W,23,0)),"")</f>
        <v/>
      </c>
      <c r="S119" s="10">
        <f>IF(AND(P119="TN",R119="TN"),N119+N(O119),IF(G119&amp;""="1",N(K119)*N119,(N119+N(O119))*N(K119)))</f>
        <v/>
      </c>
      <c r="T119" s="10">
        <f>IF(Q119="","",Q119-S119)</f>
        <v/>
      </c>
    </row>
    <row r="120">
      <c r="A120" s="7">
        <f>CONCATENATE(C120,E120,F120,I120)</f>
        <v/>
      </c>
      <c r="B120" s="7">
        <f>CONCATENATE(C120,E120,I120)</f>
        <v/>
      </c>
      <c r="C120" s="8" t="n">
        <v>900006304</v>
      </c>
      <c r="D120" s="7">
        <f>IFERROR(VLOOKUP(C120,TRAOPE!$G:$H,2,0),"")</f>
        <v/>
      </c>
      <c r="E120" s="8" t="inlineStr">
        <is>
          <t>DW55</t>
        </is>
      </c>
      <c r="F120" s="8" t="inlineStr">
        <is>
          <t>D325</t>
        </is>
      </c>
      <c r="G120" s="8">
        <f>IFERROR(VLOOKUP(A120,Flete!$A:$E,5,0),"")</f>
        <v/>
      </c>
      <c r="H120" s="7">
        <f>IFERROR(VLOOKUP(F120,TRAOPE!$AA:$AB,2,0),"")</f>
        <v/>
      </c>
      <c r="I120" s="7" t="n">
        <v>10079650</v>
      </c>
      <c r="J120" s="7">
        <f>IFERROR(VLOOKUP(I120,Materiales!$A:$H,8,0),"")</f>
        <v/>
      </c>
      <c r="K120" s="9">
        <f>IFERROR(VLOOKUP(I120,Materiales!$A:$G,7,0),"")</f>
        <v/>
      </c>
      <c r="L120" s="8" t="inlineStr">
        <is>
          <t>20240122</t>
        </is>
      </c>
      <c r="M120" s="8" t="inlineStr">
        <is>
          <t>20241015</t>
        </is>
      </c>
      <c r="N120" s="10" t="n">
        <v>37.64</v>
      </c>
      <c r="O120" s="10">
        <f>IFERROR(VLOOKUP(A120,Flete!$A:$J,10,0),"")</f>
        <v/>
      </c>
      <c r="P120" s="8" t="inlineStr">
        <is>
          <t>TN</t>
        </is>
      </c>
      <c r="Q120" s="10">
        <f>IFERROR(IFERROR(VLOOKUP(A120,TRAOPE!$A:$U,21,0),VLOOKUP(B120,TRAOPE!$A:$U,21,0)),"")</f>
        <v/>
      </c>
      <c r="R120" s="8">
        <f>IFERROR(IFERROR(VLOOKUP(A120,TRAOPE!$A:$W,23,0),VLOOKUP(B120,TRAOPE!$A:$W,23,0)),"")</f>
        <v/>
      </c>
      <c r="S120" s="10">
        <f>IF(AND(P120="TN",R120="TN"),N120+N(O120),IF(G120&amp;""="1",N(K120)*N120,(N120+N(O120))*N(K120)))</f>
        <v/>
      </c>
      <c r="T120" s="10">
        <f>IF(Q120="","",Q120-S120)</f>
        <v/>
      </c>
    </row>
    <row r="121">
      <c r="A121" s="7">
        <f>CONCATENATE(C121,E121,F121,I121)</f>
        <v/>
      </c>
      <c r="B121" s="7">
        <f>CONCATENATE(C121,E121,I121)</f>
        <v/>
      </c>
      <c r="C121" s="8" t="n">
        <v>900006304</v>
      </c>
      <c r="D121" s="7">
        <f>IFERROR(VLOOKUP(C121,TRAOPE!$G:$H,2,0),"")</f>
        <v/>
      </c>
      <c r="E121" s="8" t="inlineStr">
        <is>
          <t>DW55</t>
        </is>
      </c>
      <c r="F121" s="8" t="inlineStr">
        <is>
          <t>D342</t>
        </is>
      </c>
      <c r="G121" s="8">
        <f>IFERROR(VLOOKUP(A121,Flete!$A:$E,5,0),"")</f>
        <v/>
      </c>
      <c r="H121" s="7">
        <f>IFERROR(VLOOKUP(F121,TRAOPE!$AA:$AB,2,0),"")</f>
        <v/>
      </c>
      <c r="I121" s="7" t="n">
        <v>10079650</v>
      </c>
      <c r="J121" s="7">
        <f>IFERROR(VLOOKUP(I121,Materiales!$A:$H,8,0),"")</f>
        <v/>
      </c>
      <c r="K121" s="9">
        <f>IFERROR(VLOOKUP(I121,Materiales!$A:$G,7,0),"")</f>
        <v/>
      </c>
      <c r="L121" s="8" t="inlineStr">
        <is>
          <t>20240122</t>
        </is>
      </c>
      <c r="M121" s="8" t="inlineStr">
        <is>
          <t>20241015</t>
        </is>
      </c>
      <c r="N121" s="10" t="n">
        <v>37.64</v>
      </c>
      <c r="O121" s="10">
        <f>IFERROR(VLOOKUP(A121,Flete!$A:$J,10,0),"")</f>
        <v/>
      </c>
      <c r="P121" s="8" t="inlineStr">
        <is>
          <t>TN</t>
        </is>
      </c>
      <c r="Q121" s="10">
        <f>IFERROR(IFERROR(VLOOKUP(A121,TRAOPE!$A:$U,21,0),VLOOKUP(B121,TRAOPE!$A:$U,21,0)),"")</f>
        <v/>
      </c>
      <c r="R121" s="8">
        <f>IFERROR(IFERROR(VLOOKUP(A121,TRAOPE!$A:$W,23,0),VLOOKUP(B121,TRAOPE!$A:$W,23,0)),"")</f>
        <v/>
      </c>
      <c r="S121" s="10">
        <f>IF(AND(P121="TN",R121="TN"),N121+N(O121),IF(G121&amp;""="1",N(K121)*N121,(N121+N(O121))*N(K121)))</f>
        <v/>
      </c>
      <c r="T121" s="10">
        <f>IF(Q121="","",Q121-S121)</f>
        <v/>
      </c>
    </row>
    <row r="122">
      <c r="A122" s="7">
        <f>CONCATENATE(C122,E122,F122,I122)</f>
        <v/>
      </c>
      <c r="B122" s="7">
        <f>CONCATENATE(C122,E122,I122)</f>
        <v/>
      </c>
      <c r="C122" s="8" t="n">
        <v>900006304</v>
      </c>
      <c r="D122" s="7">
        <f>IFERROR(VLOOKUP(C122,TRAOPE!$G:$H,2,0),"")</f>
        <v/>
      </c>
      <c r="E122" s="8" t="inlineStr">
        <is>
          <t>DW55</t>
        </is>
      </c>
      <c r="F122" s="8" t="inlineStr">
        <is>
          <t>D348</t>
        </is>
      </c>
      <c r="G122" s="8">
        <f>IFERROR(VLOOKUP(A122,Flete!$A:$E,5,0),"")</f>
        <v/>
      </c>
      <c r="H122" s="7">
        <f>IFERROR(VLOOKUP(F122,TRAOPE!$AA:$AB,2,0),"")</f>
        <v/>
      </c>
      <c r="I122" s="7" t="n">
        <v>10079650</v>
      </c>
      <c r="J122" s="7">
        <f>IFERROR(VLOOKUP(I122,Materiales!$A:$H,8,0),"")</f>
        <v/>
      </c>
      <c r="K122" s="9">
        <f>IFERROR(VLOOKUP(I122,Materiales!$A:$G,7,0),"")</f>
        <v/>
      </c>
      <c r="L122" s="8" t="inlineStr">
        <is>
          <t>20240122</t>
        </is>
      </c>
      <c r="M122" s="8" t="inlineStr">
        <is>
          <t>20241015</t>
        </is>
      </c>
      <c r="N122" s="10" t="n">
        <v>37.64</v>
      </c>
      <c r="O122" s="10">
        <f>IFERROR(VLOOKUP(A122,Flete!$A:$J,10,0),"")</f>
        <v/>
      </c>
      <c r="P122" s="8" t="inlineStr">
        <is>
          <t>TN</t>
        </is>
      </c>
      <c r="Q122" s="10">
        <f>IFERROR(IFERROR(VLOOKUP(A122,TRAOPE!$A:$U,21,0),VLOOKUP(B122,TRAOPE!$A:$U,21,0)),"")</f>
        <v/>
      </c>
      <c r="R122" s="8">
        <f>IFERROR(IFERROR(VLOOKUP(A122,TRAOPE!$A:$W,23,0),VLOOKUP(B122,TRAOPE!$A:$W,23,0)),"")</f>
        <v/>
      </c>
      <c r="S122" s="10">
        <f>IF(AND(P122="TN",R122="TN"),N122+N(O122),IF(G122&amp;""="1",N(K122)*N122,(N122+N(O122))*N(K122)))</f>
        <v/>
      </c>
      <c r="T122" s="10">
        <f>IF(Q122="","",Q122-S122)</f>
        <v/>
      </c>
    </row>
    <row r="123">
      <c r="A123" s="7">
        <f>CONCATENATE(C123,E123,F123,I123)</f>
        <v/>
      </c>
      <c r="B123" s="7">
        <f>CONCATENATE(C123,E123,I123)</f>
        <v/>
      </c>
      <c r="C123" s="8" t="n">
        <v>900006320</v>
      </c>
      <c r="D123" s="7">
        <f>IFERROR(VLOOKUP(C123,TRAOPE!$G:$H,2,0),"")</f>
        <v/>
      </c>
      <c r="E123" s="8" t="inlineStr">
        <is>
          <t>DW55</t>
        </is>
      </c>
      <c r="F123" s="8" t="inlineStr">
        <is>
          <t>ER67</t>
        </is>
      </c>
      <c r="G123" s="8">
        <f>IFERROR(VLOOKUP(A123,Flete!$A:$E,5,0),"")</f>
        <v/>
      </c>
      <c r="H123" s="7">
        <f>IFERROR(VLOOKUP(F123,TRAOPE!$AA:$AB,2,0),"")</f>
        <v/>
      </c>
      <c r="I123" s="7" t="n">
        <v>10210260</v>
      </c>
      <c r="J123" s="7">
        <f>IFERROR(VLOOKUP(I123,Materiales!$A:$H,8,0),"")</f>
        <v/>
      </c>
      <c r="K123" s="9">
        <f>IFERROR(VLOOKUP(I123,Materiales!$A:$G,7,0),"")</f>
        <v/>
      </c>
      <c r="L123" s="8" t="inlineStr">
        <is>
          <t>20220504</t>
        </is>
      </c>
      <c r="M123" s="8" t="inlineStr">
        <is>
          <t>20230127</t>
        </is>
      </c>
      <c r="N123" s="10" t="n">
        <v>201.21</v>
      </c>
      <c r="O123" s="10">
        <f>IFERROR(VLOOKUP(A123,Flete!$A:$J,10,0),"")</f>
        <v/>
      </c>
      <c r="P123" s="8" t="inlineStr">
        <is>
          <t>TN</t>
        </is>
      </c>
      <c r="Q123" s="10">
        <f>IFERROR(IFERROR(VLOOKUP(A123,TRAOPE!$A:$U,21,0),VLOOKUP(B123,TRAOPE!$A:$U,21,0)),"")</f>
        <v/>
      </c>
      <c r="R123" s="8">
        <f>IFERROR(IFERROR(VLOOKUP(A123,TRAOPE!$A:$W,23,0),VLOOKUP(B123,TRAOPE!$A:$W,23,0)),"")</f>
        <v/>
      </c>
      <c r="S123" s="10">
        <f>IF(AND(P123="TN",R123="TN"),N123+N(O123),IF(G123&amp;""="1",N(K123)*N123,(N123+N(O123))*N(K123)))</f>
        <v/>
      </c>
      <c r="T123" s="10">
        <f>IF(Q123="","",Q123-S123)</f>
        <v/>
      </c>
    </row>
    <row r="124">
      <c r="A124" s="7">
        <f>CONCATENATE(C124,E124,F124,I124)</f>
        <v/>
      </c>
      <c r="B124" s="7">
        <f>CONCATENATE(C124,E124,I124)</f>
        <v/>
      </c>
      <c r="C124" s="8" t="n">
        <v>900006320</v>
      </c>
      <c r="D124" s="7">
        <f>IFERROR(VLOOKUP(C124,TRAOPE!$G:$H,2,0),"")</f>
        <v/>
      </c>
      <c r="E124" s="8" t="inlineStr">
        <is>
          <t>DW55</t>
        </is>
      </c>
      <c r="F124" s="8" t="inlineStr">
        <is>
          <t>ER68</t>
        </is>
      </c>
      <c r="G124" s="8">
        <f>IFERROR(VLOOKUP(A124,Flete!$A:$E,5,0),"")</f>
        <v/>
      </c>
      <c r="H124" s="7">
        <f>IFERROR(VLOOKUP(F124,TRAOPE!$AA:$AB,2,0),"")</f>
        <v/>
      </c>
      <c r="I124" s="7" t="n">
        <v>10210260</v>
      </c>
      <c r="J124" s="7">
        <f>IFERROR(VLOOKUP(I124,Materiales!$A:$H,8,0),"")</f>
        <v/>
      </c>
      <c r="K124" s="9">
        <f>IFERROR(VLOOKUP(I124,Materiales!$A:$G,7,0),"")</f>
        <v/>
      </c>
      <c r="L124" s="8" t="inlineStr">
        <is>
          <t>20240122</t>
        </is>
      </c>
      <c r="M124" s="8" t="inlineStr">
        <is>
          <t>20241015</t>
        </is>
      </c>
      <c r="N124" s="10" t="n">
        <v>201.21</v>
      </c>
      <c r="O124" s="10">
        <f>IFERROR(VLOOKUP(A124,Flete!$A:$J,10,0),"")</f>
        <v/>
      </c>
      <c r="P124" s="8" t="inlineStr">
        <is>
          <t>TN</t>
        </is>
      </c>
      <c r="Q124" s="10">
        <f>IFERROR(IFERROR(VLOOKUP(A124,TRAOPE!$A:$U,21,0),VLOOKUP(B124,TRAOPE!$A:$U,21,0)),"")</f>
        <v/>
      </c>
      <c r="R124" s="8">
        <f>IFERROR(IFERROR(VLOOKUP(A124,TRAOPE!$A:$W,23,0),VLOOKUP(B124,TRAOPE!$A:$W,23,0)),"")</f>
        <v/>
      </c>
      <c r="S124" s="10">
        <f>IF(AND(P124="TN",R124="TN"),N124+N(O124),IF(G124&amp;""="1",N(K124)*N124,(N124+N(O124))*N(K124)))</f>
        <v/>
      </c>
      <c r="T124" s="10">
        <f>IF(Q124="","",Q124-S124)</f>
        <v/>
      </c>
    </row>
    <row r="125">
      <c r="A125" s="7">
        <f>CONCATENATE(C125,E125,F125,I125)</f>
        <v/>
      </c>
      <c r="B125" s="7">
        <f>CONCATENATE(C125,E125,I125)</f>
        <v/>
      </c>
      <c r="C125" s="8" t="n">
        <v>900006383</v>
      </c>
      <c r="D125" s="7">
        <f>IFERROR(VLOOKUP(C125,TRAOPE!$G:$H,2,0),"")</f>
        <v/>
      </c>
      <c r="E125" s="8" t="inlineStr">
        <is>
          <t>DW55</t>
        </is>
      </c>
      <c r="F125" s="8" t="inlineStr">
        <is>
          <t>D284</t>
        </is>
      </c>
      <c r="G125" s="8">
        <f>IFERROR(VLOOKUP(A125,Flete!$A:$E,5,0),"")</f>
        <v/>
      </c>
      <c r="H125" s="7">
        <f>IFERROR(VLOOKUP(F125,TRAOPE!$AA:$AB,2,0),"")</f>
        <v/>
      </c>
      <c r="I125" s="7" t="n">
        <v>10000452</v>
      </c>
      <c r="J125" s="7">
        <f>IFERROR(VLOOKUP(I125,Materiales!$A:$H,8,0),"")</f>
        <v/>
      </c>
      <c r="K125" s="9">
        <f>IFERROR(VLOOKUP(I125,Materiales!$A:$G,7,0),"")</f>
        <v/>
      </c>
      <c r="L125" s="8" t="inlineStr">
        <is>
          <t>20220504</t>
        </is>
      </c>
      <c r="M125" s="8" t="inlineStr">
        <is>
          <t>20230127</t>
        </is>
      </c>
      <c r="N125" s="10" t="n">
        <v>184.17</v>
      </c>
      <c r="O125" s="10">
        <f>IFERROR(VLOOKUP(A125,Flete!$A:$J,10,0),"")</f>
        <v/>
      </c>
      <c r="P125" s="8" t="inlineStr">
        <is>
          <t>TN</t>
        </is>
      </c>
      <c r="Q125" s="10">
        <f>IFERROR(IFERROR(VLOOKUP(A125,TRAOPE!$A:$U,21,0),VLOOKUP(B125,TRAOPE!$A:$U,21,0)),"")</f>
        <v/>
      </c>
      <c r="R125" s="8">
        <f>IFERROR(IFERROR(VLOOKUP(A125,TRAOPE!$A:$W,23,0),VLOOKUP(B125,TRAOPE!$A:$W,23,0)),"")</f>
        <v/>
      </c>
      <c r="S125" s="10">
        <f>IF(AND(P125="TN",R125="TN"),N125+N(O125),IF(G125&amp;""="1",N(K125)*N125,(N125+N(O125))*N(K125)))</f>
        <v/>
      </c>
      <c r="T125" s="10">
        <f>IF(Q125="","",Q125-S125)</f>
        <v/>
      </c>
    </row>
    <row r="126">
      <c r="A126" s="7">
        <f>CONCATENATE(C126,E126,F126,I126)</f>
        <v/>
      </c>
      <c r="B126" s="7">
        <f>CONCATENATE(C126,E126,I126)</f>
        <v/>
      </c>
      <c r="C126" s="8" t="n">
        <v>900006383</v>
      </c>
      <c r="D126" s="7">
        <f>IFERROR(VLOOKUP(C126,TRAOPE!$G:$H,2,0),"")</f>
        <v/>
      </c>
      <c r="E126" s="8" t="inlineStr">
        <is>
          <t>DW55</t>
        </is>
      </c>
      <c r="F126" s="8" t="inlineStr">
        <is>
          <t>D309</t>
        </is>
      </c>
      <c r="G126" s="8">
        <f>IFERROR(VLOOKUP(A126,Flete!$A:$E,5,0),"")</f>
        <v/>
      </c>
      <c r="H126" s="7">
        <f>IFERROR(VLOOKUP(F126,TRAOPE!$AA:$AB,2,0),"")</f>
        <v/>
      </c>
      <c r="I126" s="7" t="n">
        <v>10000452</v>
      </c>
      <c r="J126" s="7">
        <f>IFERROR(VLOOKUP(I126,Materiales!$A:$H,8,0),"")</f>
        <v/>
      </c>
      <c r="K126" s="9">
        <f>IFERROR(VLOOKUP(I126,Materiales!$A:$G,7,0),"")</f>
        <v/>
      </c>
      <c r="L126" s="8" t="inlineStr">
        <is>
          <t>20220504</t>
        </is>
      </c>
      <c r="M126" s="8" t="inlineStr">
        <is>
          <t>20230127</t>
        </is>
      </c>
      <c r="N126" s="10" t="n">
        <v>184.17</v>
      </c>
      <c r="O126" s="10">
        <f>IFERROR(VLOOKUP(A126,Flete!$A:$J,10,0),"")</f>
        <v/>
      </c>
      <c r="P126" s="8" t="inlineStr">
        <is>
          <t>TN</t>
        </is>
      </c>
      <c r="Q126" s="10">
        <f>IFERROR(IFERROR(VLOOKUP(A126,TRAOPE!$A:$U,21,0),VLOOKUP(B126,TRAOPE!$A:$U,21,0)),"")</f>
        <v/>
      </c>
      <c r="R126" s="8">
        <f>IFERROR(IFERROR(VLOOKUP(A126,TRAOPE!$A:$W,23,0),VLOOKUP(B126,TRAOPE!$A:$W,23,0)),"")</f>
        <v/>
      </c>
      <c r="S126" s="10">
        <f>IF(AND(P126="TN",R126="TN"),N126+N(O126),IF(G126&amp;""="1",N(K126)*N126,(N126+N(O126))*N(K126)))</f>
        <v/>
      </c>
      <c r="T126" s="10">
        <f>IF(Q126="","",Q126-S126)</f>
        <v/>
      </c>
    </row>
    <row r="127">
      <c r="A127" s="7">
        <f>CONCATENATE(C127,E127,F127,I127)</f>
        <v/>
      </c>
      <c r="B127" s="7">
        <f>CONCATENATE(C127,E127,I127)</f>
        <v/>
      </c>
      <c r="C127" s="8" t="n">
        <v>900006419</v>
      </c>
      <c r="D127" s="7">
        <f>IFERROR(VLOOKUP(C127,TRAOPE!$G:$H,2,0),"")</f>
        <v/>
      </c>
      <c r="E127" s="8" t="inlineStr">
        <is>
          <t>DW55</t>
        </is>
      </c>
      <c r="F127" s="8" t="inlineStr">
        <is>
          <t>D284</t>
        </is>
      </c>
      <c r="G127" s="8">
        <f>IFERROR(VLOOKUP(A127,Flete!$A:$E,5,0),"")</f>
        <v/>
      </c>
      <c r="H127" s="7">
        <f>IFERROR(VLOOKUP(F127,TRAOPE!$AA:$AB,2,0),"")</f>
        <v/>
      </c>
      <c r="I127" s="7" t="n">
        <v>10000372</v>
      </c>
      <c r="J127" s="7">
        <f>IFERROR(VLOOKUP(I127,Materiales!$A:$H,8,0),"")</f>
        <v/>
      </c>
      <c r="K127" s="9">
        <f>IFERROR(VLOOKUP(I127,Materiales!$A:$G,7,0),"")</f>
        <v/>
      </c>
      <c r="L127" s="8" t="inlineStr">
        <is>
          <t>20230111</t>
        </is>
      </c>
      <c r="M127" s="8" t="inlineStr">
        <is>
          <t>20230608</t>
        </is>
      </c>
      <c r="N127" s="10" t="n">
        <v>186.46</v>
      </c>
      <c r="O127" s="10">
        <f>IFERROR(VLOOKUP(A127,Flete!$A:$J,10,0),"")</f>
        <v/>
      </c>
      <c r="P127" s="8" t="inlineStr">
        <is>
          <t>TN</t>
        </is>
      </c>
      <c r="Q127" s="10">
        <f>IFERROR(IFERROR(VLOOKUP(A127,TRAOPE!$A:$U,21,0),VLOOKUP(B127,TRAOPE!$A:$U,21,0)),"")</f>
        <v/>
      </c>
      <c r="R127" s="8">
        <f>IFERROR(IFERROR(VLOOKUP(A127,TRAOPE!$A:$W,23,0),VLOOKUP(B127,TRAOPE!$A:$W,23,0)),"")</f>
        <v/>
      </c>
      <c r="S127" s="10">
        <f>IF(AND(P127="TN",R127="TN"),N127+N(O127),IF(G127&amp;""="1",N(K127)*N127,(N127+N(O127))*N(K127)))</f>
        <v/>
      </c>
      <c r="T127" s="10">
        <f>IF(Q127="","",Q127-S127)</f>
        <v/>
      </c>
    </row>
    <row r="128">
      <c r="A128" s="7">
        <f>CONCATENATE(C128,E128,F128,I128)</f>
        <v/>
      </c>
      <c r="B128" s="7">
        <f>CONCATENATE(C128,E128,I128)</f>
        <v/>
      </c>
      <c r="C128" s="8" t="n">
        <v>900006419</v>
      </c>
      <c r="D128" s="7">
        <f>IFERROR(VLOOKUP(C128,TRAOPE!$G:$H,2,0),"")</f>
        <v/>
      </c>
      <c r="E128" s="8" t="inlineStr">
        <is>
          <t>DW55</t>
        </is>
      </c>
      <c r="F128" s="8" t="inlineStr">
        <is>
          <t>D284</t>
        </is>
      </c>
      <c r="G128" s="8">
        <f>IFERROR(VLOOKUP(A128,Flete!$A:$E,5,0),"")</f>
        <v/>
      </c>
      <c r="H128" s="7">
        <f>IFERROR(VLOOKUP(F128,TRAOPE!$AA:$AB,2,0),"")</f>
        <v/>
      </c>
      <c r="I128" s="7" t="n">
        <v>10000373</v>
      </c>
      <c r="J128" s="7">
        <f>IFERROR(VLOOKUP(I128,Materiales!$A:$H,8,0),"")</f>
        <v/>
      </c>
      <c r="K128" s="9">
        <f>IFERROR(VLOOKUP(I128,Materiales!$A:$G,7,0),"")</f>
        <v/>
      </c>
      <c r="L128" s="8" t="inlineStr">
        <is>
          <t>20230111</t>
        </is>
      </c>
      <c r="M128" s="8" t="inlineStr">
        <is>
          <t>20230608</t>
        </is>
      </c>
      <c r="N128" s="10" t="n">
        <v>218.64</v>
      </c>
      <c r="O128" s="10">
        <f>IFERROR(VLOOKUP(A128,Flete!$A:$J,10,0),"")</f>
        <v/>
      </c>
      <c r="P128" s="8" t="inlineStr">
        <is>
          <t>TN</t>
        </is>
      </c>
      <c r="Q128" s="10">
        <f>IFERROR(IFERROR(VLOOKUP(A128,TRAOPE!$A:$U,21,0),VLOOKUP(B128,TRAOPE!$A:$U,21,0)),"")</f>
        <v/>
      </c>
      <c r="R128" s="8">
        <f>IFERROR(IFERROR(VLOOKUP(A128,TRAOPE!$A:$W,23,0),VLOOKUP(B128,TRAOPE!$A:$W,23,0)),"")</f>
        <v/>
      </c>
      <c r="S128" s="10">
        <f>IF(AND(P128="TN",R128="TN"),N128+N(O128),IF(G128&amp;""="1",N(K128)*N128,(N128+N(O128))*N(K128)))</f>
        <v/>
      </c>
      <c r="T128" s="10">
        <f>IF(Q128="","",Q128-S128)</f>
        <v/>
      </c>
    </row>
    <row r="129">
      <c r="A129" s="7">
        <f>CONCATENATE(C129,E129,F129,I129)</f>
        <v/>
      </c>
      <c r="B129" s="7">
        <f>CONCATENATE(C129,E129,I129)</f>
        <v/>
      </c>
      <c r="C129" s="8" t="n">
        <v>900006419</v>
      </c>
      <c r="D129" s="7">
        <f>IFERROR(VLOOKUP(C129,TRAOPE!$G:$H,2,0),"")</f>
        <v/>
      </c>
      <c r="E129" s="8" t="inlineStr">
        <is>
          <t>DW55</t>
        </is>
      </c>
      <c r="F129" s="8" t="inlineStr">
        <is>
          <t>D284</t>
        </is>
      </c>
      <c r="G129" s="8">
        <f>IFERROR(VLOOKUP(A129,Flete!$A:$E,5,0),"")</f>
        <v/>
      </c>
      <c r="H129" s="7">
        <f>IFERROR(VLOOKUP(F129,TRAOPE!$AA:$AB,2,0),"")</f>
        <v/>
      </c>
      <c r="I129" s="7" t="n">
        <v>10000421</v>
      </c>
      <c r="J129" s="7">
        <f>IFERROR(VLOOKUP(I129,Materiales!$A:$H,8,0),"")</f>
        <v/>
      </c>
      <c r="K129" s="9">
        <f>IFERROR(VLOOKUP(I129,Materiales!$A:$G,7,0),"")</f>
        <v/>
      </c>
      <c r="L129" s="8" t="inlineStr">
        <is>
          <t>20230111</t>
        </is>
      </c>
      <c r="M129" s="8" t="inlineStr">
        <is>
          <t>20230608</t>
        </is>
      </c>
      <c r="N129" s="10" t="n">
        <v>163.1</v>
      </c>
      <c r="O129" s="10">
        <f>IFERROR(VLOOKUP(A129,Flete!$A:$J,10,0),"")</f>
        <v/>
      </c>
      <c r="P129" s="8" t="inlineStr">
        <is>
          <t>TN</t>
        </is>
      </c>
      <c r="Q129" s="10">
        <f>IFERROR(IFERROR(VLOOKUP(A129,TRAOPE!$A:$U,21,0),VLOOKUP(B129,TRAOPE!$A:$U,21,0)),"")</f>
        <v/>
      </c>
      <c r="R129" s="8">
        <f>IFERROR(IFERROR(VLOOKUP(A129,TRAOPE!$A:$W,23,0),VLOOKUP(B129,TRAOPE!$A:$W,23,0)),"")</f>
        <v/>
      </c>
      <c r="S129" s="10">
        <f>IF(AND(P129="TN",R129="TN"),N129+N(O129),IF(G129&amp;""="1",N(K129)*N129,(N129+N(O129))*N(K129)))</f>
        <v/>
      </c>
      <c r="T129" s="10">
        <f>IF(Q129="","",Q129-S129)</f>
        <v/>
      </c>
    </row>
    <row r="130">
      <c r="A130" s="7">
        <f>CONCATENATE(C130,E130,F130,I130)</f>
        <v/>
      </c>
      <c r="B130" s="7">
        <f>CONCATENATE(C130,E130,I130)</f>
        <v/>
      </c>
      <c r="C130" s="8" t="n">
        <v>900006419</v>
      </c>
      <c r="D130" s="7">
        <f>IFERROR(VLOOKUP(C130,TRAOPE!$G:$H,2,0),"")</f>
        <v/>
      </c>
      <c r="E130" s="8" t="inlineStr">
        <is>
          <t>DW55</t>
        </is>
      </c>
      <c r="F130" s="8" t="inlineStr">
        <is>
          <t>D309</t>
        </is>
      </c>
      <c r="G130" s="8">
        <f>IFERROR(VLOOKUP(A130,Flete!$A:$E,5,0),"")</f>
        <v/>
      </c>
      <c r="H130" s="7">
        <f>IFERROR(VLOOKUP(F130,TRAOPE!$AA:$AB,2,0),"")</f>
        <v/>
      </c>
      <c r="I130" s="7" t="n">
        <v>10000372</v>
      </c>
      <c r="J130" s="7">
        <f>IFERROR(VLOOKUP(I130,Materiales!$A:$H,8,0),"")</f>
        <v/>
      </c>
      <c r="K130" s="9">
        <f>IFERROR(VLOOKUP(I130,Materiales!$A:$G,7,0),"")</f>
        <v/>
      </c>
      <c r="L130" s="8" t="inlineStr">
        <is>
          <t>20230111</t>
        </is>
      </c>
      <c r="M130" s="8" t="inlineStr">
        <is>
          <t>20230608</t>
        </is>
      </c>
      <c r="N130" s="10" t="n">
        <v>186.46</v>
      </c>
      <c r="O130" s="10">
        <f>IFERROR(VLOOKUP(A130,Flete!$A:$J,10,0),"")</f>
        <v/>
      </c>
      <c r="P130" s="8" t="inlineStr">
        <is>
          <t>TN</t>
        </is>
      </c>
      <c r="Q130" s="10">
        <f>IFERROR(IFERROR(VLOOKUP(A130,TRAOPE!$A:$U,21,0),VLOOKUP(B130,TRAOPE!$A:$U,21,0)),"")</f>
        <v/>
      </c>
      <c r="R130" s="8">
        <f>IFERROR(IFERROR(VLOOKUP(A130,TRAOPE!$A:$W,23,0),VLOOKUP(B130,TRAOPE!$A:$W,23,0)),"")</f>
        <v/>
      </c>
      <c r="S130" s="10">
        <f>IF(AND(P130="TN",R130="TN"),N130+N(O130),IF(G130&amp;""="1",N(K130)*N130,(N130+N(O130))*N(K130)))</f>
        <v/>
      </c>
      <c r="T130" s="10">
        <f>IF(Q130="","",Q130-S130)</f>
        <v/>
      </c>
    </row>
    <row r="131">
      <c r="A131" s="7">
        <f>CONCATENATE(C131,E131,F131,I131)</f>
        <v/>
      </c>
      <c r="B131" s="7">
        <f>CONCATENATE(C131,E131,I131)</f>
        <v/>
      </c>
      <c r="C131" s="8" t="n">
        <v>900006419</v>
      </c>
      <c r="D131" s="7">
        <f>IFERROR(VLOOKUP(C131,TRAOPE!$G:$H,2,0),"")</f>
        <v/>
      </c>
      <c r="E131" s="8" t="inlineStr">
        <is>
          <t>DW55</t>
        </is>
      </c>
      <c r="F131" s="8" t="inlineStr">
        <is>
          <t>D309</t>
        </is>
      </c>
      <c r="G131" s="8">
        <f>IFERROR(VLOOKUP(A131,Flete!$A:$E,5,0),"")</f>
        <v/>
      </c>
      <c r="H131" s="7">
        <f>IFERROR(VLOOKUP(F131,TRAOPE!$AA:$AB,2,0),"")</f>
        <v/>
      </c>
      <c r="I131" s="7" t="n">
        <v>10000373</v>
      </c>
      <c r="J131" s="7">
        <f>IFERROR(VLOOKUP(I131,Materiales!$A:$H,8,0),"")</f>
        <v/>
      </c>
      <c r="K131" s="9">
        <f>IFERROR(VLOOKUP(I131,Materiales!$A:$G,7,0),"")</f>
        <v/>
      </c>
      <c r="L131" s="8" t="inlineStr">
        <is>
          <t>20230111</t>
        </is>
      </c>
      <c r="M131" s="8" t="inlineStr">
        <is>
          <t>20230608</t>
        </is>
      </c>
      <c r="N131" s="10" t="n">
        <v>218.64</v>
      </c>
      <c r="O131" s="10">
        <f>IFERROR(VLOOKUP(A131,Flete!$A:$J,10,0),"")</f>
        <v/>
      </c>
      <c r="P131" s="8" t="inlineStr">
        <is>
          <t>TN</t>
        </is>
      </c>
      <c r="Q131" s="10">
        <f>IFERROR(IFERROR(VLOOKUP(A131,TRAOPE!$A:$U,21,0),VLOOKUP(B131,TRAOPE!$A:$U,21,0)),"")</f>
        <v/>
      </c>
      <c r="R131" s="8">
        <f>IFERROR(IFERROR(VLOOKUP(A131,TRAOPE!$A:$W,23,0),VLOOKUP(B131,TRAOPE!$A:$W,23,0)),"")</f>
        <v/>
      </c>
      <c r="S131" s="10">
        <f>IF(AND(P131="TN",R131="TN"),N131+N(O131),IF(G131&amp;""="1",N(K131)*N131,(N131+N(O131))*N(K131)))</f>
        <v/>
      </c>
      <c r="T131" s="10">
        <f>IF(Q131="","",Q131-S131)</f>
        <v/>
      </c>
    </row>
    <row r="132">
      <c r="A132" s="7">
        <f>CONCATENATE(C132,E132,F132,I132)</f>
        <v/>
      </c>
      <c r="B132" s="7">
        <f>CONCATENATE(C132,E132,I132)</f>
        <v/>
      </c>
      <c r="C132" s="8" t="n">
        <v>900006419</v>
      </c>
      <c r="D132" s="7">
        <f>IFERROR(VLOOKUP(C132,TRAOPE!$G:$H,2,0),"")</f>
        <v/>
      </c>
      <c r="E132" s="8" t="inlineStr">
        <is>
          <t>DW55</t>
        </is>
      </c>
      <c r="F132" s="8" t="inlineStr">
        <is>
          <t>D309</t>
        </is>
      </c>
      <c r="G132" s="8">
        <f>IFERROR(VLOOKUP(A132,Flete!$A:$E,5,0),"")</f>
        <v/>
      </c>
      <c r="H132" s="7">
        <f>IFERROR(VLOOKUP(F132,TRAOPE!$AA:$AB,2,0),"")</f>
        <v/>
      </c>
      <c r="I132" s="7" t="n">
        <v>10000421</v>
      </c>
      <c r="J132" s="7">
        <f>IFERROR(VLOOKUP(I132,Materiales!$A:$H,8,0),"")</f>
        <v/>
      </c>
      <c r="K132" s="9">
        <f>IFERROR(VLOOKUP(I132,Materiales!$A:$G,7,0),"")</f>
        <v/>
      </c>
      <c r="L132" s="8" t="inlineStr">
        <is>
          <t>20230111</t>
        </is>
      </c>
      <c r="M132" s="8" t="inlineStr">
        <is>
          <t>20230608</t>
        </is>
      </c>
      <c r="N132" s="10" t="n">
        <v>163.1</v>
      </c>
      <c r="O132" s="10">
        <f>IFERROR(VLOOKUP(A132,Flete!$A:$J,10,0),"")</f>
        <v/>
      </c>
      <c r="P132" s="8" t="inlineStr">
        <is>
          <t>TN</t>
        </is>
      </c>
      <c r="Q132" s="10">
        <f>IFERROR(IFERROR(VLOOKUP(A132,TRAOPE!$A:$U,21,0),VLOOKUP(B132,TRAOPE!$A:$U,21,0)),"")</f>
        <v/>
      </c>
      <c r="R132" s="8">
        <f>IFERROR(IFERROR(VLOOKUP(A132,TRAOPE!$A:$W,23,0),VLOOKUP(B132,TRAOPE!$A:$W,23,0)),"")</f>
        <v/>
      </c>
      <c r="S132" s="10">
        <f>IF(AND(P132="TN",R132="TN"),N132+N(O132),IF(G132&amp;""="1",N(K132)*N132,(N132+N(O132))*N(K132)))</f>
        <v/>
      </c>
      <c r="T132" s="10">
        <f>IF(Q132="","",Q132-S132)</f>
        <v/>
      </c>
    </row>
    <row r="133">
      <c r="A133" s="7">
        <f>CONCATENATE(C133,E133,F133,I133)</f>
        <v/>
      </c>
      <c r="B133" s="7">
        <f>CONCATENATE(C133,E133,I133)</f>
        <v/>
      </c>
      <c r="C133" s="8" t="n">
        <v>900006419</v>
      </c>
      <c r="D133" s="7">
        <f>IFERROR(VLOOKUP(C133,TRAOPE!$G:$H,2,0),"")</f>
        <v/>
      </c>
      <c r="E133" s="8" t="inlineStr">
        <is>
          <t>DW55</t>
        </is>
      </c>
      <c r="F133" s="8" t="inlineStr">
        <is>
          <t>D342</t>
        </is>
      </c>
      <c r="G133" s="8">
        <f>IFERROR(VLOOKUP(A133,Flete!$A:$E,5,0),"")</f>
        <v/>
      </c>
      <c r="H133" s="7">
        <f>IFERROR(VLOOKUP(F133,TRAOPE!$AA:$AB,2,0),"")</f>
        <v/>
      </c>
      <c r="I133" s="7" t="n">
        <v>10000372</v>
      </c>
      <c r="J133" s="7">
        <f>IFERROR(VLOOKUP(I133,Materiales!$A:$H,8,0),"")</f>
        <v/>
      </c>
      <c r="K133" s="9">
        <f>IFERROR(VLOOKUP(I133,Materiales!$A:$G,7,0),"")</f>
        <v/>
      </c>
      <c r="L133" s="8" t="inlineStr">
        <is>
          <t>20230111</t>
        </is>
      </c>
      <c r="M133" s="8" t="inlineStr">
        <is>
          <t>20230608</t>
        </is>
      </c>
      <c r="N133" s="10" t="n">
        <v>186.46</v>
      </c>
      <c r="O133" s="10">
        <f>IFERROR(VLOOKUP(A133,Flete!$A:$J,10,0),"")</f>
        <v/>
      </c>
      <c r="P133" s="8" t="inlineStr">
        <is>
          <t>TN</t>
        </is>
      </c>
      <c r="Q133" s="10">
        <f>IFERROR(IFERROR(VLOOKUP(A133,TRAOPE!$A:$U,21,0),VLOOKUP(B133,TRAOPE!$A:$U,21,0)),"")</f>
        <v/>
      </c>
      <c r="R133" s="8">
        <f>IFERROR(IFERROR(VLOOKUP(A133,TRAOPE!$A:$W,23,0),VLOOKUP(B133,TRAOPE!$A:$W,23,0)),"")</f>
        <v/>
      </c>
      <c r="S133" s="10">
        <f>IF(AND(P133="TN",R133="TN"),N133+N(O133),IF(G133&amp;""="1",N(K133)*N133,(N133+N(O133))*N(K133)))</f>
        <v/>
      </c>
      <c r="T133" s="10">
        <f>IF(Q133="","",Q133-S133)</f>
        <v/>
      </c>
    </row>
    <row r="134">
      <c r="A134" s="7">
        <f>CONCATENATE(C134,E134,F134,I134)</f>
        <v/>
      </c>
      <c r="B134" s="7">
        <f>CONCATENATE(C134,E134,I134)</f>
        <v/>
      </c>
      <c r="C134" s="8" t="n">
        <v>900006419</v>
      </c>
      <c r="D134" s="7">
        <f>IFERROR(VLOOKUP(C134,TRAOPE!$G:$H,2,0),"")</f>
        <v/>
      </c>
      <c r="E134" s="8" t="inlineStr">
        <is>
          <t>DW55</t>
        </is>
      </c>
      <c r="F134" s="8" t="inlineStr">
        <is>
          <t>D342</t>
        </is>
      </c>
      <c r="G134" s="8">
        <f>IFERROR(VLOOKUP(A134,Flete!$A:$E,5,0),"")</f>
        <v/>
      </c>
      <c r="H134" s="7">
        <f>IFERROR(VLOOKUP(F134,TRAOPE!$AA:$AB,2,0),"")</f>
        <v/>
      </c>
      <c r="I134" s="7" t="n">
        <v>10000373</v>
      </c>
      <c r="J134" s="7">
        <f>IFERROR(VLOOKUP(I134,Materiales!$A:$H,8,0),"")</f>
        <v/>
      </c>
      <c r="K134" s="9">
        <f>IFERROR(VLOOKUP(I134,Materiales!$A:$G,7,0),"")</f>
        <v/>
      </c>
      <c r="L134" s="8" t="inlineStr">
        <is>
          <t>20230111</t>
        </is>
      </c>
      <c r="M134" s="8" t="inlineStr">
        <is>
          <t>20230608</t>
        </is>
      </c>
      <c r="N134" s="10" t="n">
        <v>218.64</v>
      </c>
      <c r="O134" s="10">
        <f>IFERROR(VLOOKUP(A134,Flete!$A:$J,10,0),"")</f>
        <v/>
      </c>
      <c r="P134" s="8" t="inlineStr">
        <is>
          <t>TN</t>
        </is>
      </c>
      <c r="Q134" s="10">
        <f>IFERROR(IFERROR(VLOOKUP(A134,TRAOPE!$A:$U,21,0),VLOOKUP(B134,TRAOPE!$A:$U,21,0)),"")</f>
        <v/>
      </c>
      <c r="R134" s="8">
        <f>IFERROR(IFERROR(VLOOKUP(A134,TRAOPE!$A:$W,23,0),VLOOKUP(B134,TRAOPE!$A:$W,23,0)),"")</f>
        <v/>
      </c>
      <c r="S134" s="10">
        <f>IF(AND(P134="TN",R134="TN"),N134+N(O134),IF(G134&amp;""="1",N(K134)*N134,(N134+N(O134))*N(K134)))</f>
        <v/>
      </c>
      <c r="T134" s="10">
        <f>IF(Q134="","",Q134-S134)</f>
        <v/>
      </c>
    </row>
    <row r="135">
      <c r="A135" s="7">
        <f>CONCATENATE(C135,E135,F135,I135)</f>
        <v/>
      </c>
      <c r="B135" s="7">
        <f>CONCATENATE(C135,E135,I135)</f>
        <v/>
      </c>
      <c r="C135" s="8" t="n">
        <v>900006419</v>
      </c>
      <c r="D135" s="7">
        <f>IFERROR(VLOOKUP(C135,TRAOPE!$G:$H,2,0),"")</f>
        <v/>
      </c>
      <c r="E135" s="8" t="inlineStr">
        <is>
          <t>DW55</t>
        </is>
      </c>
      <c r="F135" s="8" t="inlineStr">
        <is>
          <t>D342</t>
        </is>
      </c>
      <c r="G135" s="8">
        <f>IFERROR(VLOOKUP(A135,Flete!$A:$E,5,0),"")</f>
        <v/>
      </c>
      <c r="H135" s="7">
        <f>IFERROR(VLOOKUP(F135,TRAOPE!$AA:$AB,2,0),"")</f>
        <v/>
      </c>
      <c r="I135" s="7" t="n">
        <v>10000421</v>
      </c>
      <c r="J135" s="7">
        <f>IFERROR(VLOOKUP(I135,Materiales!$A:$H,8,0),"")</f>
        <v/>
      </c>
      <c r="K135" s="9">
        <f>IFERROR(VLOOKUP(I135,Materiales!$A:$G,7,0),"")</f>
        <v/>
      </c>
      <c r="L135" s="8" t="inlineStr">
        <is>
          <t>20230111</t>
        </is>
      </c>
      <c r="M135" s="8" t="inlineStr">
        <is>
          <t>20230608</t>
        </is>
      </c>
      <c r="N135" s="10" t="n">
        <v>163.1</v>
      </c>
      <c r="O135" s="10">
        <f>IFERROR(VLOOKUP(A135,Flete!$A:$J,10,0),"")</f>
        <v/>
      </c>
      <c r="P135" s="8" t="inlineStr">
        <is>
          <t>TN</t>
        </is>
      </c>
      <c r="Q135" s="10">
        <f>IFERROR(IFERROR(VLOOKUP(A135,TRAOPE!$A:$U,21,0),VLOOKUP(B135,TRAOPE!$A:$U,21,0)),"")</f>
        <v/>
      </c>
      <c r="R135" s="8">
        <f>IFERROR(IFERROR(VLOOKUP(A135,TRAOPE!$A:$W,23,0),VLOOKUP(B135,TRAOPE!$A:$W,23,0)),"")</f>
        <v/>
      </c>
      <c r="S135" s="10">
        <f>IF(AND(P135="TN",R135="TN"),N135+N(O135),IF(G135&amp;""="1",N(K135)*N135,(N135+N(O135))*N(K135)))</f>
        <v/>
      </c>
      <c r="T135" s="10">
        <f>IF(Q135="","",Q135-S135)</f>
        <v/>
      </c>
    </row>
    <row r="136">
      <c r="A136" s="7">
        <f>CONCATENATE(C136,E136,F136,I136)</f>
        <v/>
      </c>
      <c r="B136" s="7">
        <f>CONCATENATE(C136,E136,I136)</f>
        <v/>
      </c>
      <c r="C136" s="8" t="n">
        <v>900006419</v>
      </c>
      <c r="D136" s="7">
        <f>IFERROR(VLOOKUP(C136,TRAOPE!$G:$H,2,0),"")</f>
        <v/>
      </c>
      <c r="E136" s="8" t="inlineStr">
        <is>
          <t>DW55</t>
        </is>
      </c>
      <c r="F136" s="8" t="inlineStr">
        <is>
          <t>D348</t>
        </is>
      </c>
      <c r="G136" s="8">
        <f>IFERROR(VLOOKUP(A136,Flete!$A:$E,5,0),"")</f>
        <v/>
      </c>
      <c r="H136" s="7">
        <f>IFERROR(VLOOKUP(F136,TRAOPE!$AA:$AB,2,0),"")</f>
        <v/>
      </c>
      <c r="I136" s="7" t="n">
        <v>10000372</v>
      </c>
      <c r="J136" s="7">
        <f>IFERROR(VLOOKUP(I136,Materiales!$A:$H,8,0),"")</f>
        <v/>
      </c>
      <c r="K136" s="9">
        <f>IFERROR(VLOOKUP(I136,Materiales!$A:$G,7,0),"")</f>
        <v/>
      </c>
      <c r="L136" s="8" t="inlineStr">
        <is>
          <t>20230111</t>
        </is>
      </c>
      <c r="M136" s="8" t="inlineStr">
        <is>
          <t>20230608</t>
        </is>
      </c>
      <c r="N136" s="10" t="n">
        <v>184.65</v>
      </c>
      <c r="O136" s="10">
        <f>IFERROR(VLOOKUP(A136,Flete!$A:$J,10,0),"")</f>
        <v/>
      </c>
      <c r="P136" s="8" t="inlineStr">
        <is>
          <t>TN</t>
        </is>
      </c>
      <c r="Q136" s="10">
        <f>IFERROR(IFERROR(VLOOKUP(A136,TRAOPE!$A:$U,21,0),VLOOKUP(B136,TRAOPE!$A:$U,21,0)),"")</f>
        <v/>
      </c>
      <c r="R136" s="8">
        <f>IFERROR(IFERROR(VLOOKUP(A136,TRAOPE!$A:$W,23,0),VLOOKUP(B136,TRAOPE!$A:$W,23,0)),"")</f>
        <v/>
      </c>
      <c r="S136" s="10">
        <f>IF(AND(P136="TN",R136="TN"),N136+N(O136),IF(G136&amp;""="1",N(K136)*N136,(N136+N(O136))*N(K136)))</f>
        <v/>
      </c>
      <c r="T136" s="10">
        <f>IF(Q136="","",Q136-S136)</f>
        <v/>
      </c>
    </row>
    <row r="137">
      <c r="A137" s="7">
        <f>CONCATENATE(C137,E137,F137,I137)</f>
        <v/>
      </c>
      <c r="B137" s="7">
        <f>CONCATENATE(C137,E137,I137)</f>
        <v/>
      </c>
      <c r="C137" s="8" t="n">
        <v>900006419</v>
      </c>
      <c r="D137" s="7">
        <f>IFERROR(VLOOKUP(C137,TRAOPE!$G:$H,2,0),"")</f>
        <v/>
      </c>
      <c r="E137" s="8" t="inlineStr">
        <is>
          <t>DW55</t>
        </is>
      </c>
      <c r="F137" s="8" t="inlineStr">
        <is>
          <t>D348</t>
        </is>
      </c>
      <c r="G137" s="8">
        <f>IFERROR(VLOOKUP(A137,Flete!$A:$E,5,0),"")</f>
        <v/>
      </c>
      <c r="H137" s="7">
        <f>IFERROR(VLOOKUP(F137,TRAOPE!$AA:$AB,2,0),"")</f>
        <v/>
      </c>
      <c r="I137" s="7" t="n">
        <v>10000373</v>
      </c>
      <c r="J137" s="7">
        <f>IFERROR(VLOOKUP(I137,Materiales!$A:$H,8,0),"")</f>
        <v/>
      </c>
      <c r="K137" s="9">
        <f>IFERROR(VLOOKUP(I137,Materiales!$A:$G,7,0),"")</f>
        <v/>
      </c>
      <c r="L137" s="8" t="inlineStr">
        <is>
          <t>20230111</t>
        </is>
      </c>
      <c r="M137" s="8" t="inlineStr">
        <is>
          <t>20230608</t>
        </is>
      </c>
      <c r="N137" s="10" t="n">
        <v>218.64</v>
      </c>
      <c r="O137" s="10">
        <f>IFERROR(VLOOKUP(A137,Flete!$A:$J,10,0),"")</f>
        <v/>
      </c>
      <c r="P137" s="8" t="inlineStr">
        <is>
          <t>TN</t>
        </is>
      </c>
      <c r="Q137" s="10">
        <f>IFERROR(IFERROR(VLOOKUP(A137,TRAOPE!$A:$U,21,0),VLOOKUP(B137,TRAOPE!$A:$U,21,0)),"")</f>
        <v/>
      </c>
      <c r="R137" s="8">
        <f>IFERROR(IFERROR(VLOOKUP(A137,TRAOPE!$A:$W,23,0),VLOOKUP(B137,TRAOPE!$A:$W,23,0)),"")</f>
        <v/>
      </c>
      <c r="S137" s="10">
        <f>IF(AND(P137="TN",R137="TN"),N137+N(O137),IF(G137&amp;""="1",N(K137)*N137,(N137+N(O137))*N(K137)))</f>
        <v/>
      </c>
      <c r="T137" s="10">
        <f>IF(Q137="","",Q137-S137)</f>
        <v/>
      </c>
    </row>
    <row r="138">
      <c r="A138" s="7">
        <f>CONCATENATE(C138,E138,F138,I138)</f>
        <v/>
      </c>
      <c r="B138" s="7">
        <f>CONCATENATE(C138,E138,I138)</f>
        <v/>
      </c>
      <c r="C138" s="8" t="n">
        <v>900006419</v>
      </c>
      <c r="D138" s="7">
        <f>IFERROR(VLOOKUP(C138,TRAOPE!$G:$H,2,0),"")</f>
        <v/>
      </c>
      <c r="E138" s="8" t="inlineStr">
        <is>
          <t>DW55</t>
        </is>
      </c>
      <c r="F138" s="8" t="inlineStr">
        <is>
          <t>D348</t>
        </is>
      </c>
      <c r="G138" s="8">
        <f>IFERROR(VLOOKUP(A138,Flete!$A:$E,5,0),"")</f>
        <v/>
      </c>
      <c r="H138" s="7">
        <f>IFERROR(VLOOKUP(F138,TRAOPE!$AA:$AB,2,0),"")</f>
        <v/>
      </c>
      <c r="I138" s="7" t="n">
        <v>10000421</v>
      </c>
      <c r="J138" s="7">
        <f>IFERROR(VLOOKUP(I138,Materiales!$A:$H,8,0),"")</f>
        <v/>
      </c>
      <c r="K138" s="9">
        <f>IFERROR(VLOOKUP(I138,Materiales!$A:$G,7,0),"")</f>
        <v/>
      </c>
      <c r="L138" s="8" t="inlineStr">
        <is>
          <t>20230111</t>
        </is>
      </c>
      <c r="M138" s="8" t="inlineStr">
        <is>
          <t>20230608</t>
        </is>
      </c>
      <c r="N138" s="10" t="n">
        <v>163.1</v>
      </c>
      <c r="O138" s="10">
        <f>IFERROR(VLOOKUP(A138,Flete!$A:$J,10,0),"")</f>
        <v/>
      </c>
      <c r="P138" s="8" t="inlineStr">
        <is>
          <t>TN</t>
        </is>
      </c>
      <c r="Q138" s="10">
        <f>IFERROR(IFERROR(VLOOKUP(A138,TRAOPE!$A:$U,21,0),VLOOKUP(B138,TRAOPE!$A:$U,21,0)),"")</f>
        <v/>
      </c>
      <c r="R138" s="8">
        <f>IFERROR(IFERROR(VLOOKUP(A138,TRAOPE!$A:$W,23,0),VLOOKUP(B138,TRAOPE!$A:$W,23,0)),"")</f>
        <v/>
      </c>
      <c r="S138" s="10">
        <f>IF(AND(P138="TN",R138="TN"),N138+N(O138),IF(G138&amp;""="1",N(K138)*N138,(N138+N(O138))*N(K138)))</f>
        <v/>
      </c>
      <c r="T138" s="10">
        <f>IF(Q138="","",Q138-S138)</f>
        <v/>
      </c>
    </row>
    <row r="139">
      <c r="A139" s="7">
        <f>CONCATENATE(C139,E139,F139,I139)</f>
        <v/>
      </c>
      <c r="B139" s="7">
        <f>CONCATENATE(C139,E139,I139)</f>
        <v/>
      </c>
      <c r="C139" s="8" t="n">
        <v>900006419</v>
      </c>
      <c r="D139" s="7">
        <f>IFERROR(VLOOKUP(C139,TRAOPE!$G:$H,2,0),"")</f>
        <v/>
      </c>
      <c r="E139" s="8" t="inlineStr">
        <is>
          <t>DW55</t>
        </is>
      </c>
      <c r="F139" s="8" t="inlineStr">
        <is>
          <t>ER67</t>
        </is>
      </c>
      <c r="G139" s="8">
        <f>IFERROR(VLOOKUP(A139,Flete!$A:$E,5,0),"")</f>
        <v/>
      </c>
      <c r="H139" s="7">
        <f>IFERROR(VLOOKUP(F139,TRAOPE!$AA:$AB,2,0),"")</f>
        <v/>
      </c>
      <c r="I139" s="7" t="n">
        <v>10210260</v>
      </c>
      <c r="J139" s="7">
        <f>IFERROR(VLOOKUP(I139,Materiales!$A:$H,8,0),"")</f>
        <v/>
      </c>
      <c r="K139" s="9">
        <f>IFERROR(VLOOKUP(I139,Materiales!$A:$G,7,0),"")</f>
        <v/>
      </c>
      <c r="L139" s="8" t="inlineStr">
        <is>
          <t>20220504</t>
        </is>
      </c>
      <c r="M139" s="8" t="inlineStr">
        <is>
          <t>20230127</t>
        </is>
      </c>
      <c r="N139" s="10" t="n">
        <v>201.21</v>
      </c>
      <c r="O139" s="10">
        <f>IFERROR(VLOOKUP(A139,Flete!$A:$J,10,0),"")</f>
        <v/>
      </c>
      <c r="P139" s="8" t="inlineStr">
        <is>
          <t>TN</t>
        </is>
      </c>
      <c r="Q139" s="10">
        <f>IFERROR(IFERROR(VLOOKUP(A139,TRAOPE!$A:$U,21,0),VLOOKUP(B139,TRAOPE!$A:$U,21,0)),"")</f>
        <v/>
      </c>
      <c r="R139" s="8">
        <f>IFERROR(IFERROR(VLOOKUP(A139,TRAOPE!$A:$W,23,0),VLOOKUP(B139,TRAOPE!$A:$W,23,0)),"")</f>
        <v/>
      </c>
      <c r="S139" s="10">
        <f>IF(AND(P139="TN",R139="TN"),N139+N(O139),IF(G139&amp;""="1",N(K139)*N139,(N139+N(O139))*N(K139)))</f>
        <v/>
      </c>
      <c r="T139" s="10">
        <f>IF(Q139="","",Q139-S139)</f>
        <v/>
      </c>
    </row>
    <row r="140">
      <c r="A140" s="7">
        <f>CONCATENATE(C140,E140,F140,I140)</f>
        <v/>
      </c>
      <c r="B140" s="7">
        <f>CONCATENATE(C140,E140,I140)</f>
        <v/>
      </c>
      <c r="C140" s="8" t="n">
        <v>900006419</v>
      </c>
      <c r="D140" s="7">
        <f>IFERROR(VLOOKUP(C140,TRAOPE!$G:$H,2,0),"")</f>
        <v/>
      </c>
      <c r="E140" s="8" t="inlineStr">
        <is>
          <t>DW55</t>
        </is>
      </c>
      <c r="F140" s="8" t="inlineStr">
        <is>
          <t>ER68</t>
        </is>
      </c>
      <c r="G140" s="8">
        <f>IFERROR(VLOOKUP(A140,Flete!$A:$E,5,0),"")</f>
        <v/>
      </c>
      <c r="H140" s="7">
        <f>IFERROR(VLOOKUP(F140,TRAOPE!$AA:$AB,2,0),"")</f>
        <v/>
      </c>
      <c r="I140" s="7" t="n">
        <v>10210260</v>
      </c>
      <c r="J140" s="7">
        <f>IFERROR(VLOOKUP(I140,Materiales!$A:$H,8,0),"")</f>
        <v/>
      </c>
      <c r="K140" s="9">
        <f>IFERROR(VLOOKUP(I140,Materiales!$A:$G,7,0),"")</f>
        <v/>
      </c>
      <c r="L140" s="8" t="inlineStr">
        <is>
          <t>20230111</t>
        </is>
      </c>
      <c r="M140" s="8" t="inlineStr">
        <is>
          <t>20230608</t>
        </is>
      </c>
      <c r="N140" s="10" t="n">
        <v>201.21</v>
      </c>
      <c r="O140" s="10">
        <f>IFERROR(VLOOKUP(A140,Flete!$A:$J,10,0),"")</f>
        <v/>
      </c>
      <c r="P140" s="8" t="inlineStr">
        <is>
          <t>TN</t>
        </is>
      </c>
      <c r="Q140" s="10">
        <f>IFERROR(IFERROR(VLOOKUP(A140,TRAOPE!$A:$U,21,0),VLOOKUP(B140,TRAOPE!$A:$U,21,0)),"")</f>
        <v/>
      </c>
      <c r="R140" s="8">
        <f>IFERROR(IFERROR(VLOOKUP(A140,TRAOPE!$A:$W,23,0),VLOOKUP(B140,TRAOPE!$A:$W,23,0)),"")</f>
        <v/>
      </c>
      <c r="S140" s="10">
        <f>IF(AND(P140="TN",R140="TN"),N140+N(O140),IF(G140&amp;""="1",N(K140)*N140,(N140+N(O140))*N(K140)))</f>
        <v/>
      </c>
      <c r="T140" s="10">
        <f>IF(Q140="","",Q140-S140)</f>
        <v/>
      </c>
    </row>
    <row r="141">
      <c r="A141" s="7">
        <f>CONCATENATE(C141,E141,F141,I141)</f>
        <v/>
      </c>
      <c r="B141" s="7">
        <f>CONCATENATE(C141,E141,I141)</f>
        <v/>
      </c>
      <c r="C141" s="8" t="n">
        <v>900006566</v>
      </c>
      <c r="D141" s="7">
        <f>IFERROR(VLOOKUP(C141,TRAOPE!$G:$H,2,0),"")</f>
        <v/>
      </c>
      <c r="E141" s="8" t="inlineStr">
        <is>
          <t>DW55</t>
        </is>
      </c>
      <c r="F141" s="8" t="inlineStr">
        <is>
          <t>D284</t>
        </is>
      </c>
      <c r="G141" s="8">
        <f>IFERROR(VLOOKUP(A141,Flete!$A:$E,5,0),"")</f>
        <v/>
      </c>
      <c r="H141" s="7">
        <f>IFERROR(VLOOKUP(F141,TRAOPE!$AA:$AB,2,0),"")</f>
        <v/>
      </c>
      <c r="I141" s="7" t="n">
        <v>10000834</v>
      </c>
      <c r="J141" s="7">
        <f>IFERROR(VLOOKUP(I141,Materiales!$A:$H,8,0),"")</f>
        <v/>
      </c>
      <c r="K141" s="9">
        <f>IFERROR(VLOOKUP(I141,Materiales!$A:$G,7,0),"")</f>
        <v/>
      </c>
      <c r="L141" s="8" t="inlineStr">
        <is>
          <t>20240122</t>
        </is>
      </c>
      <c r="M141" s="8" t="inlineStr">
        <is>
          <t>20241015</t>
        </is>
      </c>
      <c r="N141" s="10" t="n">
        <v>38.04</v>
      </c>
      <c r="O141" s="10">
        <f>IFERROR(VLOOKUP(A141,Flete!$A:$J,10,0),"")</f>
        <v/>
      </c>
      <c r="P141" s="8" t="inlineStr">
        <is>
          <t>TN</t>
        </is>
      </c>
      <c r="Q141" s="10">
        <f>IFERROR(IFERROR(VLOOKUP(A141,TRAOPE!$A:$U,21,0),VLOOKUP(B141,TRAOPE!$A:$U,21,0)),"")</f>
        <v/>
      </c>
      <c r="R141" s="8">
        <f>IFERROR(IFERROR(VLOOKUP(A141,TRAOPE!$A:$W,23,0),VLOOKUP(B141,TRAOPE!$A:$W,23,0)),"")</f>
        <v/>
      </c>
      <c r="S141" s="10">
        <f>IF(AND(P141="TN",R141="TN"),N141+N(O141),IF(G141&amp;""="1",N(K141)*N141,(N141+N(O141))*N(K141)))</f>
        <v/>
      </c>
      <c r="T141" s="10">
        <f>IF(Q141="","",Q141-S141)</f>
        <v/>
      </c>
    </row>
    <row r="142">
      <c r="A142" s="7">
        <f>CONCATENATE(C142,E142,F142,I142)</f>
        <v/>
      </c>
      <c r="B142" s="7">
        <f>CONCATENATE(C142,E142,I142)</f>
        <v/>
      </c>
      <c r="C142" s="8" t="n">
        <v>900006566</v>
      </c>
      <c r="D142" s="7">
        <f>IFERROR(VLOOKUP(C142,TRAOPE!$G:$H,2,0),"")</f>
        <v/>
      </c>
      <c r="E142" s="8" t="inlineStr">
        <is>
          <t>DW55</t>
        </is>
      </c>
      <c r="F142" s="8" t="inlineStr">
        <is>
          <t>D284</t>
        </is>
      </c>
      <c r="G142" s="8">
        <f>IFERROR(VLOOKUP(A142,Flete!$A:$E,5,0),"")</f>
        <v/>
      </c>
      <c r="H142" s="7">
        <f>IFERROR(VLOOKUP(F142,TRAOPE!$AA:$AB,2,0),"")</f>
        <v/>
      </c>
      <c r="I142" s="7" t="n">
        <v>10214752</v>
      </c>
      <c r="J142" s="7">
        <f>IFERROR(VLOOKUP(I142,Materiales!$A:$H,8,0),"")</f>
        <v/>
      </c>
      <c r="K142" s="9">
        <f>IFERROR(VLOOKUP(I142,Materiales!$A:$G,7,0),"")</f>
        <v/>
      </c>
      <c r="L142" s="8" t="inlineStr">
        <is>
          <t>20240122</t>
        </is>
      </c>
      <c r="M142" s="8" t="inlineStr">
        <is>
          <t>20241015</t>
        </is>
      </c>
      <c r="N142" s="10" t="n">
        <v>36.91</v>
      </c>
      <c r="O142" s="10">
        <f>IFERROR(VLOOKUP(A142,Flete!$A:$J,10,0),"")</f>
        <v/>
      </c>
      <c r="P142" s="8" t="inlineStr">
        <is>
          <t>TN</t>
        </is>
      </c>
      <c r="Q142" s="10">
        <f>IFERROR(IFERROR(VLOOKUP(A142,TRAOPE!$A:$U,21,0),VLOOKUP(B142,TRAOPE!$A:$U,21,0)),"")</f>
        <v/>
      </c>
      <c r="R142" s="8">
        <f>IFERROR(IFERROR(VLOOKUP(A142,TRAOPE!$A:$W,23,0),VLOOKUP(B142,TRAOPE!$A:$W,23,0)),"")</f>
        <v/>
      </c>
      <c r="S142" s="10">
        <f>IF(AND(P142="TN",R142="TN"),N142+N(O142),IF(G142&amp;""="1",N(K142)*N142,(N142+N(O142))*N(K142)))</f>
        <v/>
      </c>
      <c r="T142" s="10">
        <f>IF(Q142="","",Q142-S142)</f>
        <v/>
      </c>
    </row>
    <row r="143">
      <c r="A143" s="7">
        <f>CONCATENATE(C143,E143,F143,I143)</f>
        <v/>
      </c>
      <c r="B143" s="7">
        <f>CONCATENATE(C143,E143,I143)</f>
        <v/>
      </c>
      <c r="C143" s="8" t="n">
        <v>900006566</v>
      </c>
      <c r="D143" s="7">
        <f>IFERROR(VLOOKUP(C143,TRAOPE!$G:$H,2,0),"")</f>
        <v/>
      </c>
      <c r="E143" s="8" t="inlineStr">
        <is>
          <t>DW55</t>
        </is>
      </c>
      <c r="F143" s="8" t="inlineStr">
        <is>
          <t>D309</t>
        </is>
      </c>
      <c r="G143" s="8">
        <f>IFERROR(VLOOKUP(A143,Flete!$A:$E,5,0),"")</f>
        <v/>
      </c>
      <c r="H143" s="7">
        <f>IFERROR(VLOOKUP(F143,TRAOPE!$AA:$AB,2,0),"")</f>
        <v/>
      </c>
      <c r="I143" s="7" t="n">
        <v>10000834</v>
      </c>
      <c r="J143" s="7">
        <f>IFERROR(VLOOKUP(I143,Materiales!$A:$H,8,0),"")</f>
        <v/>
      </c>
      <c r="K143" s="9">
        <f>IFERROR(VLOOKUP(I143,Materiales!$A:$G,7,0),"")</f>
        <v/>
      </c>
      <c r="L143" s="8" t="inlineStr">
        <is>
          <t>20240122</t>
        </is>
      </c>
      <c r="M143" s="8" t="inlineStr">
        <is>
          <t>20241015</t>
        </is>
      </c>
      <c r="N143" s="10" t="n">
        <v>38.04</v>
      </c>
      <c r="O143" s="10">
        <f>IFERROR(VLOOKUP(A143,Flete!$A:$J,10,0),"")</f>
        <v/>
      </c>
      <c r="P143" s="8" t="inlineStr">
        <is>
          <t>TN</t>
        </is>
      </c>
      <c r="Q143" s="10">
        <f>IFERROR(IFERROR(VLOOKUP(A143,TRAOPE!$A:$U,21,0),VLOOKUP(B143,TRAOPE!$A:$U,21,0)),"")</f>
        <v/>
      </c>
      <c r="R143" s="8">
        <f>IFERROR(IFERROR(VLOOKUP(A143,TRAOPE!$A:$W,23,0),VLOOKUP(B143,TRAOPE!$A:$W,23,0)),"")</f>
        <v/>
      </c>
      <c r="S143" s="10">
        <f>IF(AND(P143="TN",R143="TN"),N143+N(O143),IF(G143&amp;""="1",N(K143)*N143,(N143+N(O143))*N(K143)))</f>
        <v/>
      </c>
      <c r="T143" s="10">
        <f>IF(Q143="","",Q143-S143)</f>
        <v/>
      </c>
    </row>
    <row r="144">
      <c r="A144" s="7">
        <f>CONCATENATE(C144,E144,F144,I144)</f>
        <v/>
      </c>
      <c r="B144" s="7">
        <f>CONCATENATE(C144,E144,I144)</f>
        <v/>
      </c>
      <c r="C144" s="8" t="n">
        <v>900006566</v>
      </c>
      <c r="D144" s="7">
        <f>IFERROR(VLOOKUP(C144,TRAOPE!$G:$H,2,0),"")</f>
        <v/>
      </c>
      <c r="E144" s="8" t="inlineStr">
        <is>
          <t>DW55</t>
        </is>
      </c>
      <c r="F144" s="8" t="inlineStr">
        <is>
          <t>D309</t>
        </is>
      </c>
      <c r="G144" s="8">
        <f>IFERROR(VLOOKUP(A144,Flete!$A:$E,5,0),"")</f>
        <v/>
      </c>
      <c r="H144" s="7">
        <f>IFERROR(VLOOKUP(F144,TRAOPE!$AA:$AB,2,0),"")</f>
        <v/>
      </c>
      <c r="I144" s="7" t="n">
        <v>10214752</v>
      </c>
      <c r="J144" s="7">
        <f>IFERROR(VLOOKUP(I144,Materiales!$A:$H,8,0),"")</f>
        <v/>
      </c>
      <c r="K144" s="9">
        <f>IFERROR(VLOOKUP(I144,Materiales!$A:$G,7,0),"")</f>
        <v/>
      </c>
      <c r="L144" s="8" t="inlineStr">
        <is>
          <t>20240122</t>
        </is>
      </c>
      <c r="M144" s="8" t="inlineStr">
        <is>
          <t>20241015</t>
        </is>
      </c>
      <c r="N144" s="10" t="n">
        <v>36.91</v>
      </c>
      <c r="O144" s="10">
        <f>IFERROR(VLOOKUP(A144,Flete!$A:$J,10,0),"")</f>
        <v/>
      </c>
      <c r="P144" s="8" t="inlineStr">
        <is>
          <t>TN</t>
        </is>
      </c>
      <c r="Q144" s="10">
        <f>IFERROR(IFERROR(VLOOKUP(A144,TRAOPE!$A:$U,21,0),VLOOKUP(B144,TRAOPE!$A:$U,21,0)),"")</f>
        <v/>
      </c>
      <c r="R144" s="8">
        <f>IFERROR(IFERROR(VLOOKUP(A144,TRAOPE!$A:$W,23,0),VLOOKUP(B144,TRAOPE!$A:$W,23,0)),"")</f>
        <v/>
      </c>
      <c r="S144" s="10">
        <f>IF(AND(P144="TN",R144="TN"),N144+N(O144),IF(G144&amp;""="1",N(K144)*N144,(N144+N(O144))*N(K144)))</f>
        <v/>
      </c>
      <c r="T144" s="10">
        <f>IF(Q144="","",Q144-S144)</f>
        <v/>
      </c>
    </row>
    <row r="145">
      <c r="A145" s="7">
        <f>CONCATENATE(C145,E145,F145,I145)</f>
        <v/>
      </c>
      <c r="B145" s="7">
        <f>CONCATENATE(C145,E145,I145)</f>
        <v/>
      </c>
      <c r="C145" s="8" t="n">
        <v>900006566</v>
      </c>
      <c r="D145" s="7">
        <f>IFERROR(VLOOKUP(C145,TRAOPE!$G:$H,2,0),"")</f>
        <v/>
      </c>
      <c r="E145" s="8" t="inlineStr">
        <is>
          <t>DW55</t>
        </is>
      </c>
      <c r="F145" s="8" t="inlineStr">
        <is>
          <t>D325</t>
        </is>
      </c>
      <c r="G145" s="8">
        <f>IFERROR(VLOOKUP(A145,Flete!$A:$E,5,0),"")</f>
        <v/>
      </c>
      <c r="H145" s="7">
        <f>IFERROR(VLOOKUP(F145,TRAOPE!$AA:$AB,2,0),"")</f>
        <v/>
      </c>
      <c r="I145" s="7" t="n">
        <v>10000834</v>
      </c>
      <c r="J145" s="7">
        <f>IFERROR(VLOOKUP(I145,Materiales!$A:$H,8,0),"")</f>
        <v/>
      </c>
      <c r="K145" s="9">
        <f>IFERROR(VLOOKUP(I145,Materiales!$A:$G,7,0),"")</f>
        <v/>
      </c>
      <c r="L145" s="8" t="inlineStr">
        <is>
          <t>20240122</t>
        </is>
      </c>
      <c r="M145" s="8" t="inlineStr">
        <is>
          <t>20241015</t>
        </is>
      </c>
      <c r="N145" s="10" t="n">
        <v>38.04</v>
      </c>
      <c r="O145" s="10">
        <f>IFERROR(VLOOKUP(A145,Flete!$A:$J,10,0),"")</f>
        <v/>
      </c>
      <c r="P145" s="8" t="inlineStr">
        <is>
          <t>TN</t>
        </is>
      </c>
      <c r="Q145" s="10">
        <f>IFERROR(IFERROR(VLOOKUP(A145,TRAOPE!$A:$U,21,0),VLOOKUP(B145,TRAOPE!$A:$U,21,0)),"")</f>
        <v/>
      </c>
      <c r="R145" s="8">
        <f>IFERROR(IFERROR(VLOOKUP(A145,TRAOPE!$A:$W,23,0),VLOOKUP(B145,TRAOPE!$A:$W,23,0)),"")</f>
        <v/>
      </c>
      <c r="S145" s="10">
        <f>IF(AND(P145="TN",R145="TN"),N145+N(O145),IF(G145&amp;""="1",N(K145)*N145,(N145+N(O145))*N(K145)))</f>
        <v/>
      </c>
      <c r="T145" s="10">
        <f>IF(Q145="","",Q145-S145)</f>
        <v/>
      </c>
    </row>
    <row r="146">
      <c r="A146" s="7">
        <f>CONCATENATE(C146,E146,F146,I146)</f>
        <v/>
      </c>
      <c r="B146" s="7">
        <f>CONCATENATE(C146,E146,I146)</f>
        <v/>
      </c>
      <c r="C146" s="8" t="n">
        <v>900006566</v>
      </c>
      <c r="D146" s="7">
        <f>IFERROR(VLOOKUP(C146,TRAOPE!$G:$H,2,0),"")</f>
        <v/>
      </c>
      <c r="E146" s="8" t="inlineStr">
        <is>
          <t>DW55</t>
        </is>
      </c>
      <c r="F146" s="8" t="inlineStr">
        <is>
          <t>D325</t>
        </is>
      </c>
      <c r="G146" s="8">
        <f>IFERROR(VLOOKUP(A146,Flete!$A:$E,5,0),"")</f>
        <v/>
      </c>
      <c r="H146" s="7">
        <f>IFERROR(VLOOKUP(F146,TRAOPE!$AA:$AB,2,0),"")</f>
        <v/>
      </c>
      <c r="I146" s="7" t="n">
        <v>10214752</v>
      </c>
      <c r="J146" s="7">
        <f>IFERROR(VLOOKUP(I146,Materiales!$A:$H,8,0),"")</f>
        <v/>
      </c>
      <c r="K146" s="9">
        <f>IFERROR(VLOOKUP(I146,Materiales!$A:$G,7,0),"")</f>
        <v/>
      </c>
      <c r="L146" s="8" t="inlineStr">
        <is>
          <t>20240122</t>
        </is>
      </c>
      <c r="M146" s="8" t="inlineStr">
        <is>
          <t>20241015</t>
        </is>
      </c>
      <c r="N146" s="10" t="n">
        <v>36.91</v>
      </c>
      <c r="O146" s="10">
        <f>IFERROR(VLOOKUP(A146,Flete!$A:$J,10,0),"")</f>
        <v/>
      </c>
      <c r="P146" s="8" t="inlineStr">
        <is>
          <t>TN</t>
        </is>
      </c>
      <c r="Q146" s="10">
        <f>IFERROR(IFERROR(VLOOKUP(A146,TRAOPE!$A:$U,21,0),VLOOKUP(B146,TRAOPE!$A:$U,21,0)),"")</f>
        <v/>
      </c>
      <c r="R146" s="8">
        <f>IFERROR(IFERROR(VLOOKUP(A146,TRAOPE!$A:$W,23,0),VLOOKUP(B146,TRAOPE!$A:$W,23,0)),"")</f>
        <v/>
      </c>
      <c r="S146" s="10">
        <f>IF(AND(P146="TN",R146="TN"),N146+N(O146),IF(G146&amp;""="1",N(K146)*N146,(N146+N(O146))*N(K146)))</f>
        <v/>
      </c>
      <c r="T146" s="10">
        <f>IF(Q146="","",Q146-S146)</f>
        <v/>
      </c>
    </row>
    <row r="147">
      <c r="A147" s="7">
        <f>CONCATENATE(C147,E147,F147,I147)</f>
        <v/>
      </c>
      <c r="B147" s="7">
        <f>CONCATENATE(C147,E147,I147)</f>
        <v/>
      </c>
      <c r="C147" s="8" t="n">
        <v>900006566</v>
      </c>
      <c r="D147" s="7">
        <f>IFERROR(VLOOKUP(C147,TRAOPE!$G:$H,2,0),"")</f>
        <v/>
      </c>
      <c r="E147" s="8" t="inlineStr">
        <is>
          <t>DW55</t>
        </is>
      </c>
      <c r="F147" s="8" t="inlineStr">
        <is>
          <t>D342</t>
        </is>
      </c>
      <c r="G147" s="8">
        <f>IFERROR(VLOOKUP(A147,Flete!$A:$E,5,0),"")</f>
        <v/>
      </c>
      <c r="H147" s="7">
        <f>IFERROR(VLOOKUP(F147,TRAOPE!$AA:$AB,2,0),"")</f>
        <v/>
      </c>
      <c r="I147" s="7" t="n">
        <v>10000834</v>
      </c>
      <c r="J147" s="7">
        <f>IFERROR(VLOOKUP(I147,Materiales!$A:$H,8,0),"")</f>
        <v/>
      </c>
      <c r="K147" s="9">
        <f>IFERROR(VLOOKUP(I147,Materiales!$A:$G,7,0),"")</f>
        <v/>
      </c>
      <c r="L147" s="8" t="inlineStr">
        <is>
          <t>20240122</t>
        </is>
      </c>
      <c r="M147" s="8" t="inlineStr">
        <is>
          <t>20241015</t>
        </is>
      </c>
      <c r="N147" s="10" t="n">
        <v>38.04</v>
      </c>
      <c r="O147" s="10">
        <f>IFERROR(VLOOKUP(A147,Flete!$A:$J,10,0),"")</f>
        <v/>
      </c>
      <c r="P147" s="8" t="inlineStr">
        <is>
          <t>TN</t>
        </is>
      </c>
      <c r="Q147" s="10">
        <f>IFERROR(IFERROR(VLOOKUP(A147,TRAOPE!$A:$U,21,0),VLOOKUP(B147,TRAOPE!$A:$U,21,0)),"")</f>
        <v/>
      </c>
      <c r="R147" s="8">
        <f>IFERROR(IFERROR(VLOOKUP(A147,TRAOPE!$A:$W,23,0),VLOOKUP(B147,TRAOPE!$A:$W,23,0)),"")</f>
        <v/>
      </c>
      <c r="S147" s="10">
        <f>IF(AND(P147="TN",R147="TN"),N147+N(O147),IF(G147&amp;""="1",N(K147)*N147,(N147+N(O147))*N(K147)))</f>
        <v/>
      </c>
      <c r="T147" s="10">
        <f>IF(Q147="","",Q147-S147)</f>
        <v/>
      </c>
    </row>
    <row r="148">
      <c r="A148" s="7">
        <f>CONCATENATE(C148,E148,F148,I148)</f>
        <v/>
      </c>
      <c r="B148" s="7">
        <f>CONCATENATE(C148,E148,I148)</f>
        <v/>
      </c>
      <c r="C148" s="8" t="n">
        <v>900006566</v>
      </c>
      <c r="D148" s="7">
        <f>IFERROR(VLOOKUP(C148,TRAOPE!$G:$H,2,0),"")</f>
        <v/>
      </c>
      <c r="E148" s="8" t="inlineStr">
        <is>
          <t>DW55</t>
        </is>
      </c>
      <c r="F148" s="8" t="inlineStr">
        <is>
          <t>D342</t>
        </is>
      </c>
      <c r="G148" s="8">
        <f>IFERROR(VLOOKUP(A148,Flete!$A:$E,5,0),"")</f>
        <v/>
      </c>
      <c r="H148" s="7">
        <f>IFERROR(VLOOKUP(F148,TRAOPE!$AA:$AB,2,0),"")</f>
        <v/>
      </c>
      <c r="I148" s="7" t="n">
        <v>10214752</v>
      </c>
      <c r="J148" s="7">
        <f>IFERROR(VLOOKUP(I148,Materiales!$A:$H,8,0),"")</f>
        <v/>
      </c>
      <c r="K148" s="9">
        <f>IFERROR(VLOOKUP(I148,Materiales!$A:$G,7,0),"")</f>
        <v/>
      </c>
      <c r="L148" s="8" t="inlineStr">
        <is>
          <t>20240122</t>
        </is>
      </c>
      <c r="M148" s="8" t="inlineStr">
        <is>
          <t>20241015</t>
        </is>
      </c>
      <c r="N148" s="10" t="n">
        <v>36.91</v>
      </c>
      <c r="O148" s="10">
        <f>IFERROR(VLOOKUP(A148,Flete!$A:$J,10,0),"")</f>
        <v/>
      </c>
      <c r="P148" s="8" t="inlineStr">
        <is>
          <t>TN</t>
        </is>
      </c>
      <c r="Q148" s="10">
        <f>IFERROR(IFERROR(VLOOKUP(A148,TRAOPE!$A:$U,21,0),VLOOKUP(B148,TRAOPE!$A:$U,21,0)),"")</f>
        <v/>
      </c>
      <c r="R148" s="8">
        <f>IFERROR(IFERROR(VLOOKUP(A148,TRAOPE!$A:$W,23,0),VLOOKUP(B148,TRAOPE!$A:$W,23,0)),"")</f>
        <v/>
      </c>
      <c r="S148" s="10">
        <f>IF(AND(P148="TN",R148="TN"),N148+N(O148),IF(G148&amp;""="1",N(K148)*N148,(N148+N(O148))*N(K148)))</f>
        <v/>
      </c>
      <c r="T148" s="10">
        <f>IF(Q148="","",Q148-S148)</f>
        <v/>
      </c>
    </row>
    <row r="149">
      <c r="A149" s="7">
        <f>CONCATENATE(C149,E149,F149,I149)</f>
        <v/>
      </c>
      <c r="B149" s="7">
        <f>CONCATENATE(C149,E149,I149)</f>
        <v/>
      </c>
      <c r="C149" s="8" t="n">
        <v>900006566</v>
      </c>
      <c r="D149" s="7">
        <f>IFERROR(VLOOKUP(C149,TRAOPE!$G:$H,2,0),"")</f>
        <v/>
      </c>
      <c r="E149" s="8" t="inlineStr">
        <is>
          <t>DW55</t>
        </is>
      </c>
      <c r="F149" s="8" t="inlineStr">
        <is>
          <t>D348</t>
        </is>
      </c>
      <c r="G149" s="8">
        <f>IFERROR(VLOOKUP(A149,Flete!$A:$E,5,0),"")</f>
        <v/>
      </c>
      <c r="H149" s="7">
        <f>IFERROR(VLOOKUP(F149,TRAOPE!$AA:$AB,2,0),"")</f>
        <v/>
      </c>
      <c r="I149" s="7" t="n">
        <v>10000834</v>
      </c>
      <c r="J149" s="7">
        <f>IFERROR(VLOOKUP(I149,Materiales!$A:$H,8,0),"")</f>
        <v/>
      </c>
      <c r="K149" s="9">
        <f>IFERROR(VLOOKUP(I149,Materiales!$A:$G,7,0),"")</f>
        <v/>
      </c>
      <c r="L149" s="8" t="inlineStr">
        <is>
          <t>20240122</t>
        </is>
      </c>
      <c r="M149" s="8" t="inlineStr">
        <is>
          <t>20241015</t>
        </is>
      </c>
      <c r="N149" s="10" t="n">
        <v>38.04</v>
      </c>
      <c r="O149" s="10">
        <f>IFERROR(VLOOKUP(A149,Flete!$A:$J,10,0),"")</f>
        <v/>
      </c>
      <c r="P149" s="8" t="inlineStr">
        <is>
          <t>TN</t>
        </is>
      </c>
      <c r="Q149" s="10">
        <f>IFERROR(IFERROR(VLOOKUP(A149,TRAOPE!$A:$U,21,0),VLOOKUP(B149,TRAOPE!$A:$U,21,0)),"")</f>
        <v/>
      </c>
      <c r="R149" s="8">
        <f>IFERROR(IFERROR(VLOOKUP(A149,TRAOPE!$A:$W,23,0),VLOOKUP(B149,TRAOPE!$A:$W,23,0)),"")</f>
        <v/>
      </c>
      <c r="S149" s="10">
        <f>IF(AND(P149="TN",R149="TN"),N149+N(O149),IF(G149&amp;""="1",N(K149)*N149,(N149+N(O149))*N(K149)))</f>
        <v/>
      </c>
      <c r="T149" s="10">
        <f>IF(Q149="","",Q149-S149)</f>
        <v/>
      </c>
    </row>
    <row r="150">
      <c r="A150" s="7">
        <f>CONCATENATE(C150,E150,F150,I150)</f>
        <v/>
      </c>
      <c r="B150" s="7">
        <f>CONCATENATE(C150,E150,I150)</f>
        <v/>
      </c>
      <c r="C150" s="8" t="n">
        <v>900006566</v>
      </c>
      <c r="D150" s="7">
        <f>IFERROR(VLOOKUP(C150,TRAOPE!$G:$H,2,0),"")</f>
        <v/>
      </c>
      <c r="E150" s="8" t="inlineStr">
        <is>
          <t>DW55</t>
        </is>
      </c>
      <c r="F150" s="8" t="inlineStr">
        <is>
          <t>D348</t>
        </is>
      </c>
      <c r="G150" s="8">
        <f>IFERROR(VLOOKUP(A150,Flete!$A:$E,5,0),"")</f>
        <v/>
      </c>
      <c r="H150" s="7">
        <f>IFERROR(VLOOKUP(F150,TRAOPE!$AA:$AB,2,0),"")</f>
        <v/>
      </c>
      <c r="I150" s="7" t="n">
        <v>10214752</v>
      </c>
      <c r="J150" s="7">
        <f>IFERROR(VLOOKUP(I150,Materiales!$A:$H,8,0),"")</f>
        <v/>
      </c>
      <c r="K150" s="9">
        <f>IFERROR(VLOOKUP(I150,Materiales!$A:$G,7,0),"")</f>
        <v/>
      </c>
      <c r="L150" s="8" t="inlineStr">
        <is>
          <t>20240122</t>
        </is>
      </c>
      <c r="M150" s="8" t="inlineStr">
        <is>
          <t>20241015</t>
        </is>
      </c>
      <c r="N150" s="10" t="n">
        <v>36.91</v>
      </c>
      <c r="O150" s="10">
        <f>IFERROR(VLOOKUP(A150,Flete!$A:$J,10,0),"")</f>
        <v/>
      </c>
      <c r="P150" s="8" t="inlineStr">
        <is>
          <t>TN</t>
        </is>
      </c>
      <c r="Q150" s="10">
        <f>IFERROR(IFERROR(VLOOKUP(A150,TRAOPE!$A:$U,21,0),VLOOKUP(B150,TRAOPE!$A:$U,21,0)),"")</f>
        <v/>
      </c>
      <c r="R150" s="8">
        <f>IFERROR(IFERROR(VLOOKUP(A150,TRAOPE!$A:$W,23,0),VLOOKUP(B150,TRAOPE!$A:$W,23,0)),"")</f>
        <v/>
      </c>
      <c r="S150" s="10">
        <f>IF(AND(P150="TN",R150="TN"),N150+N(O150),IF(G150&amp;""="1",N(K150)*N150,(N150+N(O150))*N(K150)))</f>
        <v/>
      </c>
      <c r="T150" s="10">
        <f>IF(Q150="","",Q150-S150)</f>
        <v/>
      </c>
    </row>
    <row r="151">
      <c r="A151" s="7">
        <f>CONCATENATE(C151,E151,F151,I151)</f>
        <v/>
      </c>
      <c r="B151" s="7">
        <f>CONCATENATE(C151,E151,I151)</f>
        <v/>
      </c>
      <c r="C151" s="8" t="n">
        <v>900006566</v>
      </c>
      <c r="D151" s="7">
        <f>IFERROR(VLOOKUP(C151,TRAOPE!$G:$H,2,0),"")</f>
        <v/>
      </c>
      <c r="E151" s="8" t="inlineStr">
        <is>
          <t>DW55</t>
        </is>
      </c>
      <c r="F151" s="8" t="inlineStr">
        <is>
          <t>ER67</t>
        </is>
      </c>
      <c r="G151" s="8">
        <f>IFERROR(VLOOKUP(A151,Flete!$A:$E,5,0),"")</f>
        <v/>
      </c>
      <c r="H151" s="7">
        <f>IFERROR(VLOOKUP(F151,TRAOPE!$AA:$AB,2,0),"")</f>
        <v/>
      </c>
      <c r="I151" s="7" t="n">
        <v>10000834</v>
      </c>
      <c r="J151" s="7">
        <f>IFERROR(VLOOKUP(I151,Materiales!$A:$H,8,0),"")</f>
        <v/>
      </c>
      <c r="K151" s="9">
        <f>IFERROR(VLOOKUP(I151,Materiales!$A:$G,7,0),"")</f>
        <v/>
      </c>
      <c r="L151" s="8" t="inlineStr">
        <is>
          <t>20220504</t>
        </is>
      </c>
      <c r="M151" s="8" t="inlineStr">
        <is>
          <t>20230127</t>
        </is>
      </c>
      <c r="N151" s="10" t="n">
        <v>36.8</v>
      </c>
      <c r="O151" s="10">
        <f>IFERROR(VLOOKUP(A151,Flete!$A:$J,10,0),"")</f>
        <v/>
      </c>
      <c r="P151" s="8" t="inlineStr">
        <is>
          <t>TN</t>
        </is>
      </c>
      <c r="Q151" s="10">
        <f>IFERROR(IFERROR(VLOOKUP(A151,TRAOPE!$A:$U,21,0),VLOOKUP(B151,TRAOPE!$A:$U,21,0)),"")</f>
        <v/>
      </c>
      <c r="R151" s="8">
        <f>IFERROR(IFERROR(VLOOKUP(A151,TRAOPE!$A:$W,23,0),VLOOKUP(B151,TRAOPE!$A:$W,23,0)),"")</f>
        <v/>
      </c>
      <c r="S151" s="10">
        <f>IF(AND(P151="TN",R151="TN"),N151+N(O151),IF(G151&amp;""="1",N(K151)*N151,(N151+N(O151))*N(K151)))</f>
        <v/>
      </c>
      <c r="T151" s="10">
        <f>IF(Q151="","",Q151-S151)</f>
        <v/>
      </c>
    </row>
    <row r="152">
      <c r="A152" s="7">
        <f>CONCATENATE(C152,E152,F152,I152)</f>
        <v/>
      </c>
      <c r="B152" s="7">
        <f>CONCATENATE(C152,E152,I152)</f>
        <v/>
      </c>
      <c r="C152" s="8" t="n">
        <v>900006567</v>
      </c>
      <c r="D152" s="7">
        <f>IFERROR(VLOOKUP(C152,TRAOPE!$G:$H,2,0),"")</f>
        <v/>
      </c>
      <c r="E152" s="8" t="inlineStr">
        <is>
          <t>DW55</t>
        </is>
      </c>
      <c r="F152" s="8" t="inlineStr">
        <is>
          <t>D284</t>
        </is>
      </c>
      <c r="G152" s="8">
        <f>IFERROR(VLOOKUP(A152,Flete!$A:$E,5,0),"")</f>
        <v/>
      </c>
      <c r="H152" s="7">
        <f>IFERROR(VLOOKUP(F152,TRAOPE!$AA:$AB,2,0),"")</f>
        <v/>
      </c>
      <c r="I152" s="7" t="n">
        <v>10214752</v>
      </c>
      <c r="J152" s="7">
        <f>IFERROR(VLOOKUP(I152,Materiales!$A:$H,8,0),"")</f>
        <v/>
      </c>
      <c r="K152" s="9">
        <f>IFERROR(VLOOKUP(I152,Materiales!$A:$G,7,0),"")</f>
        <v/>
      </c>
      <c r="L152" s="8" t="inlineStr">
        <is>
          <t>20240122</t>
        </is>
      </c>
      <c r="M152" s="8" t="inlineStr">
        <is>
          <t>20241015</t>
        </is>
      </c>
      <c r="N152" s="10" t="n">
        <v>46.98</v>
      </c>
      <c r="O152" s="10">
        <f>IFERROR(VLOOKUP(A152,Flete!$A:$J,10,0),"")</f>
        <v/>
      </c>
      <c r="P152" s="8" t="inlineStr">
        <is>
          <t>TN</t>
        </is>
      </c>
      <c r="Q152" s="10">
        <f>IFERROR(IFERROR(VLOOKUP(A152,TRAOPE!$A:$U,21,0),VLOOKUP(B152,TRAOPE!$A:$U,21,0)),"")</f>
        <v/>
      </c>
      <c r="R152" s="8">
        <f>IFERROR(IFERROR(VLOOKUP(A152,TRAOPE!$A:$W,23,0),VLOOKUP(B152,TRAOPE!$A:$W,23,0)),"")</f>
        <v/>
      </c>
      <c r="S152" s="10">
        <f>IF(AND(P152="TN",R152="TN"),N152+N(O152),IF(G152&amp;""="1",N(K152)*N152,(N152+N(O152))*N(K152)))</f>
        <v/>
      </c>
      <c r="T152" s="10">
        <f>IF(Q152="","",Q152-S152)</f>
        <v/>
      </c>
    </row>
    <row r="153">
      <c r="A153" s="7">
        <f>CONCATENATE(C153,E153,F153,I153)</f>
        <v/>
      </c>
      <c r="B153" s="7">
        <f>CONCATENATE(C153,E153,I153)</f>
        <v/>
      </c>
      <c r="C153" s="8" t="n">
        <v>900006567</v>
      </c>
      <c r="D153" s="7">
        <f>IFERROR(VLOOKUP(C153,TRAOPE!$G:$H,2,0),"")</f>
        <v/>
      </c>
      <c r="E153" s="8" t="inlineStr">
        <is>
          <t>DW55</t>
        </is>
      </c>
      <c r="F153" s="8" t="inlineStr">
        <is>
          <t>D309</t>
        </is>
      </c>
      <c r="G153" s="8">
        <f>IFERROR(VLOOKUP(A153,Flete!$A:$E,5,0),"")</f>
        <v/>
      </c>
      <c r="H153" s="7">
        <f>IFERROR(VLOOKUP(F153,TRAOPE!$AA:$AB,2,0),"")</f>
        <v/>
      </c>
      <c r="I153" s="7" t="n">
        <v>10000834</v>
      </c>
      <c r="J153" s="7">
        <f>IFERROR(VLOOKUP(I153,Materiales!$A:$H,8,0),"")</f>
        <v/>
      </c>
      <c r="K153" s="9">
        <f>IFERROR(VLOOKUP(I153,Materiales!$A:$G,7,0),"")</f>
        <v/>
      </c>
      <c r="L153" s="8" t="inlineStr">
        <is>
          <t>20240122</t>
        </is>
      </c>
      <c r="M153" s="8" t="inlineStr">
        <is>
          <t>20241015</t>
        </is>
      </c>
      <c r="N153" s="10" t="n">
        <v>42.17</v>
      </c>
      <c r="O153" s="10">
        <f>IFERROR(VLOOKUP(A153,Flete!$A:$J,10,0),"")</f>
        <v/>
      </c>
      <c r="P153" s="8" t="inlineStr">
        <is>
          <t>TN</t>
        </is>
      </c>
      <c r="Q153" s="10">
        <f>IFERROR(IFERROR(VLOOKUP(A153,TRAOPE!$A:$U,21,0),VLOOKUP(B153,TRAOPE!$A:$U,21,0)),"")</f>
        <v/>
      </c>
      <c r="R153" s="8">
        <f>IFERROR(IFERROR(VLOOKUP(A153,TRAOPE!$A:$W,23,0),VLOOKUP(B153,TRAOPE!$A:$W,23,0)),"")</f>
        <v/>
      </c>
      <c r="S153" s="10">
        <f>IF(AND(P153="TN",R153="TN"),N153+N(O153),IF(G153&amp;""="1",N(K153)*N153,(N153+N(O153))*N(K153)))</f>
        <v/>
      </c>
      <c r="T153" s="10">
        <f>IF(Q153="","",Q153-S153)</f>
        <v/>
      </c>
    </row>
    <row r="154">
      <c r="A154" s="7">
        <f>CONCATENATE(C154,E154,F154,I154)</f>
        <v/>
      </c>
      <c r="B154" s="7">
        <f>CONCATENATE(C154,E154,I154)</f>
        <v/>
      </c>
      <c r="C154" s="8" t="n">
        <v>900006567</v>
      </c>
      <c r="D154" s="7">
        <f>IFERROR(VLOOKUP(C154,TRAOPE!$G:$H,2,0),"")</f>
        <v/>
      </c>
      <c r="E154" s="8" t="inlineStr">
        <is>
          <t>DW55</t>
        </is>
      </c>
      <c r="F154" s="8" t="inlineStr">
        <is>
          <t>D309</t>
        </is>
      </c>
      <c r="G154" s="8">
        <f>IFERROR(VLOOKUP(A154,Flete!$A:$E,5,0),"")</f>
        <v/>
      </c>
      <c r="H154" s="7">
        <f>IFERROR(VLOOKUP(F154,TRAOPE!$AA:$AB,2,0),"")</f>
        <v/>
      </c>
      <c r="I154" s="7" t="n">
        <v>10214752</v>
      </c>
      <c r="J154" s="7">
        <f>IFERROR(VLOOKUP(I154,Materiales!$A:$H,8,0),"")</f>
        <v/>
      </c>
      <c r="K154" s="9">
        <f>IFERROR(VLOOKUP(I154,Materiales!$A:$G,7,0),"")</f>
        <v/>
      </c>
      <c r="L154" s="8" t="inlineStr">
        <is>
          <t>20240122</t>
        </is>
      </c>
      <c r="M154" s="8" t="inlineStr">
        <is>
          <t>20241015</t>
        </is>
      </c>
      <c r="N154" s="10" t="n">
        <v>34.23</v>
      </c>
      <c r="O154" s="10">
        <f>IFERROR(VLOOKUP(A154,Flete!$A:$J,10,0),"")</f>
        <v/>
      </c>
      <c r="P154" s="8" t="inlineStr">
        <is>
          <t>TN</t>
        </is>
      </c>
      <c r="Q154" s="10">
        <f>IFERROR(IFERROR(VLOOKUP(A154,TRAOPE!$A:$U,21,0),VLOOKUP(B154,TRAOPE!$A:$U,21,0)),"")</f>
        <v/>
      </c>
      <c r="R154" s="8">
        <f>IFERROR(IFERROR(VLOOKUP(A154,TRAOPE!$A:$W,23,0),VLOOKUP(B154,TRAOPE!$A:$W,23,0)),"")</f>
        <v/>
      </c>
      <c r="S154" s="10">
        <f>IF(AND(P154="TN",R154="TN"),N154+N(O154),IF(G154&amp;""="1",N(K154)*N154,(N154+N(O154))*N(K154)))</f>
        <v/>
      </c>
      <c r="T154" s="10">
        <f>IF(Q154="","",Q154-S154)</f>
        <v/>
      </c>
    </row>
    <row r="155">
      <c r="A155" s="7">
        <f>CONCATENATE(C155,E155,F155,I155)</f>
        <v/>
      </c>
      <c r="B155" s="7">
        <f>CONCATENATE(C155,E155,I155)</f>
        <v/>
      </c>
      <c r="C155" s="8" t="n">
        <v>900006567</v>
      </c>
      <c r="D155" s="7">
        <f>IFERROR(VLOOKUP(C155,TRAOPE!$G:$H,2,0),"")</f>
        <v/>
      </c>
      <c r="E155" s="8" t="inlineStr">
        <is>
          <t>DW55</t>
        </is>
      </c>
      <c r="F155" s="8" t="inlineStr">
        <is>
          <t>D342</t>
        </is>
      </c>
      <c r="G155" s="8">
        <f>IFERROR(VLOOKUP(A155,Flete!$A:$E,5,0),"")</f>
        <v/>
      </c>
      <c r="H155" s="7">
        <f>IFERROR(VLOOKUP(F155,TRAOPE!$AA:$AB,2,0),"")</f>
        <v/>
      </c>
      <c r="I155" s="7" t="n">
        <v>10000834</v>
      </c>
      <c r="J155" s="7">
        <f>IFERROR(VLOOKUP(I155,Materiales!$A:$H,8,0),"")</f>
        <v/>
      </c>
      <c r="K155" s="9">
        <f>IFERROR(VLOOKUP(I155,Materiales!$A:$G,7,0),"")</f>
        <v/>
      </c>
      <c r="L155" s="8" t="inlineStr">
        <is>
          <t>20240122</t>
        </is>
      </c>
      <c r="M155" s="8" t="inlineStr">
        <is>
          <t>20241015</t>
        </is>
      </c>
      <c r="N155" s="10" t="n">
        <v>42.17</v>
      </c>
      <c r="O155" s="10">
        <f>IFERROR(VLOOKUP(A155,Flete!$A:$J,10,0),"")</f>
        <v/>
      </c>
      <c r="P155" s="8" t="inlineStr">
        <is>
          <t>TN</t>
        </is>
      </c>
      <c r="Q155" s="10">
        <f>IFERROR(IFERROR(VLOOKUP(A155,TRAOPE!$A:$U,21,0),VLOOKUP(B155,TRAOPE!$A:$U,21,0)),"")</f>
        <v/>
      </c>
      <c r="R155" s="8">
        <f>IFERROR(IFERROR(VLOOKUP(A155,TRAOPE!$A:$W,23,0),VLOOKUP(B155,TRAOPE!$A:$W,23,0)),"")</f>
        <v/>
      </c>
      <c r="S155" s="10">
        <f>IF(AND(P155="TN",R155="TN"),N155+N(O155),IF(G155&amp;""="1",N(K155)*N155,(N155+N(O155))*N(K155)))</f>
        <v/>
      </c>
      <c r="T155" s="10">
        <f>IF(Q155="","",Q155-S155)</f>
        <v/>
      </c>
    </row>
    <row r="156">
      <c r="A156" s="7">
        <f>CONCATENATE(C156,E156,F156,I156)</f>
        <v/>
      </c>
      <c r="B156" s="7">
        <f>CONCATENATE(C156,E156,I156)</f>
        <v/>
      </c>
      <c r="C156" s="8" t="n">
        <v>900006567</v>
      </c>
      <c r="D156" s="7">
        <f>IFERROR(VLOOKUP(C156,TRAOPE!$G:$H,2,0),"")</f>
        <v/>
      </c>
      <c r="E156" s="8" t="inlineStr">
        <is>
          <t>DW55</t>
        </is>
      </c>
      <c r="F156" s="8" t="inlineStr">
        <is>
          <t>D342</t>
        </is>
      </c>
      <c r="G156" s="8">
        <f>IFERROR(VLOOKUP(A156,Flete!$A:$E,5,0),"")</f>
        <v/>
      </c>
      <c r="H156" s="7">
        <f>IFERROR(VLOOKUP(F156,TRAOPE!$AA:$AB,2,0),"")</f>
        <v/>
      </c>
      <c r="I156" s="7" t="n">
        <v>10214752</v>
      </c>
      <c r="J156" s="7">
        <f>IFERROR(VLOOKUP(I156,Materiales!$A:$H,8,0),"")</f>
        <v/>
      </c>
      <c r="K156" s="9">
        <f>IFERROR(VLOOKUP(I156,Materiales!$A:$G,7,0),"")</f>
        <v/>
      </c>
      <c r="L156" s="8" t="inlineStr">
        <is>
          <t>20240122</t>
        </is>
      </c>
      <c r="M156" s="8" t="inlineStr">
        <is>
          <t>20241015</t>
        </is>
      </c>
      <c r="N156" s="10" t="n">
        <v>34.23</v>
      </c>
      <c r="O156" s="10">
        <f>IFERROR(VLOOKUP(A156,Flete!$A:$J,10,0),"")</f>
        <v/>
      </c>
      <c r="P156" s="8" t="inlineStr">
        <is>
          <t>TN</t>
        </is>
      </c>
      <c r="Q156" s="10">
        <f>IFERROR(IFERROR(VLOOKUP(A156,TRAOPE!$A:$U,21,0),VLOOKUP(B156,TRAOPE!$A:$U,21,0)),"")</f>
        <v/>
      </c>
      <c r="R156" s="8">
        <f>IFERROR(IFERROR(VLOOKUP(A156,TRAOPE!$A:$W,23,0),VLOOKUP(B156,TRAOPE!$A:$W,23,0)),"")</f>
        <v/>
      </c>
      <c r="S156" s="10">
        <f>IF(AND(P156="TN",R156="TN"),N156+N(O156),IF(G156&amp;""="1",N(K156)*N156,(N156+N(O156))*N(K156)))</f>
        <v/>
      </c>
      <c r="T156" s="10">
        <f>IF(Q156="","",Q156-S156)</f>
        <v/>
      </c>
    </row>
    <row r="157">
      <c r="A157" s="7">
        <f>CONCATENATE(C157,E157,F157,I157)</f>
        <v/>
      </c>
      <c r="B157" s="7">
        <f>CONCATENATE(C157,E157,I157)</f>
        <v/>
      </c>
      <c r="C157" s="8" t="n">
        <v>900006567</v>
      </c>
      <c r="D157" s="7">
        <f>IFERROR(VLOOKUP(C157,TRAOPE!$G:$H,2,0),"")</f>
        <v/>
      </c>
      <c r="E157" s="8" t="inlineStr">
        <is>
          <t>DW55</t>
        </is>
      </c>
      <c r="F157" s="8" t="inlineStr">
        <is>
          <t>ER67</t>
        </is>
      </c>
      <c r="G157" s="8">
        <f>IFERROR(VLOOKUP(A157,Flete!$A:$E,5,0),"")</f>
        <v/>
      </c>
      <c r="H157" s="7">
        <f>IFERROR(VLOOKUP(F157,TRAOPE!$AA:$AB,2,0),"")</f>
        <v/>
      </c>
      <c r="I157" s="7" t="n">
        <v>10000834</v>
      </c>
      <c r="J157" s="7">
        <f>IFERROR(VLOOKUP(I157,Materiales!$A:$H,8,0),"")</f>
        <v/>
      </c>
      <c r="K157" s="9">
        <f>IFERROR(VLOOKUP(I157,Materiales!$A:$G,7,0),"")</f>
        <v/>
      </c>
      <c r="L157" s="8" t="inlineStr">
        <is>
          <t>20220504</t>
        </is>
      </c>
      <c r="M157" s="8" t="inlineStr">
        <is>
          <t>20230127</t>
        </is>
      </c>
      <c r="N157" s="10" t="n">
        <v>38.04</v>
      </c>
      <c r="O157" s="10">
        <f>IFERROR(VLOOKUP(A157,Flete!$A:$J,10,0),"")</f>
        <v/>
      </c>
      <c r="P157" s="8" t="inlineStr">
        <is>
          <t>TN</t>
        </is>
      </c>
      <c r="Q157" s="10">
        <f>IFERROR(IFERROR(VLOOKUP(A157,TRAOPE!$A:$U,21,0),VLOOKUP(B157,TRAOPE!$A:$U,21,0)),"")</f>
        <v/>
      </c>
      <c r="R157" s="8">
        <f>IFERROR(IFERROR(VLOOKUP(A157,TRAOPE!$A:$W,23,0),VLOOKUP(B157,TRAOPE!$A:$W,23,0)),"")</f>
        <v/>
      </c>
      <c r="S157" s="10">
        <f>IF(AND(P157="TN",R157="TN"),N157+N(O157),IF(G157&amp;""="1",N(K157)*N157,(N157+N(O157))*N(K157)))</f>
        <v/>
      </c>
      <c r="T157" s="10">
        <f>IF(Q157="","",Q157-S157)</f>
        <v/>
      </c>
    </row>
    <row r="158">
      <c r="A158" s="7">
        <f>CONCATENATE(C158,E158,F158,I158)</f>
        <v/>
      </c>
      <c r="B158" s="7">
        <f>CONCATENATE(C158,E158,I158)</f>
        <v/>
      </c>
      <c r="C158" s="8" t="n">
        <v>900006567</v>
      </c>
      <c r="D158" s="7">
        <f>IFERROR(VLOOKUP(C158,TRAOPE!$G:$H,2,0),"")</f>
        <v/>
      </c>
      <c r="E158" s="8" t="inlineStr">
        <is>
          <t>DW55</t>
        </is>
      </c>
      <c r="F158" s="8" t="inlineStr">
        <is>
          <t>ER67</t>
        </is>
      </c>
      <c r="G158" s="8">
        <f>IFERROR(VLOOKUP(A158,Flete!$A:$E,5,0),"")</f>
        <v/>
      </c>
      <c r="H158" s="7">
        <f>IFERROR(VLOOKUP(F158,TRAOPE!$AA:$AB,2,0),"")</f>
        <v/>
      </c>
      <c r="I158" s="7" t="n">
        <v>10210039</v>
      </c>
      <c r="J158" s="7">
        <f>IFERROR(VLOOKUP(I158,Materiales!$A:$H,8,0),"")</f>
        <v/>
      </c>
      <c r="K158" s="9">
        <f>IFERROR(VLOOKUP(I158,Materiales!$A:$G,7,0),"")</f>
        <v/>
      </c>
      <c r="L158" s="8" t="inlineStr">
        <is>
          <t>20220504</t>
        </is>
      </c>
      <c r="M158" s="8" t="inlineStr">
        <is>
          <t>20230127</t>
        </is>
      </c>
      <c r="N158" s="10" t="n">
        <v>30.98</v>
      </c>
      <c r="O158" s="10">
        <f>IFERROR(VLOOKUP(A158,Flete!$A:$J,10,0),"")</f>
        <v/>
      </c>
      <c r="P158" s="8" t="inlineStr">
        <is>
          <t>TN</t>
        </is>
      </c>
      <c r="Q158" s="10">
        <f>IFERROR(IFERROR(VLOOKUP(A158,TRAOPE!$A:$U,21,0),VLOOKUP(B158,TRAOPE!$A:$U,21,0)),"")</f>
        <v/>
      </c>
      <c r="R158" s="8">
        <f>IFERROR(IFERROR(VLOOKUP(A158,TRAOPE!$A:$W,23,0),VLOOKUP(B158,TRAOPE!$A:$W,23,0)),"")</f>
        <v/>
      </c>
      <c r="S158" s="10">
        <f>IF(AND(P158="TN",R158="TN"),N158+N(O158),IF(G158&amp;""="1",N(K158)*N158,(N158+N(O158))*N(K158)))</f>
        <v/>
      </c>
      <c r="T158" s="10">
        <f>IF(Q158="","",Q158-S158)</f>
        <v/>
      </c>
    </row>
    <row r="159">
      <c r="A159" s="7">
        <f>CONCATENATE(C159,E159,F159,I159)</f>
        <v/>
      </c>
      <c r="B159" s="7">
        <f>CONCATENATE(C159,E159,I159)</f>
        <v/>
      </c>
      <c r="C159" s="8" t="n">
        <v>900006567</v>
      </c>
      <c r="D159" s="7">
        <f>IFERROR(VLOOKUP(C159,TRAOPE!$G:$H,2,0),"")</f>
        <v/>
      </c>
      <c r="E159" s="8" t="inlineStr">
        <is>
          <t>DW55</t>
        </is>
      </c>
      <c r="F159" s="8" t="inlineStr">
        <is>
          <t>ER68</t>
        </is>
      </c>
      <c r="G159" s="8">
        <f>IFERROR(VLOOKUP(A159,Flete!$A:$E,5,0),"")</f>
        <v/>
      </c>
      <c r="H159" s="7">
        <f>IFERROR(VLOOKUP(F159,TRAOPE!$AA:$AB,2,0),"")</f>
        <v/>
      </c>
      <c r="I159" s="7" t="n">
        <v>10210039</v>
      </c>
      <c r="J159" s="7">
        <f>IFERROR(VLOOKUP(I159,Materiales!$A:$H,8,0),"")</f>
        <v/>
      </c>
      <c r="K159" s="9">
        <f>IFERROR(VLOOKUP(I159,Materiales!$A:$G,7,0),"")</f>
        <v/>
      </c>
      <c r="L159" s="8" t="inlineStr">
        <is>
          <t>20240122</t>
        </is>
      </c>
      <c r="M159" s="8" t="inlineStr">
        <is>
          <t>20241015</t>
        </is>
      </c>
      <c r="N159" s="10" t="n">
        <v>30.98</v>
      </c>
      <c r="O159" s="10">
        <f>IFERROR(VLOOKUP(A159,Flete!$A:$J,10,0),"")</f>
        <v/>
      </c>
      <c r="P159" s="8" t="inlineStr">
        <is>
          <t>TN</t>
        </is>
      </c>
      <c r="Q159" s="10">
        <f>IFERROR(IFERROR(VLOOKUP(A159,TRAOPE!$A:$U,21,0),VLOOKUP(B159,TRAOPE!$A:$U,21,0)),"")</f>
        <v/>
      </c>
      <c r="R159" s="8">
        <f>IFERROR(IFERROR(VLOOKUP(A159,TRAOPE!$A:$W,23,0),VLOOKUP(B159,TRAOPE!$A:$W,23,0)),"")</f>
        <v/>
      </c>
      <c r="S159" s="10">
        <f>IF(AND(P159="TN",R159="TN"),N159+N(O159),IF(G159&amp;""="1",N(K159)*N159,(N159+N(O159))*N(K159)))</f>
        <v/>
      </c>
      <c r="T159" s="10">
        <f>IF(Q159="","",Q159-S159)</f>
        <v/>
      </c>
    </row>
    <row r="160">
      <c r="A160" s="7">
        <f>CONCATENATE(C160,E160,F160,I160)</f>
        <v/>
      </c>
      <c r="B160" s="7">
        <f>CONCATENATE(C160,E160,I160)</f>
        <v/>
      </c>
      <c r="C160" s="8" t="n">
        <v>900006703</v>
      </c>
      <c r="D160" s="7">
        <f>IFERROR(VLOOKUP(C160,TRAOPE!$G:$H,2,0),"")</f>
        <v/>
      </c>
      <c r="E160" s="8" t="inlineStr">
        <is>
          <t>DW55</t>
        </is>
      </c>
      <c r="F160" s="8" t="inlineStr">
        <is>
          <t>D284</t>
        </is>
      </c>
      <c r="G160" s="8">
        <f>IFERROR(VLOOKUP(A160,Flete!$A:$E,5,0),"")</f>
        <v/>
      </c>
      <c r="H160" s="7">
        <f>IFERROR(VLOOKUP(F160,TRAOPE!$AA:$AB,2,0),"")</f>
        <v/>
      </c>
      <c r="I160" s="7" t="n">
        <v>10000372</v>
      </c>
      <c r="J160" s="7">
        <f>IFERROR(VLOOKUP(I160,Materiales!$A:$H,8,0),"")</f>
        <v/>
      </c>
      <c r="K160" s="9">
        <f>IFERROR(VLOOKUP(I160,Materiales!$A:$G,7,0),"")</f>
        <v/>
      </c>
      <c r="L160" s="8" t="inlineStr">
        <is>
          <t>20240122</t>
        </is>
      </c>
      <c r="M160" s="8" t="inlineStr">
        <is>
          <t>20241015</t>
        </is>
      </c>
      <c r="N160" s="10" t="n">
        <v>169.03</v>
      </c>
      <c r="O160" s="10">
        <f>IFERROR(VLOOKUP(A160,Flete!$A:$J,10,0),"")</f>
        <v/>
      </c>
      <c r="P160" s="8" t="inlineStr">
        <is>
          <t>TN</t>
        </is>
      </c>
      <c r="Q160" s="10">
        <f>IFERROR(IFERROR(VLOOKUP(A160,TRAOPE!$A:$U,21,0),VLOOKUP(B160,TRAOPE!$A:$U,21,0)),"")</f>
        <v/>
      </c>
      <c r="R160" s="8">
        <f>IFERROR(IFERROR(VLOOKUP(A160,TRAOPE!$A:$W,23,0),VLOOKUP(B160,TRAOPE!$A:$W,23,0)),"")</f>
        <v/>
      </c>
      <c r="S160" s="10">
        <f>IF(AND(P160="TN",R160="TN"),N160+N(O160),IF(G160&amp;""="1",N(K160)*N160,(N160+N(O160))*N(K160)))</f>
        <v/>
      </c>
      <c r="T160" s="10">
        <f>IF(Q160="","",Q160-S160)</f>
        <v/>
      </c>
    </row>
    <row r="161">
      <c r="A161" s="7">
        <f>CONCATENATE(C161,E161,F161,I161)</f>
        <v/>
      </c>
      <c r="B161" s="7">
        <f>CONCATENATE(C161,E161,I161)</f>
        <v/>
      </c>
      <c r="C161" s="8" t="n">
        <v>900006703</v>
      </c>
      <c r="D161" s="7">
        <f>IFERROR(VLOOKUP(C161,TRAOPE!$G:$H,2,0),"")</f>
        <v/>
      </c>
      <c r="E161" s="8" t="inlineStr">
        <is>
          <t>DW55</t>
        </is>
      </c>
      <c r="F161" s="8" t="inlineStr">
        <is>
          <t>D309</t>
        </is>
      </c>
      <c r="G161" s="8">
        <f>IFERROR(VLOOKUP(A161,Flete!$A:$E,5,0),"")</f>
        <v/>
      </c>
      <c r="H161" s="7">
        <f>IFERROR(VLOOKUP(F161,TRAOPE!$AA:$AB,2,0),"")</f>
        <v/>
      </c>
      <c r="I161" s="7" t="n">
        <v>10000372</v>
      </c>
      <c r="J161" s="7">
        <f>IFERROR(VLOOKUP(I161,Materiales!$A:$H,8,0),"")</f>
        <v/>
      </c>
      <c r="K161" s="9">
        <f>IFERROR(VLOOKUP(I161,Materiales!$A:$G,7,0),"")</f>
        <v/>
      </c>
      <c r="L161" s="8" t="inlineStr">
        <is>
          <t>20240122</t>
        </is>
      </c>
      <c r="M161" s="8" t="inlineStr">
        <is>
          <t>20241015</t>
        </is>
      </c>
      <c r="N161" s="10" t="n">
        <v>169.03</v>
      </c>
      <c r="O161" s="10">
        <f>IFERROR(VLOOKUP(A161,Flete!$A:$J,10,0),"")</f>
        <v/>
      </c>
      <c r="P161" s="8" t="inlineStr">
        <is>
          <t>TN</t>
        </is>
      </c>
      <c r="Q161" s="10">
        <f>IFERROR(IFERROR(VLOOKUP(A161,TRAOPE!$A:$U,21,0),VLOOKUP(B161,TRAOPE!$A:$U,21,0)),"")</f>
        <v/>
      </c>
      <c r="R161" s="8">
        <f>IFERROR(IFERROR(VLOOKUP(A161,TRAOPE!$A:$W,23,0),VLOOKUP(B161,TRAOPE!$A:$W,23,0)),"")</f>
        <v/>
      </c>
      <c r="S161" s="10">
        <f>IF(AND(P161="TN",R161="TN"),N161+N(O161),IF(G161&amp;""="1",N(K161)*N161,(N161+N(O161))*N(K161)))</f>
        <v/>
      </c>
      <c r="T161" s="10">
        <f>IF(Q161="","",Q161-S161)</f>
        <v/>
      </c>
    </row>
    <row r="162">
      <c r="A162" s="7">
        <f>CONCATENATE(C162,E162,F162,I162)</f>
        <v/>
      </c>
      <c r="B162" s="7">
        <f>CONCATENATE(C162,E162,I162)</f>
        <v/>
      </c>
      <c r="C162" s="8" t="n">
        <v>900006703</v>
      </c>
      <c r="D162" s="7">
        <f>IFERROR(VLOOKUP(C162,TRAOPE!$G:$H,2,0),"")</f>
        <v/>
      </c>
      <c r="E162" s="8" t="inlineStr">
        <is>
          <t>DW55</t>
        </is>
      </c>
      <c r="F162" s="8" t="inlineStr">
        <is>
          <t>D325</t>
        </is>
      </c>
      <c r="G162" s="8">
        <f>IFERROR(VLOOKUP(A162,Flete!$A:$E,5,0),"")</f>
        <v/>
      </c>
      <c r="H162" s="7">
        <f>IFERROR(VLOOKUP(F162,TRAOPE!$AA:$AB,2,0),"")</f>
        <v/>
      </c>
      <c r="I162" s="7" t="n">
        <v>10000372</v>
      </c>
      <c r="J162" s="7">
        <f>IFERROR(VLOOKUP(I162,Materiales!$A:$H,8,0),"")</f>
        <v/>
      </c>
      <c r="K162" s="9">
        <f>IFERROR(VLOOKUP(I162,Materiales!$A:$G,7,0),"")</f>
        <v/>
      </c>
      <c r="L162" s="8" t="inlineStr">
        <is>
          <t>20240122</t>
        </is>
      </c>
      <c r="M162" s="8" t="inlineStr">
        <is>
          <t>20241015</t>
        </is>
      </c>
      <c r="N162" s="10" t="n">
        <v>145.03</v>
      </c>
      <c r="O162" s="10">
        <f>IFERROR(VLOOKUP(A162,Flete!$A:$J,10,0),"")</f>
        <v/>
      </c>
      <c r="P162" s="8" t="inlineStr">
        <is>
          <t>TN</t>
        </is>
      </c>
      <c r="Q162" s="10">
        <f>IFERROR(IFERROR(VLOOKUP(A162,TRAOPE!$A:$U,21,0),VLOOKUP(B162,TRAOPE!$A:$U,21,0)),"")</f>
        <v/>
      </c>
      <c r="R162" s="8">
        <f>IFERROR(IFERROR(VLOOKUP(A162,TRAOPE!$A:$W,23,0),VLOOKUP(B162,TRAOPE!$A:$W,23,0)),"")</f>
        <v/>
      </c>
      <c r="S162" s="10">
        <f>IF(AND(P162="TN",R162="TN"),N162+N(O162),IF(G162&amp;""="1",N(K162)*N162,(N162+N(O162))*N(K162)))</f>
        <v/>
      </c>
      <c r="T162" s="10">
        <f>IF(Q162="","",Q162-S162)</f>
        <v/>
      </c>
    </row>
    <row r="163">
      <c r="A163" s="7">
        <f>CONCATENATE(C163,E163,F163,I163)</f>
        <v/>
      </c>
      <c r="B163" s="7">
        <f>CONCATENATE(C163,E163,I163)</f>
        <v/>
      </c>
      <c r="C163" s="8" t="n">
        <v>900006703</v>
      </c>
      <c r="D163" s="7">
        <f>IFERROR(VLOOKUP(C163,TRAOPE!$G:$H,2,0),"")</f>
        <v/>
      </c>
      <c r="E163" s="8" t="inlineStr">
        <is>
          <t>DW55</t>
        </is>
      </c>
      <c r="F163" s="8" t="inlineStr">
        <is>
          <t>D325</t>
        </is>
      </c>
      <c r="G163" s="8">
        <f>IFERROR(VLOOKUP(A163,Flete!$A:$E,5,0),"")</f>
        <v/>
      </c>
      <c r="H163" s="7">
        <f>IFERROR(VLOOKUP(F163,TRAOPE!$AA:$AB,2,0),"")</f>
        <v/>
      </c>
      <c r="I163" s="7" t="n">
        <v>10000373</v>
      </c>
      <c r="J163" s="7">
        <f>IFERROR(VLOOKUP(I163,Materiales!$A:$H,8,0),"")</f>
        <v/>
      </c>
      <c r="K163" s="9">
        <f>IFERROR(VLOOKUP(I163,Materiales!$A:$G,7,0),"")</f>
        <v/>
      </c>
      <c r="L163" s="8" t="inlineStr">
        <is>
          <t>20240122</t>
        </is>
      </c>
      <c r="M163" s="8" t="inlineStr">
        <is>
          <t>20241015</t>
        </is>
      </c>
      <c r="N163" s="10" t="n">
        <v>344.09</v>
      </c>
      <c r="O163" s="10">
        <f>IFERROR(VLOOKUP(A163,Flete!$A:$J,10,0),"")</f>
        <v/>
      </c>
      <c r="P163" s="8" t="inlineStr">
        <is>
          <t>TN</t>
        </is>
      </c>
      <c r="Q163" s="10">
        <f>IFERROR(IFERROR(VLOOKUP(A163,TRAOPE!$A:$U,21,0),VLOOKUP(B163,TRAOPE!$A:$U,21,0)),"")</f>
        <v/>
      </c>
      <c r="R163" s="8">
        <f>IFERROR(IFERROR(VLOOKUP(A163,TRAOPE!$A:$W,23,0),VLOOKUP(B163,TRAOPE!$A:$W,23,0)),"")</f>
        <v/>
      </c>
      <c r="S163" s="10">
        <f>IF(AND(P163="TN",R163="TN"),N163+N(O163),IF(G163&amp;""="1",N(K163)*N163,(N163+N(O163))*N(K163)))</f>
        <v/>
      </c>
      <c r="T163" s="10">
        <f>IF(Q163="","",Q163-S163)</f>
        <v/>
      </c>
    </row>
    <row r="164">
      <c r="A164" s="7">
        <f>CONCATENATE(C164,E164,F164,I164)</f>
        <v/>
      </c>
      <c r="B164" s="7">
        <f>CONCATENATE(C164,E164,I164)</f>
        <v/>
      </c>
      <c r="C164" s="8" t="n">
        <v>900006703</v>
      </c>
      <c r="D164" s="7">
        <f>IFERROR(VLOOKUP(C164,TRAOPE!$G:$H,2,0),"")</f>
        <v/>
      </c>
      <c r="E164" s="8" t="inlineStr">
        <is>
          <t>DW55</t>
        </is>
      </c>
      <c r="F164" s="8" t="inlineStr">
        <is>
          <t>D342</t>
        </is>
      </c>
      <c r="G164" s="8">
        <f>IFERROR(VLOOKUP(A164,Flete!$A:$E,5,0),"")</f>
        <v/>
      </c>
      <c r="H164" s="7">
        <f>IFERROR(VLOOKUP(F164,TRAOPE!$AA:$AB,2,0),"")</f>
        <v/>
      </c>
      <c r="I164" s="7" t="n">
        <v>10000372</v>
      </c>
      <c r="J164" s="7">
        <f>IFERROR(VLOOKUP(I164,Materiales!$A:$H,8,0),"")</f>
        <v/>
      </c>
      <c r="K164" s="9">
        <f>IFERROR(VLOOKUP(I164,Materiales!$A:$G,7,0),"")</f>
        <v/>
      </c>
      <c r="L164" s="8" t="inlineStr">
        <is>
          <t>20240122</t>
        </is>
      </c>
      <c r="M164" s="8" t="inlineStr">
        <is>
          <t>20241015</t>
        </is>
      </c>
      <c r="N164" s="10" t="n">
        <v>169.03</v>
      </c>
      <c r="O164" s="10">
        <f>IFERROR(VLOOKUP(A164,Flete!$A:$J,10,0),"")</f>
        <v/>
      </c>
      <c r="P164" s="8" t="inlineStr">
        <is>
          <t>TN</t>
        </is>
      </c>
      <c r="Q164" s="10">
        <f>IFERROR(IFERROR(VLOOKUP(A164,TRAOPE!$A:$U,21,0),VLOOKUP(B164,TRAOPE!$A:$U,21,0)),"")</f>
        <v/>
      </c>
      <c r="R164" s="8">
        <f>IFERROR(IFERROR(VLOOKUP(A164,TRAOPE!$A:$W,23,0),VLOOKUP(B164,TRAOPE!$A:$W,23,0)),"")</f>
        <v/>
      </c>
      <c r="S164" s="10">
        <f>IF(AND(P164="TN",R164="TN"),N164+N(O164),IF(G164&amp;""="1",N(K164)*N164,(N164+N(O164))*N(K164)))</f>
        <v/>
      </c>
      <c r="T164" s="10">
        <f>IF(Q164="","",Q164-S164)</f>
        <v/>
      </c>
    </row>
    <row r="165">
      <c r="A165" s="7">
        <f>CONCATENATE(C165,E165,F165,I165)</f>
        <v/>
      </c>
      <c r="B165" s="7">
        <f>CONCATENATE(C165,E165,I165)</f>
        <v/>
      </c>
      <c r="C165" s="8" t="n">
        <v>900006703</v>
      </c>
      <c r="D165" s="7">
        <f>IFERROR(VLOOKUP(C165,TRAOPE!$G:$H,2,0),"")</f>
        <v/>
      </c>
      <c r="E165" s="8" t="inlineStr">
        <is>
          <t>DW55</t>
        </is>
      </c>
      <c r="F165" s="8" t="inlineStr">
        <is>
          <t>D348</t>
        </is>
      </c>
      <c r="G165" s="8">
        <f>IFERROR(VLOOKUP(A165,Flete!$A:$E,5,0),"")</f>
        <v/>
      </c>
      <c r="H165" s="7">
        <f>IFERROR(VLOOKUP(F165,TRAOPE!$AA:$AB,2,0),"")</f>
        <v/>
      </c>
      <c r="I165" s="7" t="n">
        <v>10000372</v>
      </c>
      <c r="J165" s="7">
        <f>IFERROR(VLOOKUP(I165,Materiales!$A:$H,8,0),"")</f>
        <v/>
      </c>
      <c r="K165" s="9">
        <f>IFERROR(VLOOKUP(I165,Materiales!$A:$G,7,0),"")</f>
        <v/>
      </c>
      <c r="L165" s="8" t="inlineStr">
        <is>
          <t>20240122</t>
        </is>
      </c>
      <c r="M165" s="8" t="inlineStr">
        <is>
          <t>20241015</t>
        </is>
      </c>
      <c r="N165" s="10" t="n">
        <v>145.03</v>
      </c>
      <c r="O165" s="10">
        <f>IFERROR(VLOOKUP(A165,Flete!$A:$J,10,0),"")</f>
        <v/>
      </c>
      <c r="P165" s="8" t="inlineStr">
        <is>
          <t>TN</t>
        </is>
      </c>
      <c r="Q165" s="10">
        <f>IFERROR(IFERROR(VLOOKUP(A165,TRAOPE!$A:$U,21,0),VLOOKUP(B165,TRAOPE!$A:$U,21,0)),"")</f>
        <v/>
      </c>
      <c r="R165" s="8">
        <f>IFERROR(IFERROR(VLOOKUP(A165,TRAOPE!$A:$W,23,0),VLOOKUP(B165,TRAOPE!$A:$W,23,0)),"")</f>
        <v/>
      </c>
      <c r="S165" s="10">
        <f>IF(AND(P165="TN",R165="TN"),N165+N(O165),IF(G165&amp;""="1",N(K165)*N165,(N165+N(O165))*N(K165)))</f>
        <v/>
      </c>
      <c r="T165" s="10">
        <f>IF(Q165="","",Q165-S165)</f>
        <v/>
      </c>
    </row>
    <row r="166">
      <c r="A166" s="7">
        <f>CONCATENATE(C166,E166,F166,I166)</f>
        <v/>
      </c>
      <c r="B166" s="7">
        <f>CONCATENATE(C166,E166,I166)</f>
        <v/>
      </c>
      <c r="C166" s="8" t="n">
        <v>900006703</v>
      </c>
      <c r="D166" s="7">
        <f>IFERROR(VLOOKUP(C166,TRAOPE!$G:$H,2,0),"")</f>
        <v/>
      </c>
      <c r="E166" s="8" t="inlineStr">
        <is>
          <t>DW55</t>
        </is>
      </c>
      <c r="F166" s="8" t="inlineStr">
        <is>
          <t>D348</t>
        </is>
      </c>
      <c r="G166" s="8">
        <f>IFERROR(VLOOKUP(A166,Flete!$A:$E,5,0),"")</f>
        <v/>
      </c>
      <c r="H166" s="7">
        <f>IFERROR(VLOOKUP(F166,TRAOPE!$AA:$AB,2,0),"")</f>
        <v/>
      </c>
      <c r="I166" s="7" t="n">
        <v>10000373</v>
      </c>
      <c r="J166" s="7">
        <f>IFERROR(VLOOKUP(I166,Materiales!$A:$H,8,0),"")</f>
        <v/>
      </c>
      <c r="K166" s="9">
        <f>IFERROR(VLOOKUP(I166,Materiales!$A:$G,7,0),"")</f>
        <v/>
      </c>
      <c r="L166" s="8" t="inlineStr">
        <is>
          <t>20240122</t>
        </is>
      </c>
      <c r="M166" s="8" t="inlineStr">
        <is>
          <t>20241015</t>
        </is>
      </c>
      <c r="N166" s="10" t="n">
        <v>344.09</v>
      </c>
      <c r="O166" s="10">
        <f>IFERROR(VLOOKUP(A166,Flete!$A:$J,10,0),"")</f>
        <v/>
      </c>
      <c r="P166" s="8" t="inlineStr">
        <is>
          <t>TN</t>
        </is>
      </c>
      <c r="Q166" s="10">
        <f>IFERROR(IFERROR(VLOOKUP(A166,TRAOPE!$A:$U,21,0),VLOOKUP(B166,TRAOPE!$A:$U,21,0)),"")</f>
        <v/>
      </c>
      <c r="R166" s="8">
        <f>IFERROR(IFERROR(VLOOKUP(A166,TRAOPE!$A:$W,23,0),VLOOKUP(B166,TRAOPE!$A:$W,23,0)),"")</f>
        <v/>
      </c>
      <c r="S166" s="10">
        <f>IF(AND(P166="TN",R166="TN"),N166+N(O166),IF(G166&amp;""="1",N(K166)*N166,(N166+N(O166))*N(K166)))</f>
        <v/>
      </c>
      <c r="T166" s="10">
        <f>IF(Q166="","",Q166-S166)</f>
        <v/>
      </c>
    </row>
    <row r="167">
      <c r="A167" s="7">
        <f>CONCATENATE(C167,E167,F167,I167)</f>
        <v/>
      </c>
      <c r="B167" s="7">
        <f>CONCATENATE(C167,E167,I167)</f>
        <v/>
      </c>
      <c r="C167" s="8" t="n">
        <v>900006704</v>
      </c>
      <c r="D167" s="7">
        <f>IFERROR(VLOOKUP(C167,TRAOPE!$G:$H,2,0),"")</f>
        <v/>
      </c>
      <c r="E167" s="8" t="inlineStr">
        <is>
          <t>DW55</t>
        </is>
      </c>
      <c r="F167" s="8" t="inlineStr">
        <is>
          <t>D284</t>
        </is>
      </c>
      <c r="G167" s="8">
        <f>IFERROR(VLOOKUP(A167,Flete!$A:$E,5,0),"")</f>
        <v/>
      </c>
      <c r="H167" s="7">
        <f>IFERROR(VLOOKUP(F167,TRAOPE!$AA:$AB,2,0),"")</f>
        <v/>
      </c>
      <c r="I167" s="7" t="n">
        <v>10147454</v>
      </c>
      <c r="J167" s="7">
        <f>IFERROR(VLOOKUP(I167,Materiales!$A:$H,8,0),"")</f>
        <v/>
      </c>
      <c r="K167" s="9">
        <f>IFERROR(VLOOKUP(I167,Materiales!$A:$G,7,0),"")</f>
        <v/>
      </c>
      <c r="L167" s="8" t="inlineStr">
        <is>
          <t>20240122</t>
        </is>
      </c>
      <c r="M167" s="8" t="inlineStr">
        <is>
          <t>20241015</t>
        </is>
      </c>
      <c r="N167" s="10" t="n">
        <v>160.67</v>
      </c>
      <c r="O167" s="10">
        <f>IFERROR(VLOOKUP(A167,Flete!$A:$J,10,0),"")</f>
        <v/>
      </c>
      <c r="P167" s="8" t="inlineStr">
        <is>
          <t>TN</t>
        </is>
      </c>
      <c r="Q167" s="10">
        <f>IFERROR(IFERROR(VLOOKUP(A167,TRAOPE!$A:$U,21,0),VLOOKUP(B167,TRAOPE!$A:$U,21,0)),"")</f>
        <v/>
      </c>
      <c r="R167" s="8">
        <f>IFERROR(IFERROR(VLOOKUP(A167,TRAOPE!$A:$W,23,0),VLOOKUP(B167,TRAOPE!$A:$W,23,0)),"")</f>
        <v/>
      </c>
      <c r="S167" s="10">
        <f>IF(AND(P167="TN",R167="TN"),N167+N(O167),IF(G167&amp;""="1",N(K167)*N167,(N167+N(O167))*N(K167)))</f>
        <v/>
      </c>
      <c r="T167" s="10">
        <f>IF(Q167="","",Q167-S167)</f>
        <v/>
      </c>
    </row>
    <row r="168">
      <c r="A168" s="7">
        <f>CONCATENATE(C168,E168,F168,I168)</f>
        <v/>
      </c>
      <c r="B168" s="7">
        <f>CONCATENATE(C168,E168,I168)</f>
        <v/>
      </c>
      <c r="C168" s="8" t="n">
        <v>900006704</v>
      </c>
      <c r="D168" s="7">
        <f>IFERROR(VLOOKUP(C168,TRAOPE!$G:$H,2,0),"")</f>
        <v/>
      </c>
      <c r="E168" s="8" t="inlineStr">
        <is>
          <t>DW55</t>
        </is>
      </c>
      <c r="F168" s="8" t="inlineStr">
        <is>
          <t>D309</t>
        </is>
      </c>
      <c r="G168" s="8">
        <f>IFERROR(VLOOKUP(A168,Flete!$A:$E,5,0),"")</f>
        <v/>
      </c>
      <c r="H168" s="7">
        <f>IFERROR(VLOOKUP(F168,TRAOPE!$AA:$AB,2,0),"")</f>
        <v/>
      </c>
      <c r="I168" s="7" t="n">
        <v>10147454</v>
      </c>
      <c r="J168" s="7">
        <f>IFERROR(VLOOKUP(I168,Materiales!$A:$H,8,0),"")</f>
        <v/>
      </c>
      <c r="K168" s="9">
        <f>IFERROR(VLOOKUP(I168,Materiales!$A:$G,7,0),"")</f>
        <v/>
      </c>
      <c r="L168" s="8" t="inlineStr">
        <is>
          <t>20240122</t>
        </is>
      </c>
      <c r="M168" s="8" t="inlineStr">
        <is>
          <t>20241015</t>
        </is>
      </c>
      <c r="N168" s="10" t="n">
        <v>134.96</v>
      </c>
      <c r="O168" s="10">
        <f>IFERROR(VLOOKUP(A168,Flete!$A:$J,10,0),"")</f>
        <v/>
      </c>
      <c r="P168" s="8" t="inlineStr">
        <is>
          <t>TN</t>
        </is>
      </c>
      <c r="Q168" s="10">
        <f>IFERROR(IFERROR(VLOOKUP(A168,TRAOPE!$A:$U,21,0),VLOOKUP(B168,TRAOPE!$A:$U,21,0)),"")</f>
        <v/>
      </c>
      <c r="R168" s="8">
        <f>IFERROR(IFERROR(VLOOKUP(A168,TRAOPE!$A:$W,23,0),VLOOKUP(B168,TRAOPE!$A:$W,23,0)),"")</f>
        <v/>
      </c>
      <c r="S168" s="10">
        <f>IF(AND(P168="TN",R168="TN"),N168+N(O168),IF(G168&amp;""="1",N(K168)*N168,(N168+N(O168))*N(K168)))</f>
        <v/>
      </c>
      <c r="T168" s="10">
        <f>IF(Q168="","",Q168-S168)</f>
        <v/>
      </c>
    </row>
    <row r="169">
      <c r="A169" s="7">
        <f>CONCATENATE(C169,E169,F169,I169)</f>
        <v/>
      </c>
      <c r="B169" s="7">
        <f>CONCATENATE(C169,E169,I169)</f>
        <v/>
      </c>
      <c r="C169" s="8" t="n">
        <v>900006704</v>
      </c>
      <c r="D169" s="7">
        <f>IFERROR(VLOOKUP(C169,TRAOPE!$G:$H,2,0),"")</f>
        <v/>
      </c>
      <c r="E169" s="8" t="inlineStr">
        <is>
          <t>DW55</t>
        </is>
      </c>
      <c r="F169" s="8" t="inlineStr">
        <is>
          <t>D342</t>
        </is>
      </c>
      <c r="G169" s="8">
        <f>IFERROR(VLOOKUP(A169,Flete!$A:$E,5,0),"")</f>
        <v/>
      </c>
      <c r="H169" s="7">
        <f>IFERROR(VLOOKUP(F169,TRAOPE!$AA:$AB,2,0),"")</f>
        <v/>
      </c>
      <c r="I169" s="7" t="n">
        <v>10147454</v>
      </c>
      <c r="J169" s="7">
        <f>IFERROR(VLOOKUP(I169,Materiales!$A:$H,8,0),"")</f>
        <v/>
      </c>
      <c r="K169" s="9">
        <f>IFERROR(VLOOKUP(I169,Materiales!$A:$G,7,0),"")</f>
        <v/>
      </c>
      <c r="L169" s="8" t="inlineStr">
        <is>
          <t>20240122</t>
        </is>
      </c>
      <c r="M169" s="8" t="inlineStr">
        <is>
          <t>20241015</t>
        </is>
      </c>
      <c r="N169" s="10" t="n">
        <v>134.96</v>
      </c>
      <c r="O169" s="10">
        <f>IFERROR(VLOOKUP(A169,Flete!$A:$J,10,0),"")</f>
        <v/>
      </c>
      <c r="P169" s="8" t="inlineStr">
        <is>
          <t>TN</t>
        </is>
      </c>
      <c r="Q169" s="10">
        <f>IFERROR(IFERROR(VLOOKUP(A169,TRAOPE!$A:$U,21,0),VLOOKUP(B169,TRAOPE!$A:$U,21,0)),"")</f>
        <v/>
      </c>
      <c r="R169" s="8">
        <f>IFERROR(IFERROR(VLOOKUP(A169,TRAOPE!$A:$W,23,0),VLOOKUP(B169,TRAOPE!$A:$W,23,0)),"")</f>
        <v/>
      </c>
      <c r="S169" s="10">
        <f>IF(AND(P169="TN",R169="TN"),N169+N(O169),IF(G169&amp;""="1",N(K169)*N169,(N169+N(O169))*N(K169)))</f>
        <v/>
      </c>
      <c r="T169" s="10">
        <f>IF(Q169="","",Q169-S169)</f>
        <v/>
      </c>
    </row>
    <row r="170">
      <c r="A170" s="7">
        <f>CONCATENATE(C170,E170,F170,I170)</f>
        <v/>
      </c>
      <c r="B170" s="7">
        <f>CONCATENATE(C170,E170,I170)</f>
        <v/>
      </c>
      <c r="C170" s="8" t="n">
        <v>900006704</v>
      </c>
      <c r="D170" s="7">
        <f>IFERROR(VLOOKUP(C170,TRAOPE!$G:$H,2,0),"")</f>
        <v/>
      </c>
      <c r="E170" s="8" t="inlineStr">
        <is>
          <t>DW55</t>
        </is>
      </c>
      <c r="F170" s="8" t="inlineStr">
        <is>
          <t>ER67</t>
        </is>
      </c>
      <c r="G170" s="8">
        <f>IFERROR(VLOOKUP(A170,Flete!$A:$E,5,0),"")</f>
        <v/>
      </c>
      <c r="H170" s="7">
        <f>IFERROR(VLOOKUP(F170,TRAOPE!$AA:$AB,2,0),"")</f>
        <v/>
      </c>
      <c r="I170" s="7" t="n">
        <v>10210260</v>
      </c>
      <c r="J170" s="7">
        <f>IFERROR(VLOOKUP(I170,Materiales!$A:$H,8,0),"")</f>
        <v/>
      </c>
      <c r="K170" s="9">
        <f>IFERROR(VLOOKUP(I170,Materiales!$A:$G,7,0),"")</f>
        <v/>
      </c>
      <c r="L170" s="8" t="inlineStr">
        <is>
          <t>20220504</t>
        </is>
      </c>
      <c r="M170" s="8" t="inlineStr">
        <is>
          <t>20230127</t>
        </is>
      </c>
      <c r="N170" s="10" t="n">
        <v>163.98</v>
      </c>
      <c r="O170" s="10">
        <f>IFERROR(VLOOKUP(A170,Flete!$A:$J,10,0),"")</f>
        <v/>
      </c>
      <c r="P170" s="8" t="inlineStr">
        <is>
          <t>TN</t>
        </is>
      </c>
      <c r="Q170" s="10">
        <f>IFERROR(IFERROR(VLOOKUP(A170,TRAOPE!$A:$U,21,0),VLOOKUP(B170,TRAOPE!$A:$U,21,0)),"")</f>
        <v/>
      </c>
      <c r="R170" s="8">
        <f>IFERROR(IFERROR(VLOOKUP(A170,TRAOPE!$A:$W,23,0),VLOOKUP(B170,TRAOPE!$A:$W,23,0)),"")</f>
        <v/>
      </c>
      <c r="S170" s="10">
        <f>IF(AND(P170="TN",R170="TN"),N170+N(O170),IF(G170&amp;""="1",N(K170)*N170,(N170+N(O170))*N(K170)))</f>
        <v/>
      </c>
      <c r="T170" s="10">
        <f>IF(Q170="","",Q170-S170)</f>
        <v/>
      </c>
    </row>
    <row r="171">
      <c r="A171" s="7">
        <f>CONCATENATE(C171,E171,F171,I171)</f>
        <v/>
      </c>
      <c r="B171" s="7">
        <f>CONCATENATE(C171,E171,I171)</f>
        <v/>
      </c>
      <c r="C171" s="8" t="n">
        <v>900006731</v>
      </c>
      <c r="D171" s="7">
        <f>IFERROR(VLOOKUP(C171,TRAOPE!$G:$H,2,0),"")</f>
        <v/>
      </c>
      <c r="E171" s="8" t="inlineStr">
        <is>
          <t>DW55</t>
        </is>
      </c>
      <c r="F171" s="8" t="inlineStr">
        <is>
          <t>ER67</t>
        </is>
      </c>
      <c r="G171" s="8">
        <f>IFERROR(VLOOKUP(A171,Flete!$A:$E,5,0),"")</f>
        <v/>
      </c>
      <c r="H171" s="7">
        <f>IFERROR(VLOOKUP(F171,TRAOPE!$AA:$AB,2,0),"")</f>
        <v/>
      </c>
      <c r="I171" s="7" t="n">
        <v>10123034</v>
      </c>
      <c r="J171" s="7">
        <f>IFERROR(VLOOKUP(I171,Materiales!$A:$H,8,0),"")</f>
        <v/>
      </c>
      <c r="K171" s="9">
        <f>IFERROR(VLOOKUP(I171,Materiales!$A:$G,7,0),"")</f>
        <v/>
      </c>
      <c r="L171" s="8" t="inlineStr">
        <is>
          <t>20220504</t>
        </is>
      </c>
      <c r="M171" s="8" t="inlineStr">
        <is>
          <t>20230127</t>
        </is>
      </c>
      <c r="N171" s="10" t="n">
        <v>55.11</v>
      </c>
      <c r="O171" s="10">
        <f>IFERROR(VLOOKUP(A171,Flete!$A:$J,10,0),"")</f>
        <v/>
      </c>
      <c r="P171" s="8" t="inlineStr">
        <is>
          <t>TN</t>
        </is>
      </c>
      <c r="Q171" s="10">
        <f>IFERROR(IFERROR(VLOOKUP(A171,TRAOPE!$A:$U,21,0),VLOOKUP(B171,TRAOPE!$A:$U,21,0)),"")</f>
        <v/>
      </c>
      <c r="R171" s="8">
        <f>IFERROR(IFERROR(VLOOKUP(A171,TRAOPE!$A:$W,23,0),VLOOKUP(B171,TRAOPE!$A:$W,23,0)),"")</f>
        <v/>
      </c>
      <c r="S171" s="10">
        <f>IF(AND(P171="TN",R171="TN"),N171+N(O171),IF(G171&amp;""="1",N(K171)*N171,(N171+N(O171))*N(K171)))</f>
        <v/>
      </c>
      <c r="T171" s="10">
        <f>IF(Q171="","",Q171-S171)</f>
        <v/>
      </c>
    </row>
    <row r="172">
      <c r="A172" s="7">
        <f>CONCATENATE(C172,E172,F172,I172)</f>
        <v/>
      </c>
      <c r="B172" s="7">
        <f>CONCATENATE(C172,E172,I172)</f>
        <v/>
      </c>
      <c r="C172" s="8" t="n">
        <v>900006731</v>
      </c>
      <c r="D172" s="7">
        <f>IFERROR(VLOOKUP(C172,TRAOPE!$G:$H,2,0),"")</f>
        <v/>
      </c>
      <c r="E172" s="8" t="inlineStr">
        <is>
          <t>DW55</t>
        </is>
      </c>
      <c r="F172" s="8" t="inlineStr">
        <is>
          <t>ER67</t>
        </is>
      </c>
      <c r="G172" s="8">
        <f>IFERROR(VLOOKUP(A172,Flete!$A:$E,5,0),"")</f>
        <v/>
      </c>
      <c r="H172" s="7">
        <f>IFERROR(VLOOKUP(F172,TRAOPE!$AA:$AB,2,0),"")</f>
        <v/>
      </c>
      <c r="I172" s="7" t="n">
        <v>10210260</v>
      </c>
      <c r="J172" s="7">
        <f>IFERROR(VLOOKUP(I172,Materiales!$A:$H,8,0),"")</f>
        <v/>
      </c>
      <c r="K172" s="9">
        <f>IFERROR(VLOOKUP(I172,Materiales!$A:$G,7,0),"")</f>
        <v/>
      </c>
      <c r="L172" s="8" t="inlineStr">
        <is>
          <t>20220504</t>
        </is>
      </c>
      <c r="M172" s="8" t="inlineStr">
        <is>
          <t>20230127</t>
        </is>
      </c>
      <c r="N172" s="10" t="n">
        <v>167.67</v>
      </c>
      <c r="O172" s="10">
        <f>IFERROR(VLOOKUP(A172,Flete!$A:$J,10,0),"")</f>
        <v/>
      </c>
      <c r="P172" s="8" t="inlineStr">
        <is>
          <t>TN</t>
        </is>
      </c>
      <c r="Q172" s="10">
        <f>IFERROR(IFERROR(VLOOKUP(A172,TRAOPE!$A:$U,21,0),VLOOKUP(B172,TRAOPE!$A:$U,21,0)),"")</f>
        <v/>
      </c>
      <c r="R172" s="8">
        <f>IFERROR(IFERROR(VLOOKUP(A172,TRAOPE!$A:$W,23,0),VLOOKUP(B172,TRAOPE!$A:$W,23,0)),"")</f>
        <v/>
      </c>
      <c r="S172" s="10">
        <f>IF(AND(P172="TN",R172="TN"),N172+N(O172),IF(G172&amp;""="1",N(K172)*N172,(N172+N(O172))*N(K172)))</f>
        <v/>
      </c>
      <c r="T172" s="10">
        <f>IF(Q172="","",Q172-S172)</f>
        <v/>
      </c>
    </row>
    <row r="173">
      <c r="A173" s="7">
        <f>CONCATENATE(C173,E173,F173,I173)</f>
        <v/>
      </c>
      <c r="B173" s="7">
        <f>CONCATENATE(C173,E173,I173)</f>
        <v/>
      </c>
      <c r="C173" s="8" t="n">
        <v>900006731</v>
      </c>
      <c r="D173" s="7">
        <f>IFERROR(VLOOKUP(C173,TRAOPE!$G:$H,2,0),"")</f>
        <v/>
      </c>
      <c r="E173" s="8" t="inlineStr">
        <is>
          <t>DW55</t>
        </is>
      </c>
      <c r="F173" s="8" t="inlineStr">
        <is>
          <t>ER67</t>
        </is>
      </c>
      <c r="G173" s="8">
        <f>IFERROR(VLOOKUP(A173,Flete!$A:$E,5,0),"")</f>
        <v/>
      </c>
      <c r="H173" s="7">
        <f>IFERROR(VLOOKUP(F173,TRAOPE!$AA:$AB,2,0),"")</f>
        <v/>
      </c>
      <c r="I173" s="7" t="n">
        <v>10210261</v>
      </c>
      <c r="J173" s="7">
        <f>IFERROR(VLOOKUP(I173,Materiales!$A:$H,8,0),"")</f>
        <v/>
      </c>
      <c r="K173" s="9">
        <f>IFERROR(VLOOKUP(I173,Materiales!$A:$G,7,0),"")</f>
        <v/>
      </c>
      <c r="L173" s="8" t="inlineStr">
        <is>
          <t>20220504</t>
        </is>
      </c>
      <c r="M173" s="8" t="inlineStr">
        <is>
          <t>20230127</t>
        </is>
      </c>
      <c r="N173" s="10" t="n">
        <v>53.51</v>
      </c>
      <c r="O173" s="10">
        <f>IFERROR(VLOOKUP(A173,Flete!$A:$J,10,0),"")</f>
        <v/>
      </c>
      <c r="P173" s="8" t="inlineStr">
        <is>
          <t>TN</t>
        </is>
      </c>
      <c r="Q173" s="10">
        <f>IFERROR(IFERROR(VLOOKUP(A173,TRAOPE!$A:$U,21,0),VLOOKUP(B173,TRAOPE!$A:$U,21,0)),"")</f>
        <v/>
      </c>
      <c r="R173" s="8">
        <f>IFERROR(IFERROR(VLOOKUP(A173,TRAOPE!$A:$W,23,0),VLOOKUP(B173,TRAOPE!$A:$W,23,0)),"")</f>
        <v/>
      </c>
      <c r="S173" s="10">
        <f>IF(AND(P173="TN",R173="TN"),N173+N(O173),IF(G173&amp;""="1",N(K173)*N173,(N173+N(O173))*N(K173)))</f>
        <v/>
      </c>
      <c r="T173" s="10">
        <f>IF(Q173="","",Q173-S173)</f>
        <v/>
      </c>
    </row>
    <row r="174">
      <c r="A174" s="7">
        <f>CONCATENATE(C174,E174,F174,I174)</f>
        <v/>
      </c>
      <c r="B174" s="7">
        <f>CONCATENATE(C174,E174,I174)</f>
        <v/>
      </c>
      <c r="C174" s="8" t="n">
        <v>900006731</v>
      </c>
      <c r="D174" s="7">
        <f>IFERROR(VLOOKUP(C174,TRAOPE!$G:$H,2,0),"")</f>
        <v/>
      </c>
      <c r="E174" s="8" t="inlineStr">
        <is>
          <t>DW55</t>
        </is>
      </c>
      <c r="F174" s="8" t="inlineStr">
        <is>
          <t>ER68</t>
        </is>
      </c>
      <c r="G174" s="8">
        <f>IFERROR(VLOOKUP(A174,Flete!$A:$E,5,0),"")</f>
        <v/>
      </c>
      <c r="H174" s="7">
        <f>IFERROR(VLOOKUP(F174,TRAOPE!$AA:$AB,2,0),"")</f>
        <v/>
      </c>
      <c r="I174" s="7" t="n">
        <v>10210260</v>
      </c>
      <c r="J174" s="7">
        <f>IFERROR(VLOOKUP(I174,Materiales!$A:$H,8,0),"")</f>
        <v/>
      </c>
      <c r="K174" s="9">
        <f>IFERROR(VLOOKUP(I174,Materiales!$A:$G,7,0),"")</f>
        <v/>
      </c>
      <c r="L174" s="8" t="inlineStr">
        <is>
          <t>20220516</t>
        </is>
      </c>
      <c r="M174" s="8" t="inlineStr">
        <is>
          <t>20240320</t>
        </is>
      </c>
      <c r="N174" s="10" t="n">
        <v>167.67</v>
      </c>
      <c r="O174" s="10">
        <f>IFERROR(VLOOKUP(A174,Flete!$A:$J,10,0),"")</f>
        <v/>
      </c>
      <c r="P174" s="8" t="inlineStr">
        <is>
          <t>TN</t>
        </is>
      </c>
      <c r="Q174" s="10">
        <f>IFERROR(IFERROR(VLOOKUP(A174,TRAOPE!$A:$U,21,0),VLOOKUP(B174,TRAOPE!$A:$U,21,0)),"")</f>
        <v/>
      </c>
      <c r="R174" s="8">
        <f>IFERROR(IFERROR(VLOOKUP(A174,TRAOPE!$A:$W,23,0),VLOOKUP(B174,TRAOPE!$A:$W,23,0)),"")</f>
        <v/>
      </c>
      <c r="S174" s="10">
        <f>IF(AND(P174="TN",R174="TN"),N174+N(O174),IF(G174&amp;""="1",N(K174)*N174,(N174+N(O174))*N(K174)))</f>
        <v/>
      </c>
      <c r="T174" s="10">
        <f>IF(Q174="","",Q174-S174)</f>
        <v/>
      </c>
    </row>
    <row r="175">
      <c r="A175" s="7">
        <f>CONCATENATE(C175,E175,F175,I175)</f>
        <v/>
      </c>
      <c r="B175" s="7">
        <f>CONCATENATE(C175,E175,I175)</f>
        <v/>
      </c>
      <c r="C175" s="8" t="n">
        <v>900006731</v>
      </c>
      <c r="D175" s="7">
        <f>IFERROR(VLOOKUP(C175,TRAOPE!$G:$H,2,0),"")</f>
        <v/>
      </c>
      <c r="E175" s="8" t="inlineStr">
        <is>
          <t>DW55</t>
        </is>
      </c>
      <c r="F175" s="8" t="inlineStr">
        <is>
          <t>ER68</t>
        </is>
      </c>
      <c r="G175" s="8">
        <f>IFERROR(VLOOKUP(A175,Flete!$A:$E,5,0),"")</f>
        <v/>
      </c>
      <c r="H175" s="7">
        <f>IFERROR(VLOOKUP(F175,TRAOPE!$AA:$AB,2,0),"")</f>
        <v/>
      </c>
      <c r="I175" s="7" t="n">
        <v>10210261</v>
      </c>
      <c r="J175" s="7">
        <f>IFERROR(VLOOKUP(I175,Materiales!$A:$H,8,0),"")</f>
        <v/>
      </c>
      <c r="K175" s="9">
        <f>IFERROR(VLOOKUP(I175,Materiales!$A:$G,7,0),"")</f>
        <v/>
      </c>
      <c r="L175" s="8" t="inlineStr">
        <is>
          <t>20220516</t>
        </is>
      </c>
      <c r="M175" s="8" t="inlineStr">
        <is>
          <t>20240320</t>
        </is>
      </c>
      <c r="N175" s="10" t="n">
        <v>53.51</v>
      </c>
      <c r="O175" s="10">
        <f>IFERROR(VLOOKUP(A175,Flete!$A:$J,10,0),"")</f>
        <v/>
      </c>
      <c r="P175" s="8" t="inlineStr">
        <is>
          <t>TN</t>
        </is>
      </c>
      <c r="Q175" s="10">
        <f>IFERROR(IFERROR(VLOOKUP(A175,TRAOPE!$A:$U,21,0),VLOOKUP(B175,TRAOPE!$A:$U,21,0)),"")</f>
        <v/>
      </c>
      <c r="R175" s="8">
        <f>IFERROR(IFERROR(VLOOKUP(A175,TRAOPE!$A:$W,23,0),VLOOKUP(B175,TRAOPE!$A:$W,23,0)),"")</f>
        <v/>
      </c>
      <c r="S175" s="10">
        <f>IF(AND(P175="TN",R175="TN"),N175+N(O175),IF(G175&amp;""="1",N(K175)*N175,(N175+N(O175))*N(K175)))</f>
        <v/>
      </c>
      <c r="T175" s="10">
        <f>IF(Q175="","",Q175-S175)</f>
        <v/>
      </c>
    </row>
    <row r="176">
      <c r="A176" s="7">
        <f>CONCATENATE(C176,E176,F176,I176)</f>
        <v/>
      </c>
      <c r="B176" s="7">
        <f>CONCATENATE(C176,E176,I176)</f>
        <v/>
      </c>
      <c r="C176" s="8" t="n">
        <v>900006732</v>
      </c>
      <c r="D176" s="7">
        <f>IFERROR(VLOOKUP(C176,TRAOPE!$G:$H,2,0),"")</f>
        <v/>
      </c>
      <c r="E176" s="8" t="inlineStr">
        <is>
          <t>DW55</t>
        </is>
      </c>
      <c r="F176" s="8" t="inlineStr">
        <is>
          <t>ER67</t>
        </is>
      </c>
      <c r="G176" s="8">
        <f>IFERROR(VLOOKUP(A176,Flete!$A:$E,5,0),"")</f>
        <v/>
      </c>
      <c r="H176" s="7">
        <f>IFERROR(VLOOKUP(F176,TRAOPE!$AA:$AB,2,0),"")</f>
        <v/>
      </c>
      <c r="I176" s="7" t="n">
        <v>10000372</v>
      </c>
      <c r="J176" s="7">
        <f>IFERROR(VLOOKUP(I176,Materiales!$A:$H,8,0),"")</f>
        <v/>
      </c>
      <c r="K176" s="9">
        <f>IFERROR(VLOOKUP(I176,Materiales!$A:$G,7,0),"")</f>
        <v/>
      </c>
      <c r="L176" s="8" t="inlineStr">
        <is>
          <t>20220504</t>
        </is>
      </c>
      <c r="M176" s="8" t="inlineStr">
        <is>
          <t>20230127</t>
        </is>
      </c>
      <c r="N176" s="10" t="n">
        <v>165.02</v>
      </c>
      <c r="O176" s="10">
        <f>IFERROR(VLOOKUP(A176,Flete!$A:$J,10,0),"")</f>
        <v/>
      </c>
      <c r="P176" s="8" t="inlineStr">
        <is>
          <t>TN</t>
        </is>
      </c>
      <c r="Q176" s="10">
        <f>IFERROR(IFERROR(VLOOKUP(A176,TRAOPE!$A:$U,21,0),VLOOKUP(B176,TRAOPE!$A:$U,21,0)),"")</f>
        <v/>
      </c>
      <c r="R176" s="8">
        <f>IFERROR(IFERROR(VLOOKUP(A176,TRAOPE!$A:$W,23,0),VLOOKUP(B176,TRAOPE!$A:$W,23,0)),"")</f>
        <v/>
      </c>
      <c r="S176" s="10">
        <f>IF(AND(P176="TN",R176="TN"),N176+N(O176),IF(G176&amp;""="1",N(K176)*N176,(N176+N(O176))*N(K176)))</f>
        <v/>
      </c>
      <c r="T176" s="10">
        <f>IF(Q176="","",Q176-S176)</f>
        <v/>
      </c>
    </row>
    <row r="177">
      <c r="A177" s="7">
        <f>CONCATENATE(C177,E177,F177,I177)</f>
        <v/>
      </c>
      <c r="B177" s="7">
        <f>CONCATENATE(C177,E177,I177)</f>
        <v/>
      </c>
      <c r="C177" s="8" t="n">
        <v>900006732</v>
      </c>
      <c r="D177" s="7">
        <f>IFERROR(VLOOKUP(C177,TRAOPE!$G:$H,2,0),"")</f>
        <v/>
      </c>
      <c r="E177" s="8" t="inlineStr">
        <is>
          <t>DW55</t>
        </is>
      </c>
      <c r="F177" s="8" t="inlineStr">
        <is>
          <t>ER67</t>
        </is>
      </c>
      <c r="G177" s="8">
        <f>IFERROR(VLOOKUP(A177,Flete!$A:$E,5,0),"")</f>
        <v/>
      </c>
      <c r="H177" s="7">
        <f>IFERROR(VLOOKUP(F177,TRAOPE!$AA:$AB,2,0),"")</f>
        <v/>
      </c>
      <c r="I177" s="7" t="n">
        <v>10123034</v>
      </c>
      <c r="J177" s="7">
        <f>IFERROR(VLOOKUP(I177,Materiales!$A:$H,8,0),"")</f>
        <v/>
      </c>
      <c r="K177" s="9">
        <f>IFERROR(VLOOKUP(I177,Materiales!$A:$G,7,0),"")</f>
        <v/>
      </c>
      <c r="L177" s="8" t="inlineStr">
        <is>
          <t>20220504</t>
        </is>
      </c>
      <c r="M177" s="8" t="inlineStr">
        <is>
          <t>20230127</t>
        </is>
      </c>
      <c r="N177" s="10" t="n">
        <v>124</v>
      </c>
      <c r="O177" s="10">
        <f>IFERROR(VLOOKUP(A177,Flete!$A:$J,10,0),"")</f>
        <v/>
      </c>
      <c r="P177" s="8" t="inlineStr">
        <is>
          <t>TN</t>
        </is>
      </c>
      <c r="Q177" s="10">
        <f>IFERROR(IFERROR(VLOOKUP(A177,TRAOPE!$A:$U,21,0),VLOOKUP(B177,TRAOPE!$A:$U,21,0)),"")</f>
        <v/>
      </c>
      <c r="R177" s="8">
        <f>IFERROR(IFERROR(VLOOKUP(A177,TRAOPE!$A:$W,23,0),VLOOKUP(B177,TRAOPE!$A:$W,23,0)),"")</f>
        <v/>
      </c>
      <c r="S177" s="10">
        <f>IF(AND(P177="TN",R177="TN"),N177+N(O177),IF(G177&amp;""="1",N(K177)*N177,(N177+N(O177))*N(K177)))</f>
        <v/>
      </c>
      <c r="T177" s="10">
        <f>IF(Q177="","",Q177-S177)</f>
        <v/>
      </c>
    </row>
    <row r="178">
      <c r="A178" s="7">
        <f>CONCATENATE(C178,E178,F178,I178)</f>
        <v/>
      </c>
      <c r="B178" s="7">
        <f>CONCATENATE(C178,E178,I178)</f>
        <v/>
      </c>
      <c r="C178" s="8" t="n">
        <v>900006732</v>
      </c>
      <c r="D178" s="7">
        <f>IFERROR(VLOOKUP(C178,TRAOPE!$G:$H,2,0),"")</f>
        <v/>
      </c>
      <c r="E178" s="8" t="inlineStr">
        <is>
          <t>DW55</t>
        </is>
      </c>
      <c r="F178" s="8" t="inlineStr">
        <is>
          <t>ER67</t>
        </is>
      </c>
      <c r="G178" s="8">
        <f>IFERROR(VLOOKUP(A178,Flete!$A:$E,5,0),"")</f>
        <v/>
      </c>
      <c r="H178" s="7">
        <f>IFERROR(VLOOKUP(F178,TRAOPE!$AA:$AB,2,0),"")</f>
        <v/>
      </c>
      <c r="I178" s="7" t="n">
        <v>10210260</v>
      </c>
      <c r="J178" s="7">
        <f>IFERROR(VLOOKUP(I178,Materiales!$A:$H,8,0),"")</f>
        <v/>
      </c>
      <c r="K178" s="9">
        <f>IFERROR(VLOOKUP(I178,Materiales!$A:$G,7,0),"")</f>
        <v/>
      </c>
      <c r="L178" s="8" t="inlineStr">
        <is>
          <t>20220504</t>
        </is>
      </c>
      <c r="M178" s="8" t="inlineStr">
        <is>
          <t>20230127</t>
        </is>
      </c>
      <c r="N178" s="10" t="n">
        <v>187.79</v>
      </c>
      <c r="O178" s="10">
        <f>IFERROR(VLOOKUP(A178,Flete!$A:$J,10,0),"")</f>
        <v/>
      </c>
      <c r="P178" s="8" t="inlineStr">
        <is>
          <t>TN</t>
        </is>
      </c>
      <c r="Q178" s="10">
        <f>IFERROR(IFERROR(VLOOKUP(A178,TRAOPE!$A:$U,21,0),VLOOKUP(B178,TRAOPE!$A:$U,21,0)),"")</f>
        <v/>
      </c>
      <c r="R178" s="8">
        <f>IFERROR(IFERROR(VLOOKUP(A178,TRAOPE!$A:$W,23,0),VLOOKUP(B178,TRAOPE!$A:$W,23,0)),"")</f>
        <v/>
      </c>
      <c r="S178" s="10">
        <f>IF(AND(P178="TN",R178="TN"),N178+N(O178),IF(G178&amp;""="1",N(K178)*N178,(N178+N(O178))*N(K178)))</f>
        <v/>
      </c>
      <c r="T178" s="10">
        <f>IF(Q178="","",Q178-S178)</f>
        <v/>
      </c>
    </row>
    <row r="179">
      <c r="A179" s="7">
        <f>CONCATENATE(C179,E179,F179,I179)</f>
        <v/>
      </c>
      <c r="B179" s="7">
        <f>CONCATENATE(C179,E179,I179)</f>
        <v/>
      </c>
      <c r="C179" s="8" t="n">
        <v>900006732</v>
      </c>
      <c r="D179" s="7">
        <f>IFERROR(VLOOKUP(C179,TRAOPE!$G:$H,2,0),"")</f>
        <v/>
      </c>
      <c r="E179" s="8" t="inlineStr">
        <is>
          <t>DW55</t>
        </is>
      </c>
      <c r="F179" s="8" t="inlineStr">
        <is>
          <t>ER67</t>
        </is>
      </c>
      <c r="G179" s="8">
        <f>IFERROR(VLOOKUP(A179,Flete!$A:$E,5,0),"")</f>
        <v/>
      </c>
      <c r="H179" s="7">
        <f>IFERROR(VLOOKUP(F179,TRAOPE!$AA:$AB,2,0),"")</f>
        <v/>
      </c>
      <c r="I179" s="7" t="n">
        <v>10210261</v>
      </c>
      <c r="J179" s="7">
        <f>IFERROR(VLOOKUP(I179,Materiales!$A:$H,8,0),"")</f>
        <v/>
      </c>
      <c r="K179" s="9">
        <f>IFERROR(VLOOKUP(I179,Materiales!$A:$G,7,0),"")</f>
        <v/>
      </c>
      <c r="L179" s="8" t="inlineStr">
        <is>
          <t>20220504</t>
        </is>
      </c>
      <c r="M179" s="8" t="inlineStr">
        <is>
          <t>20230127</t>
        </is>
      </c>
      <c r="N179" s="10" t="n">
        <v>126.74</v>
      </c>
      <c r="O179" s="10">
        <f>IFERROR(VLOOKUP(A179,Flete!$A:$J,10,0),"")</f>
        <v/>
      </c>
      <c r="P179" s="8" t="inlineStr">
        <is>
          <t>TN</t>
        </is>
      </c>
      <c r="Q179" s="10">
        <f>IFERROR(IFERROR(VLOOKUP(A179,TRAOPE!$A:$U,21,0),VLOOKUP(B179,TRAOPE!$A:$U,21,0)),"")</f>
        <v/>
      </c>
      <c r="R179" s="8">
        <f>IFERROR(IFERROR(VLOOKUP(A179,TRAOPE!$A:$W,23,0),VLOOKUP(B179,TRAOPE!$A:$W,23,0)),"")</f>
        <v/>
      </c>
      <c r="S179" s="10">
        <f>IF(AND(P179="TN",R179="TN"),N179+N(O179),IF(G179&amp;""="1",N(K179)*N179,(N179+N(O179))*N(K179)))</f>
        <v/>
      </c>
      <c r="T179" s="10">
        <f>IF(Q179="","",Q179-S179)</f>
        <v/>
      </c>
    </row>
    <row r="180">
      <c r="A180" s="7">
        <f>CONCATENATE(C180,E180,F180,I180)</f>
        <v/>
      </c>
      <c r="B180" s="7">
        <f>CONCATENATE(C180,E180,I180)</f>
        <v/>
      </c>
      <c r="C180" s="8" t="n">
        <v>900006732</v>
      </c>
      <c r="D180" s="7">
        <f>IFERROR(VLOOKUP(C180,TRAOPE!$G:$H,2,0),"")</f>
        <v/>
      </c>
      <c r="E180" s="8" t="inlineStr">
        <is>
          <t>DW55</t>
        </is>
      </c>
      <c r="F180" s="8" t="inlineStr">
        <is>
          <t>ER68</t>
        </is>
      </c>
      <c r="G180" s="8">
        <f>IFERROR(VLOOKUP(A180,Flete!$A:$E,5,0),"")</f>
        <v/>
      </c>
      <c r="H180" s="7">
        <f>IFERROR(VLOOKUP(F180,TRAOPE!$AA:$AB,2,0),"")</f>
        <v/>
      </c>
      <c r="I180" s="7" t="n">
        <v>10210260</v>
      </c>
      <c r="J180" s="7">
        <f>IFERROR(VLOOKUP(I180,Materiales!$A:$H,8,0),"")</f>
        <v/>
      </c>
      <c r="K180" s="9">
        <f>IFERROR(VLOOKUP(I180,Materiales!$A:$G,7,0),"")</f>
        <v/>
      </c>
      <c r="L180" s="8" t="inlineStr">
        <is>
          <t>20230111</t>
        </is>
      </c>
      <c r="M180" s="8" t="inlineStr">
        <is>
          <t>20230608</t>
        </is>
      </c>
      <c r="N180" s="10" t="n">
        <v>221.33</v>
      </c>
      <c r="O180" s="10">
        <f>IFERROR(VLOOKUP(A180,Flete!$A:$J,10,0),"")</f>
        <v/>
      </c>
      <c r="P180" s="8" t="inlineStr">
        <is>
          <t>TN</t>
        </is>
      </c>
      <c r="Q180" s="10">
        <f>IFERROR(IFERROR(VLOOKUP(A180,TRAOPE!$A:$U,21,0),VLOOKUP(B180,TRAOPE!$A:$U,21,0)),"")</f>
        <v/>
      </c>
      <c r="R180" s="8">
        <f>IFERROR(IFERROR(VLOOKUP(A180,TRAOPE!$A:$W,23,0),VLOOKUP(B180,TRAOPE!$A:$W,23,0)),"")</f>
        <v/>
      </c>
      <c r="S180" s="10">
        <f>IF(AND(P180="TN",R180="TN"),N180+N(O180),IF(G180&amp;""="1",N(K180)*N180,(N180+N(O180))*N(K180)))</f>
        <v/>
      </c>
      <c r="T180" s="10">
        <f>IF(Q180="","",Q180-S180)</f>
        <v/>
      </c>
    </row>
    <row r="181">
      <c r="A181" s="7">
        <f>CONCATENATE(C181,E181,F181,I181)</f>
        <v/>
      </c>
      <c r="B181" s="7">
        <f>CONCATENATE(C181,E181,I181)</f>
        <v/>
      </c>
      <c r="C181" s="8" t="n">
        <v>900006733</v>
      </c>
      <c r="D181" s="7">
        <f>IFERROR(VLOOKUP(C181,TRAOPE!$G:$H,2,0),"")</f>
        <v/>
      </c>
      <c r="E181" s="8" t="inlineStr">
        <is>
          <t>DW55</t>
        </is>
      </c>
      <c r="F181" s="8" t="inlineStr">
        <is>
          <t>ER67</t>
        </is>
      </c>
      <c r="G181" s="8">
        <f>IFERROR(VLOOKUP(A181,Flete!$A:$E,5,0),"")</f>
        <v/>
      </c>
      <c r="H181" s="7">
        <f>IFERROR(VLOOKUP(F181,TRAOPE!$AA:$AB,2,0),"")</f>
        <v/>
      </c>
      <c r="I181" s="7" t="n">
        <v>10049559</v>
      </c>
      <c r="J181" s="7">
        <f>IFERROR(VLOOKUP(I181,Materiales!$A:$H,8,0),"")</f>
        <v/>
      </c>
      <c r="K181" s="9">
        <f>IFERROR(VLOOKUP(I181,Materiales!$A:$G,7,0),"")</f>
        <v/>
      </c>
      <c r="L181" s="8" t="inlineStr">
        <is>
          <t>20220504</t>
        </is>
      </c>
      <c r="M181" s="8" t="inlineStr">
        <is>
          <t>20230127</t>
        </is>
      </c>
      <c r="N181" s="10" t="n">
        <v>176.48</v>
      </c>
      <c r="O181" s="10">
        <f>IFERROR(VLOOKUP(A181,Flete!$A:$J,10,0),"")</f>
        <v/>
      </c>
      <c r="P181" s="8" t="inlineStr">
        <is>
          <t>TN</t>
        </is>
      </c>
      <c r="Q181" s="10">
        <f>IFERROR(IFERROR(VLOOKUP(A181,TRAOPE!$A:$U,21,0),VLOOKUP(B181,TRAOPE!$A:$U,21,0)),"")</f>
        <v/>
      </c>
      <c r="R181" s="8">
        <f>IFERROR(IFERROR(VLOOKUP(A181,TRAOPE!$A:$W,23,0),VLOOKUP(B181,TRAOPE!$A:$W,23,0)),"")</f>
        <v/>
      </c>
      <c r="S181" s="10">
        <f>IF(AND(P181="TN",R181="TN"),N181+N(O181),IF(G181&amp;""="1",N(K181)*N181,(N181+N(O181))*N(K181)))</f>
        <v/>
      </c>
      <c r="T181" s="10">
        <f>IF(Q181="","",Q181-S181)</f>
        <v/>
      </c>
    </row>
    <row r="182">
      <c r="A182" s="7">
        <f>CONCATENATE(C182,E182,F182,I182)</f>
        <v/>
      </c>
      <c r="B182" s="7">
        <f>CONCATENATE(C182,E182,I182)</f>
        <v/>
      </c>
      <c r="C182" s="8" t="n">
        <v>900006733</v>
      </c>
      <c r="D182" s="7">
        <f>IFERROR(VLOOKUP(C182,TRAOPE!$G:$H,2,0),"")</f>
        <v/>
      </c>
      <c r="E182" s="8" t="inlineStr">
        <is>
          <t>DW55</t>
        </is>
      </c>
      <c r="F182" s="8" t="inlineStr">
        <is>
          <t>ER67</t>
        </is>
      </c>
      <c r="G182" s="8">
        <f>IFERROR(VLOOKUP(A182,Flete!$A:$E,5,0),"")</f>
        <v/>
      </c>
      <c r="H182" s="7">
        <f>IFERROR(VLOOKUP(F182,TRAOPE!$AA:$AB,2,0),"")</f>
        <v/>
      </c>
      <c r="I182" s="7" t="n">
        <v>10210260</v>
      </c>
      <c r="J182" s="7">
        <f>IFERROR(VLOOKUP(I182,Materiales!$A:$H,8,0),"")</f>
        <v/>
      </c>
      <c r="K182" s="9">
        <f>IFERROR(VLOOKUP(I182,Materiales!$A:$G,7,0),"")</f>
        <v/>
      </c>
      <c r="L182" s="8" t="inlineStr">
        <is>
          <t>20220504</t>
        </is>
      </c>
      <c r="M182" s="8" t="inlineStr">
        <is>
          <t>20230127</t>
        </is>
      </c>
      <c r="N182" s="10" t="n">
        <v>158.85</v>
      </c>
      <c r="O182" s="10">
        <f>IFERROR(VLOOKUP(A182,Flete!$A:$J,10,0),"")</f>
        <v/>
      </c>
      <c r="P182" s="8" t="inlineStr">
        <is>
          <t>TN</t>
        </is>
      </c>
      <c r="Q182" s="10">
        <f>IFERROR(IFERROR(VLOOKUP(A182,TRAOPE!$A:$U,21,0),VLOOKUP(B182,TRAOPE!$A:$U,21,0)),"")</f>
        <v/>
      </c>
      <c r="R182" s="8">
        <f>IFERROR(IFERROR(VLOOKUP(A182,TRAOPE!$A:$W,23,0),VLOOKUP(B182,TRAOPE!$A:$W,23,0)),"")</f>
        <v/>
      </c>
      <c r="S182" s="10">
        <f>IF(AND(P182="TN",R182="TN"),N182+N(O182),IF(G182&amp;""="1",N(K182)*N182,(N182+N(O182))*N(K182)))</f>
        <v/>
      </c>
      <c r="T182" s="10">
        <f>IF(Q182="","",Q182-S182)</f>
        <v/>
      </c>
    </row>
    <row r="183">
      <c r="A183" s="7">
        <f>CONCATENATE(C183,E183,F183,I183)</f>
        <v/>
      </c>
      <c r="B183" s="7">
        <f>CONCATENATE(C183,E183,I183)</f>
        <v/>
      </c>
      <c r="C183" s="8" t="n">
        <v>900006740</v>
      </c>
      <c r="D183" s="7">
        <f>IFERROR(VLOOKUP(C183,TRAOPE!$G:$H,2,0),"")</f>
        <v/>
      </c>
      <c r="E183" s="8" t="inlineStr">
        <is>
          <t>DW55</t>
        </is>
      </c>
      <c r="F183" s="8" t="inlineStr">
        <is>
          <t>ER67</t>
        </is>
      </c>
      <c r="G183" s="8">
        <f>IFERROR(VLOOKUP(A183,Flete!$A:$E,5,0),"")</f>
        <v/>
      </c>
      <c r="H183" s="7">
        <f>IFERROR(VLOOKUP(F183,TRAOPE!$AA:$AB,2,0),"")</f>
        <v/>
      </c>
      <c r="I183" s="7" t="n">
        <v>10000372</v>
      </c>
      <c r="J183" s="7">
        <f>IFERROR(VLOOKUP(I183,Materiales!$A:$H,8,0),"")</f>
        <v/>
      </c>
      <c r="K183" s="9">
        <f>IFERROR(VLOOKUP(I183,Materiales!$A:$G,7,0),"")</f>
        <v/>
      </c>
      <c r="L183" s="8" t="inlineStr">
        <is>
          <t>20220504</t>
        </is>
      </c>
      <c r="M183" s="8" t="inlineStr">
        <is>
          <t>20230127</t>
        </is>
      </c>
      <c r="N183" s="10" t="n">
        <v>169.03</v>
      </c>
      <c r="O183" s="10">
        <f>IFERROR(VLOOKUP(A183,Flete!$A:$J,10,0),"")</f>
        <v/>
      </c>
      <c r="P183" s="8" t="inlineStr">
        <is>
          <t>TN</t>
        </is>
      </c>
      <c r="Q183" s="10">
        <f>IFERROR(IFERROR(VLOOKUP(A183,TRAOPE!$A:$U,21,0),VLOOKUP(B183,TRAOPE!$A:$U,21,0)),"")</f>
        <v/>
      </c>
      <c r="R183" s="8">
        <f>IFERROR(IFERROR(VLOOKUP(A183,TRAOPE!$A:$W,23,0),VLOOKUP(B183,TRAOPE!$A:$W,23,0)),"")</f>
        <v/>
      </c>
      <c r="S183" s="10">
        <f>IF(AND(P183="TN",R183="TN"),N183+N(O183),IF(G183&amp;""="1",N(K183)*N183,(N183+N(O183))*N(K183)))</f>
        <v/>
      </c>
      <c r="T183" s="10">
        <f>IF(Q183="","",Q183-S183)</f>
        <v/>
      </c>
    </row>
    <row r="184">
      <c r="A184" s="7">
        <f>CONCATENATE(C184,E184,F184,I184)</f>
        <v/>
      </c>
      <c r="B184" s="7">
        <f>CONCATENATE(C184,E184,I184)</f>
        <v/>
      </c>
      <c r="C184" s="8" t="n">
        <v>900006740</v>
      </c>
      <c r="D184" s="7">
        <f>IFERROR(VLOOKUP(C184,TRAOPE!$G:$H,2,0),"")</f>
        <v/>
      </c>
      <c r="E184" s="8" t="inlineStr">
        <is>
          <t>DW55</t>
        </is>
      </c>
      <c r="F184" s="8" t="inlineStr">
        <is>
          <t>ER67</t>
        </is>
      </c>
      <c r="G184" s="8">
        <f>IFERROR(VLOOKUP(A184,Flete!$A:$E,5,0),"")</f>
        <v/>
      </c>
      <c r="H184" s="7">
        <f>IFERROR(VLOOKUP(F184,TRAOPE!$AA:$AB,2,0),"")</f>
        <v/>
      </c>
      <c r="I184" s="7" t="n">
        <v>10166283</v>
      </c>
      <c r="J184" s="7">
        <f>IFERROR(VLOOKUP(I184,Materiales!$A:$H,8,0),"")</f>
        <v/>
      </c>
      <c r="K184" s="9">
        <f>IFERROR(VLOOKUP(I184,Materiales!$A:$G,7,0),"")</f>
        <v/>
      </c>
      <c r="L184" s="8" t="inlineStr">
        <is>
          <t>20220504</t>
        </is>
      </c>
      <c r="M184" s="8" t="inlineStr">
        <is>
          <t>20230127</t>
        </is>
      </c>
      <c r="N184" s="10" t="n">
        <v>170.54</v>
      </c>
      <c r="O184" s="10">
        <f>IFERROR(VLOOKUP(A184,Flete!$A:$J,10,0),"")</f>
        <v/>
      </c>
      <c r="P184" s="8" t="inlineStr">
        <is>
          <t>TN</t>
        </is>
      </c>
      <c r="Q184" s="10">
        <f>IFERROR(IFERROR(VLOOKUP(A184,TRAOPE!$A:$U,21,0),VLOOKUP(B184,TRAOPE!$A:$U,21,0)),"")</f>
        <v/>
      </c>
      <c r="R184" s="8">
        <f>IFERROR(IFERROR(VLOOKUP(A184,TRAOPE!$A:$W,23,0),VLOOKUP(B184,TRAOPE!$A:$W,23,0)),"")</f>
        <v/>
      </c>
      <c r="S184" s="10">
        <f>IF(AND(P184="TN",R184="TN"),N184+N(O184),IF(G184&amp;""="1",N(K184)*N184,(N184+N(O184))*N(K184)))</f>
        <v/>
      </c>
      <c r="T184" s="10">
        <f>IF(Q184="","",Q184-S184)</f>
        <v/>
      </c>
    </row>
    <row r="185">
      <c r="A185" s="7">
        <f>CONCATENATE(C185,E185,F185,I185)</f>
        <v/>
      </c>
      <c r="B185" s="7">
        <f>CONCATENATE(C185,E185,I185)</f>
        <v/>
      </c>
      <c r="C185" s="8" t="n">
        <v>900006741</v>
      </c>
      <c r="D185" s="7">
        <f>IFERROR(VLOOKUP(C185,TRAOPE!$G:$H,2,0),"")</f>
        <v/>
      </c>
      <c r="E185" s="8" t="inlineStr">
        <is>
          <t>DW55</t>
        </is>
      </c>
      <c r="F185" s="8" t="inlineStr">
        <is>
          <t>ER67</t>
        </is>
      </c>
      <c r="G185" s="8">
        <f>IFERROR(VLOOKUP(A185,Flete!$A:$E,5,0),"")</f>
        <v/>
      </c>
      <c r="H185" s="7">
        <f>IFERROR(VLOOKUP(F185,TRAOPE!$AA:$AB,2,0),"")</f>
        <v/>
      </c>
      <c r="I185" s="7" t="n">
        <v>10000834</v>
      </c>
      <c r="J185" s="7">
        <f>IFERROR(VLOOKUP(I185,Materiales!$A:$H,8,0),"")</f>
        <v/>
      </c>
      <c r="K185" s="9">
        <f>IFERROR(VLOOKUP(I185,Materiales!$A:$G,7,0),"")</f>
        <v/>
      </c>
      <c r="L185" s="8" t="inlineStr">
        <is>
          <t>20220504</t>
        </is>
      </c>
      <c r="M185" s="8" t="inlineStr">
        <is>
          <t>20230127</t>
        </is>
      </c>
      <c r="N185" s="10" t="n">
        <v>42.81</v>
      </c>
      <c r="O185" s="10">
        <f>IFERROR(VLOOKUP(A185,Flete!$A:$J,10,0),"")</f>
        <v/>
      </c>
      <c r="P185" s="8" t="inlineStr">
        <is>
          <t>TN</t>
        </is>
      </c>
      <c r="Q185" s="10">
        <f>IFERROR(IFERROR(VLOOKUP(A185,TRAOPE!$A:$U,21,0),VLOOKUP(B185,TRAOPE!$A:$U,21,0)),"")</f>
        <v/>
      </c>
      <c r="R185" s="8">
        <f>IFERROR(IFERROR(VLOOKUP(A185,TRAOPE!$A:$W,23,0),VLOOKUP(B185,TRAOPE!$A:$W,23,0)),"")</f>
        <v/>
      </c>
      <c r="S185" s="10">
        <f>IF(AND(P185="TN",R185="TN"),N185+N(O185),IF(G185&amp;""="1",N(K185)*N185,(N185+N(O185))*N(K185)))</f>
        <v/>
      </c>
      <c r="T185" s="10">
        <f>IF(Q185="","",Q185-S185)</f>
        <v/>
      </c>
    </row>
    <row r="186">
      <c r="A186" s="7">
        <f>CONCATENATE(C186,E186,F186,I186)</f>
        <v/>
      </c>
      <c r="B186" s="7">
        <f>CONCATENATE(C186,E186,I186)</f>
        <v/>
      </c>
      <c r="C186" s="8" t="n">
        <v>900006741</v>
      </c>
      <c r="D186" s="7">
        <f>IFERROR(VLOOKUP(C186,TRAOPE!$G:$H,2,0),"")</f>
        <v/>
      </c>
      <c r="E186" s="8" t="inlineStr">
        <is>
          <t>DW55</t>
        </is>
      </c>
      <c r="F186" s="8" t="inlineStr">
        <is>
          <t>ER68</t>
        </is>
      </c>
      <c r="G186" s="8">
        <f>IFERROR(VLOOKUP(A186,Flete!$A:$E,5,0),"")</f>
        <v/>
      </c>
      <c r="H186" s="7">
        <f>IFERROR(VLOOKUP(F186,TRAOPE!$AA:$AB,2,0),"")</f>
        <v/>
      </c>
      <c r="I186" s="7" t="n">
        <v>10000834</v>
      </c>
      <c r="J186" s="7">
        <f>IFERROR(VLOOKUP(I186,Materiales!$A:$H,8,0),"")</f>
        <v/>
      </c>
      <c r="K186" s="9">
        <f>IFERROR(VLOOKUP(I186,Materiales!$A:$G,7,0),"")</f>
        <v/>
      </c>
      <c r="L186" s="8" t="inlineStr">
        <is>
          <t>20240122</t>
        </is>
      </c>
      <c r="M186" s="8" t="inlineStr">
        <is>
          <t>20241015</t>
        </is>
      </c>
      <c r="N186" s="10" t="n">
        <v>42.81</v>
      </c>
      <c r="O186" s="10">
        <f>IFERROR(VLOOKUP(A186,Flete!$A:$J,10,0),"")</f>
        <v/>
      </c>
      <c r="P186" s="8" t="inlineStr">
        <is>
          <t>TN</t>
        </is>
      </c>
      <c r="Q186" s="10">
        <f>IFERROR(IFERROR(VLOOKUP(A186,TRAOPE!$A:$U,21,0),VLOOKUP(B186,TRAOPE!$A:$U,21,0)),"")</f>
        <v/>
      </c>
      <c r="R186" s="8">
        <f>IFERROR(IFERROR(VLOOKUP(A186,TRAOPE!$A:$W,23,0),VLOOKUP(B186,TRAOPE!$A:$W,23,0)),"")</f>
        <v/>
      </c>
      <c r="S186" s="10">
        <f>IF(AND(P186="TN",R186="TN"),N186+N(O186),IF(G186&amp;""="1",N(K186)*N186,(N186+N(O186))*N(K186)))</f>
        <v/>
      </c>
      <c r="T186" s="10">
        <f>IF(Q186="","",Q186-S186)</f>
        <v/>
      </c>
    </row>
    <row r="187">
      <c r="A187" s="7">
        <f>CONCATENATE(C187,E187,F187,I187)</f>
        <v/>
      </c>
      <c r="B187" s="7">
        <f>CONCATENATE(C187,E187,I187)</f>
        <v/>
      </c>
      <c r="C187" s="8" t="n">
        <v>900006742</v>
      </c>
      <c r="D187" s="7">
        <f>IFERROR(VLOOKUP(C187,TRAOPE!$G:$H,2,0),"")</f>
        <v/>
      </c>
      <c r="E187" s="8" t="inlineStr">
        <is>
          <t>DW55</t>
        </is>
      </c>
      <c r="F187" s="8" t="inlineStr">
        <is>
          <t>ER67</t>
        </is>
      </c>
      <c r="G187" s="8">
        <f>IFERROR(VLOOKUP(A187,Flete!$A:$E,5,0),"")</f>
        <v/>
      </c>
      <c r="H187" s="7">
        <f>IFERROR(VLOOKUP(F187,TRAOPE!$AA:$AB,2,0),"")</f>
        <v/>
      </c>
      <c r="I187" s="7" t="n">
        <v>10210039</v>
      </c>
      <c r="J187" s="7">
        <f>IFERROR(VLOOKUP(I187,Materiales!$A:$H,8,0),"")</f>
        <v/>
      </c>
      <c r="K187" s="9">
        <f>IFERROR(VLOOKUP(I187,Materiales!$A:$G,7,0),"")</f>
        <v/>
      </c>
      <c r="L187" s="8" t="inlineStr">
        <is>
          <t>20220504</t>
        </is>
      </c>
      <c r="M187" s="8" t="inlineStr">
        <is>
          <t>20230127</t>
        </is>
      </c>
      <c r="N187" s="10" t="n">
        <v>35.69</v>
      </c>
      <c r="O187" s="10">
        <f>IFERROR(VLOOKUP(A187,Flete!$A:$J,10,0),"")</f>
        <v/>
      </c>
      <c r="P187" s="8" t="inlineStr">
        <is>
          <t>TN</t>
        </is>
      </c>
      <c r="Q187" s="10">
        <f>IFERROR(IFERROR(VLOOKUP(A187,TRAOPE!$A:$U,21,0),VLOOKUP(B187,TRAOPE!$A:$U,21,0)),"")</f>
        <v/>
      </c>
      <c r="R187" s="8">
        <f>IFERROR(IFERROR(VLOOKUP(A187,TRAOPE!$A:$W,23,0),VLOOKUP(B187,TRAOPE!$A:$W,23,0)),"")</f>
        <v/>
      </c>
      <c r="S187" s="10">
        <f>IF(AND(P187="TN",R187="TN"),N187+N(O187),IF(G187&amp;""="1",N(K187)*N187,(N187+N(O187))*N(K187)))</f>
        <v/>
      </c>
      <c r="T187" s="10">
        <f>IF(Q187="","",Q187-S187)</f>
        <v/>
      </c>
    </row>
    <row r="188">
      <c r="A188" s="7">
        <f>CONCATENATE(C188,E188,F188,I188)</f>
        <v/>
      </c>
      <c r="B188" s="7">
        <f>CONCATENATE(C188,E188,I188)</f>
        <v/>
      </c>
      <c r="C188" s="8" t="n">
        <v>900006742</v>
      </c>
      <c r="D188" s="7">
        <f>IFERROR(VLOOKUP(C188,TRAOPE!$G:$H,2,0),"")</f>
        <v/>
      </c>
      <c r="E188" s="8" t="inlineStr">
        <is>
          <t>DW55</t>
        </is>
      </c>
      <c r="F188" s="8" t="inlineStr">
        <is>
          <t>ER68</t>
        </is>
      </c>
      <c r="G188" s="8">
        <f>IFERROR(VLOOKUP(A188,Flete!$A:$E,5,0),"")</f>
        <v/>
      </c>
      <c r="H188" s="7">
        <f>IFERROR(VLOOKUP(F188,TRAOPE!$AA:$AB,2,0),"")</f>
        <v/>
      </c>
      <c r="I188" s="7" t="n">
        <v>10210039</v>
      </c>
      <c r="J188" s="7">
        <f>IFERROR(VLOOKUP(I188,Materiales!$A:$H,8,0),"")</f>
        <v/>
      </c>
      <c r="K188" s="9">
        <f>IFERROR(VLOOKUP(I188,Materiales!$A:$G,7,0),"")</f>
        <v/>
      </c>
      <c r="L188" s="8" t="inlineStr">
        <is>
          <t>20220516</t>
        </is>
      </c>
      <c r="M188" s="8" t="inlineStr">
        <is>
          <t>20240320</t>
        </is>
      </c>
      <c r="N188" s="10" t="n">
        <v>40.4</v>
      </c>
      <c r="O188" s="10">
        <f>IFERROR(VLOOKUP(A188,Flete!$A:$J,10,0),"")</f>
        <v/>
      </c>
      <c r="P188" s="8" t="inlineStr">
        <is>
          <t>TN</t>
        </is>
      </c>
      <c r="Q188" s="10">
        <f>IFERROR(IFERROR(VLOOKUP(A188,TRAOPE!$A:$U,21,0),VLOOKUP(B188,TRAOPE!$A:$U,21,0)),"")</f>
        <v/>
      </c>
      <c r="R188" s="8">
        <f>IFERROR(IFERROR(VLOOKUP(A188,TRAOPE!$A:$W,23,0),VLOOKUP(B188,TRAOPE!$A:$W,23,0)),"")</f>
        <v/>
      </c>
      <c r="S188" s="10">
        <f>IF(AND(P188="TN",R188="TN"),N188+N(O188),IF(G188&amp;""="1",N(K188)*N188,(N188+N(O188))*N(K188)))</f>
        <v/>
      </c>
      <c r="T188" s="10">
        <f>IF(Q188="","",Q188-S188)</f>
        <v/>
      </c>
    </row>
    <row r="189">
      <c r="A189" s="7">
        <f>CONCATENATE(C189,E189,F189,I189)</f>
        <v/>
      </c>
      <c r="B189" s="7">
        <f>CONCATENATE(C189,E189,I189)</f>
        <v/>
      </c>
      <c r="C189" s="8" t="n">
        <v>900006743</v>
      </c>
      <c r="D189" s="7">
        <f>IFERROR(VLOOKUP(C189,TRAOPE!$G:$H,2,0),"")</f>
        <v/>
      </c>
      <c r="E189" s="8" t="inlineStr">
        <is>
          <t>DW55</t>
        </is>
      </c>
      <c r="F189" s="8" t="inlineStr">
        <is>
          <t>ER67</t>
        </is>
      </c>
      <c r="G189" s="8">
        <f>IFERROR(VLOOKUP(A189,Flete!$A:$E,5,0),"")</f>
        <v/>
      </c>
      <c r="H189" s="7">
        <f>IFERROR(VLOOKUP(F189,TRAOPE!$AA:$AB,2,0),"")</f>
        <v/>
      </c>
      <c r="I189" s="7" t="n">
        <v>10000834</v>
      </c>
      <c r="J189" s="7">
        <f>IFERROR(VLOOKUP(I189,Materiales!$A:$H,8,0),"")</f>
        <v/>
      </c>
      <c r="K189" s="9">
        <f>IFERROR(VLOOKUP(I189,Materiales!$A:$G,7,0),"")</f>
        <v/>
      </c>
      <c r="L189" s="8" t="inlineStr">
        <is>
          <t>20220504</t>
        </is>
      </c>
      <c r="M189" s="8" t="inlineStr">
        <is>
          <t>20230127</t>
        </is>
      </c>
      <c r="N189" s="10" t="n">
        <v>38.04</v>
      </c>
      <c r="O189" s="10">
        <f>IFERROR(VLOOKUP(A189,Flete!$A:$J,10,0),"")</f>
        <v/>
      </c>
      <c r="P189" s="8" t="inlineStr">
        <is>
          <t>TN</t>
        </is>
      </c>
      <c r="Q189" s="10">
        <f>IFERROR(IFERROR(VLOOKUP(A189,TRAOPE!$A:$U,21,0),VLOOKUP(B189,TRAOPE!$A:$U,21,0)),"")</f>
        <v/>
      </c>
      <c r="R189" s="8">
        <f>IFERROR(IFERROR(VLOOKUP(A189,TRAOPE!$A:$W,23,0),VLOOKUP(B189,TRAOPE!$A:$W,23,0)),"")</f>
        <v/>
      </c>
      <c r="S189" s="10">
        <f>IF(AND(P189="TN",R189="TN"),N189+N(O189),IF(G189&amp;""="1",N(K189)*N189,(N189+N(O189))*N(K189)))</f>
        <v/>
      </c>
      <c r="T189" s="10">
        <f>IF(Q189="","",Q189-S189)</f>
        <v/>
      </c>
    </row>
    <row r="190">
      <c r="A190" s="7">
        <f>CONCATENATE(C190,E190,F190,I190)</f>
        <v/>
      </c>
      <c r="B190" s="7">
        <f>CONCATENATE(C190,E190,I190)</f>
        <v/>
      </c>
      <c r="C190" s="8" t="n">
        <v>900006743</v>
      </c>
      <c r="D190" s="7">
        <f>IFERROR(VLOOKUP(C190,TRAOPE!$G:$H,2,0),"")</f>
        <v/>
      </c>
      <c r="E190" s="8" t="inlineStr">
        <is>
          <t>DW55</t>
        </is>
      </c>
      <c r="F190" s="8" t="inlineStr">
        <is>
          <t>ER67</t>
        </is>
      </c>
      <c r="G190" s="8">
        <f>IFERROR(VLOOKUP(A190,Flete!$A:$E,5,0),"")</f>
        <v/>
      </c>
      <c r="H190" s="7">
        <f>IFERROR(VLOOKUP(F190,TRAOPE!$AA:$AB,2,0),"")</f>
        <v/>
      </c>
      <c r="I190" s="7" t="n">
        <v>10210039</v>
      </c>
      <c r="J190" s="7">
        <f>IFERROR(VLOOKUP(I190,Materiales!$A:$H,8,0),"")</f>
        <v/>
      </c>
      <c r="K190" s="9">
        <f>IFERROR(VLOOKUP(I190,Materiales!$A:$G,7,0),"")</f>
        <v/>
      </c>
      <c r="L190" s="8" t="inlineStr">
        <is>
          <t>20220504</t>
        </is>
      </c>
      <c r="M190" s="8" t="inlineStr">
        <is>
          <t>20230127</t>
        </is>
      </c>
      <c r="N190" s="10" t="n">
        <v>32.61</v>
      </c>
      <c r="O190" s="10">
        <f>IFERROR(VLOOKUP(A190,Flete!$A:$J,10,0),"")</f>
        <v/>
      </c>
      <c r="P190" s="8" t="inlineStr">
        <is>
          <t>TN</t>
        </is>
      </c>
      <c r="Q190" s="10">
        <f>IFERROR(IFERROR(VLOOKUP(A190,TRAOPE!$A:$U,21,0),VLOOKUP(B190,TRAOPE!$A:$U,21,0)),"")</f>
        <v/>
      </c>
      <c r="R190" s="8">
        <f>IFERROR(IFERROR(VLOOKUP(A190,TRAOPE!$A:$W,23,0),VLOOKUP(B190,TRAOPE!$A:$W,23,0)),"")</f>
        <v/>
      </c>
      <c r="S190" s="10">
        <f>IF(AND(P190="TN",R190="TN"),N190+N(O190),IF(G190&amp;""="1",N(K190)*N190,(N190+N(O190))*N(K190)))</f>
        <v/>
      </c>
      <c r="T190" s="10">
        <f>IF(Q190="","",Q190-S190)</f>
        <v/>
      </c>
    </row>
    <row r="191">
      <c r="A191" s="7">
        <f>CONCATENATE(C191,E191,F191,I191)</f>
        <v/>
      </c>
      <c r="B191" s="7">
        <f>CONCATENATE(C191,E191,I191)</f>
        <v/>
      </c>
      <c r="C191" s="8" t="n">
        <v>900006744</v>
      </c>
      <c r="D191" s="7">
        <f>IFERROR(VLOOKUP(C191,TRAOPE!$G:$H,2,0),"")</f>
        <v/>
      </c>
      <c r="E191" s="8" t="inlineStr">
        <is>
          <t>DW55</t>
        </is>
      </c>
      <c r="F191" s="8" t="inlineStr">
        <is>
          <t>ER67</t>
        </is>
      </c>
      <c r="G191" s="8">
        <f>IFERROR(VLOOKUP(A191,Flete!$A:$E,5,0),"")</f>
        <v/>
      </c>
      <c r="H191" s="7">
        <f>IFERROR(VLOOKUP(F191,TRAOPE!$AA:$AB,2,0),"")</f>
        <v/>
      </c>
      <c r="I191" s="7" t="n">
        <v>10000834</v>
      </c>
      <c r="J191" s="7">
        <f>IFERROR(VLOOKUP(I191,Materiales!$A:$H,8,0),"")</f>
        <v/>
      </c>
      <c r="K191" s="9">
        <f>IFERROR(VLOOKUP(I191,Materiales!$A:$G,7,0),"")</f>
        <v/>
      </c>
      <c r="L191" s="8" t="inlineStr">
        <is>
          <t>20220504</t>
        </is>
      </c>
      <c r="M191" s="8" t="inlineStr">
        <is>
          <t>20230127</t>
        </is>
      </c>
      <c r="N191" s="10" t="n">
        <v>38.04</v>
      </c>
      <c r="O191" s="10">
        <f>IFERROR(VLOOKUP(A191,Flete!$A:$J,10,0),"")</f>
        <v/>
      </c>
      <c r="P191" s="8" t="inlineStr">
        <is>
          <t>TN</t>
        </is>
      </c>
      <c r="Q191" s="10">
        <f>IFERROR(IFERROR(VLOOKUP(A191,TRAOPE!$A:$U,21,0),VLOOKUP(B191,TRAOPE!$A:$U,21,0)),"")</f>
        <v/>
      </c>
      <c r="R191" s="8">
        <f>IFERROR(IFERROR(VLOOKUP(A191,TRAOPE!$A:$W,23,0),VLOOKUP(B191,TRAOPE!$A:$W,23,0)),"")</f>
        <v/>
      </c>
      <c r="S191" s="10">
        <f>IF(AND(P191="TN",R191="TN"),N191+N(O191),IF(G191&amp;""="1",N(K191)*N191,(N191+N(O191))*N(K191)))</f>
        <v/>
      </c>
      <c r="T191" s="10">
        <f>IF(Q191="","",Q191-S191)</f>
        <v/>
      </c>
    </row>
    <row r="192">
      <c r="A192" s="7">
        <f>CONCATENATE(C192,E192,F192,I192)</f>
        <v/>
      </c>
      <c r="B192" s="7">
        <f>CONCATENATE(C192,E192,I192)</f>
        <v/>
      </c>
      <c r="C192" s="8" t="n">
        <v>900006744</v>
      </c>
      <c r="D192" s="7">
        <f>IFERROR(VLOOKUP(C192,TRAOPE!$G:$H,2,0),"")</f>
        <v/>
      </c>
      <c r="E192" s="8" t="inlineStr">
        <is>
          <t>DW55</t>
        </is>
      </c>
      <c r="F192" s="8" t="inlineStr">
        <is>
          <t>ER67</t>
        </is>
      </c>
      <c r="G192" s="8">
        <f>IFERROR(VLOOKUP(A192,Flete!$A:$E,5,0),"")</f>
        <v/>
      </c>
      <c r="H192" s="7">
        <f>IFERROR(VLOOKUP(F192,TRAOPE!$AA:$AB,2,0),"")</f>
        <v/>
      </c>
      <c r="I192" s="7" t="n">
        <v>10210039</v>
      </c>
      <c r="J192" s="7">
        <f>IFERROR(VLOOKUP(I192,Materiales!$A:$H,8,0),"")</f>
        <v/>
      </c>
      <c r="K192" s="9">
        <f>IFERROR(VLOOKUP(I192,Materiales!$A:$G,7,0),"")</f>
        <v/>
      </c>
      <c r="L192" s="8" t="inlineStr">
        <is>
          <t>20220504</t>
        </is>
      </c>
      <c r="M192" s="8" t="inlineStr">
        <is>
          <t>20230127</t>
        </is>
      </c>
      <c r="N192" s="10" t="n">
        <v>32.61</v>
      </c>
      <c r="O192" s="10">
        <f>IFERROR(VLOOKUP(A192,Flete!$A:$J,10,0),"")</f>
        <v/>
      </c>
      <c r="P192" s="8" t="inlineStr">
        <is>
          <t>TN</t>
        </is>
      </c>
      <c r="Q192" s="10">
        <f>IFERROR(IFERROR(VLOOKUP(A192,TRAOPE!$A:$U,21,0),VLOOKUP(B192,TRAOPE!$A:$U,21,0)),"")</f>
        <v/>
      </c>
      <c r="R192" s="8">
        <f>IFERROR(IFERROR(VLOOKUP(A192,TRAOPE!$A:$W,23,0),VLOOKUP(B192,TRAOPE!$A:$W,23,0)),"")</f>
        <v/>
      </c>
      <c r="S192" s="10">
        <f>IF(AND(P192="TN",R192="TN"),N192+N(O192),IF(G192&amp;""="1",N(K192)*N192,(N192+N(O192))*N(K192)))</f>
        <v/>
      </c>
      <c r="T192" s="10">
        <f>IF(Q192="","",Q192-S192)</f>
        <v/>
      </c>
    </row>
    <row r="193">
      <c r="A193" s="7">
        <f>CONCATENATE(C193,E193,F193,I193)</f>
        <v/>
      </c>
      <c r="B193" s="7">
        <f>CONCATENATE(C193,E193,I193)</f>
        <v/>
      </c>
      <c r="C193" s="8" t="n">
        <v>900006745</v>
      </c>
      <c r="D193" s="7">
        <f>IFERROR(VLOOKUP(C193,TRAOPE!$G:$H,2,0),"")</f>
        <v/>
      </c>
      <c r="E193" s="8" t="inlineStr">
        <is>
          <t>DW55</t>
        </is>
      </c>
      <c r="F193" s="8" t="inlineStr">
        <is>
          <t>ER67</t>
        </is>
      </c>
      <c r="G193" s="8">
        <f>IFERROR(VLOOKUP(A193,Flete!$A:$E,5,0),"")</f>
        <v/>
      </c>
      <c r="H193" s="7">
        <f>IFERROR(VLOOKUP(F193,TRAOPE!$AA:$AB,2,0),"")</f>
        <v/>
      </c>
      <c r="I193" s="7" t="n">
        <v>10123034</v>
      </c>
      <c r="J193" s="7">
        <f>IFERROR(VLOOKUP(I193,Materiales!$A:$H,8,0),"")</f>
        <v/>
      </c>
      <c r="K193" s="9">
        <f>IFERROR(VLOOKUP(I193,Materiales!$A:$G,7,0),"")</f>
        <v/>
      </c>
      <c r="L193" s="8" t="inlineStr">
        <is>
          <t>20220504</t>
        </is>
      </c>
      <c r="M193" s="8" t="inlineStr">
        <is>
          <t>20230127</t>
        </is>
      </c>
      <c r="N193" s="10" t="n">
        <v>124</v>
      </c>
      <c r="O193" s="10">
        <f>IFERROR(VLOOKUP(A193,Flete!$A:$J,10,0),"")</f>
        <v/>
      </c>
      <c r="P193" s="8" t="inlineStr">
        <is>
          <t>TN</t>
        </is>
      </c>
      <c r="Q193" s="10">
        <f>IFERROR(IFERROR(VLOOKUP(A193,TRAOPE!$A:$U,21,0),VLOOKUP(B193,TRAOPE!$A:$U,21,0)),"")</f>
        <v/>
      </c>
      <c r="R193" s="8">
        <f>IFERROR(IFERROR(VLOOKUP(A193,TRAOPE!$A:$W,23,0),VLOOKUP(B193,TRAOPE!$A:$W,23,0)),"")</f>
        <v/>
      </c>
      <c r="S193" s="10">
        <f>IF(AND(P193="TN",R193="TN"),N193+N(O193),IF(G193&amp;""="1",N(K193)*N193,(N193+N(O193))*N(K193)))</f>
        <v/>
      </c>
      <c r="T193" s="10">
        <f>IF(Q193="","",Q193-S193)</f>
        <v/>
      </c>
    </row>
    <row r="194">
      <c r="A194" s="7">
        <f>CONCATENATE(C194,E194,F194,I194)</f>
        <v/>
      </c>
      <c r="B194" s="7">
        <f>CONCATENATE(C194,E194,I194)</f>
        <v/>
      </c>
      <c r="C194" s="8" t="n">
        <v>900006745</v>
      </c>
      <c r="D194" s="7">
        <f>IFERROR(VLOOKUP(C194,TRAOPE!$G:$H,2,0),"")</f>
        <v/>
      </c>
      <c r="E194" s="8" t="inlineStr">
        <is>
          <t>DW55</t>
        </is>
      </c>
      <c r="F194" s="8" t="inlineStr">
        <is>
          <t>ER68</t>
        </is>
      </c>
      <c r="G194" s="8">
        <f>IFERROR(VLOOKUP(A194,Flete!$A:$E,5,0),"")</f>
        <v/>
      </c>
      <c r="H194" s="7">
        <f>IFERROR(VLOOKUP(F194,TRAOPE!$AA:$AB,2,0),"")</f>
        <v/>
      </c>
      <c r="I194" s="7" t="n">
        <v>10000372</v>
      </c>
      <c r="J194" s="7">
        <f>IFERROR(VLOOKUP(I194,Materiales!$A:$H,8,0),"")</f>
        <v/>
      </c>
      <c r="K194" s="9">
        <f>IFERROR(VLOOKUP(I194,Materiales!$A:$G,7,0),"")</f>
        <v/>
      </c>
      <c r="L194" s="8" t="inlineStr">
        <is>
          <t>20230111</t>
        </is>
      </c>
      <c r="M194" s="8" t="inlineStr">
        <is>
          <t>20230608</t>
        </is>
      </c>
      <c r="N194" s="10" t="n">
        <v>193.37</v>
      </c>
      <c r="O194" s="10">
        <f>IFERROR(VLOOKUP(A194,Flete!$A:$J,10,0),"")</f>
        <v/>
      </c>
      <c r="P194" s="8" t="inlineStr">
        <is>
          <t>TN</t>
        </is>
      </c>
      <c r="Q194" s="10">
        <f>IFERROR(IFERROR(VLOOKUP(A194,TRAOPE!$A:$U,21,0),VLOOKUP(B194,TRAOPE!$A:$U,21,0)),"")</f>
        <v/>
      </c>
      <c r="R194" s="8">
        <f>IFERROR(IFERROR(VLOOKUP(A194,TRAOPE!$A:$W,23,0),VLOOKUP(B194,TRAOPE!$A:$W,23,0)),"")</f>
        <v/>
      </c>
      <c r="S194" s="10">
        <f>IF(AND(P194="TN",R194="TN"),N194+N(O194),IF(G194&amp;""="1",N(K194)*N194,(N194+N(O194))*N(K194)))</f>
        <v/>
      </c>
      <c r="T194" s="10">
        <f>IF(Q194="","",Q194-S194)</f>
        <v/>
      </c>
    </row>
    <row r="195">
      <c r="A195" s="7">
        <f>CONCATENATE(C195,E195,F195,I195)</f>
        <v/>
      </c>
      <c r="B195" s="7">
        <f>CONCATENATE(C195,E195,I195)</f>
        <v/>
      </c>
      <c r="C195" s="8" t="n">
        <v>900006813</v>
      </c>
      <c r="D195" s="7">
        <f>IFERROR(VLOOKUP(C195,TRAOPE!$G:$H,2,0),"")</f>
        <v/>
      </c>
      <c r="E195" s="8" t="inlineStr">
        <is>
          <t>DW55</t>
        </is>
      </c>
      <c r="F195" s="8" t="inlineStr">
        <is>
          <t>ER67</t>
        </is>
      </c>
      <c r="G195" s="8">
        <f>IFERROR(VLOOKUP(A195,Flete!$A:$E,5,0),"")</f>
        <v/>
      </c>
      <c r="H195" s="7">
        <f>IFERROR(VLOOKUP(F195,TRAOPE!$AA:$AB,2,0),"")</f>
        <v/>
      </c>
      <c r="I195" s="7" t="n">
        <v>10000834</v>
      </c>
      <c r="J195" s="7">
        <f>IFERROR(VLOOKUP(I195,Materiales!$A:$H,8,0),"")</f>
        <v/>
      </c>
      <c r="K195" s="9">
        <f>IFERROR(VLOOKUP(I195,Materiales!$A:$G,7,0),"")</f>
        <v/>
      </c>
      <c r="L195" s="8" t="inlineStr">
        <is>
          <t>20220504</t>
        </is>
      </c>
      <c r="M195" s="8" t="inlineStr">
        <is>
          <t>20230127</t>
        </is>
      </c>
      <c r="N195" s="10" t="n">
        <v>43.21</v>
      </c>
      <c r="O195" s="10">
        <f>IFERROR(VLOOKUP(A195,Flete!$A:$J,10,0),"")</f>
        <v/>
      </c>
      <c r="P195" s="8" t="inlineStr">
        <is>
          <t>TN</t>
        </is>
      </c>
      <c r="Q195" s="10">
        <f>IFERROR(IFERROR(VLOOKUP(A195,TRAOPE!$A:$U,21,0),VLOOKUP(B195,TRAOPE!$A:$U,21,0)),"")</f>
        <v/>
      </c>
      <c r="R195" s="8">
        <f>IFERROR(IFERROR(VLOOKUP(A195,TRAOPE!$A:$W,23,0),VLOOKUP(B195,TRAOPE!$A:$W,23,0)),"")</f>
        <v/>
      </c>
      <c r="S195" s="10">
        <f>IF(AND(P195="TN",R195="TN"),N195+N(O195),IF(G195&amp;""="1",N(K195)*N195,(N195+N(O195))*N(K195)))</f>
        <v/>
      </c>
      <c r="T195" s="10">
        <f>IF(Q195="","",Q195-S195)</f>
        <v/>
      </c>
    </row>
    <row r="196">
      <c r="A196" s="7">
        <f>CONCATENATE(C196,E196,F196,I196)</f>
        <v/>
      </c>
      <c r="B196" s="7">
        <f>CONCATENATE(C196,E196,I196)</f>
        <v/>
      </c>
      <c r="C196" s="8" t="n">
        <v>900006813</v>
      </c>
      <c r="D196" s="7">
        <f>IFERROR(VLOOKUP(C196,TRAOPE!$G:$H,2,0),"")</f>
        <v/>
      </c>
      <c r="E196" s="8" t="inlineStr">
        <is>
          <t>DW55</t>
        </is>
      </c>
      <c r="F196" s="8" t="inlineStr">
        <is>
          <t>ER67</t>
        </is>
      </c>
      <c r="G196" s="8">
        <f>IFERROR(VLOOKUP(A196,Flete!$A:$E,5,0),"")</f>
        <v/>
      </c>
      <c r="H196" s="7">
        <f>IFERROR(VLOOKUP(F196,TRAOPE!$AA:$AB,2,0),"")</f>
        <v/>
      </c>
      <c r="I196" s="7" t="n">
        <v>10210039</v>
      </c>
      <c r="J196" s="7">
        <f>IFERROR(VLOOKUP(I196,Materiales!$A:$H,8,0),"")</f>
        <v/>
      </c>
      <c r="K196" s="9">
        <f>IFERROR(VLOOKUP(I196,Materiales!$A:$G,7,0),"")</f>
        <v/>
      </c>
      <c r="L196" s="8" t="inlineStr">
        <is>
          <t>20220504</t>
        </is>
      </c>
      <c r="M196" s="8" t="inlineStr">
        <is>
          <t>20230127</t>
        </is>
      </c>
      <c r="N196" s="10" t="n">
        <v>36.86</v>
      </c>
      <c r="O196" s="10">
        <f>IFERROR(VLOOKUP(A196,Flete!$A:$J,10,0),"")</f>
        <v/>
      </c>
      <c r="P196" s="8" t="inlineStr">
        <is>
          <t>TN</t>
        </is>
      </c>
      <c r="Q196" s="10">
        <f>IFERROR(IFERROR(VLOOKUP(A196,TRAOPE!$A:$U,21,0),VLOOKUP(B196,TRAOPE!$A:$U,21,0)),"")</f>
        <v/>
      </c>
      <c r="R196" s="8">
        <f>IFERROR(IFERROR(VLOOKUP(A196,TRAOPE!$A:$W,23,0),VLOOKUP(B196,TRAOPE!$A:$W,23,0)),"")</f>
        <v/>
      </c>
      <c r="S196" s="10">
        <f>IF(AND(P196="TN",R196="TN"),N196+N(O196),IF(G196&amp;""="1",N(K196)*N196,(N196+N(O196))*N(K196)))</f>
        <v/>
      </c>
      <c r="T196" s="10">
        <f>IF(Q196="","",Q196-S196)</f>
        <v/>
      </c>
    </row>
    <row r="197">
      <c r="A197" s="7">
        <f>CONCATENATE(C197,E197,F197,I197)</f>
        <v/>
      </c>
      <c r="B197" s="7">
        <f>CONCATENATE(C197,E197,I197)</f>
        <v/>
      </c>
      <c r="C197" s="8" t="n">
        <v>900006813</v>
      </c>
      <c r="D197" s="7">
        <f>IFERROR(VLOOKUP(C197,TRAOPE!$G:$H,2,0),"")</f>
        <v/>
      </c>
      <c r="E197" s="8" t="inlineStr">
        <is>
          <t>DW55</t>
        </is>
      </c>
      <c r="F197" s="8" t="inlineStr">
        <is>
          <t>ER68</t>
        </is>
      </c>
      <c r="G197" s="8">
        <f>IFERROR(VLOOKUP(A197,Flete!$A:$E,5,0),"")</f>
        <v/>
      </c>
      <c r="H197" s="7">
        <f>IFERROR(VLOOKUP(F197,TRAOPE!$AA:$AB,2,0),"")</f>
        <v/>
      </c>
      <c r="I197" s="7" t="n">
        <v>10210039</v>
      </c>
      <c r="J197" s="7">
        <f>IFERROR(VLOOKUP(I197,Materiales!$A:$H,8,0),"")</f>
        <v/>
      </c>
      <c r="K197" s="9">
        <f>IFERROR(VLOOKUP(I197,Materiales!$A:$G,7,0),"")</f>
        <v/>
      </c>
      <c r="L197" s="8" t="inlineStr">
        <is>
          <t>20220501</t>
        </is>
      </c>
      <c r="M197" s="8" t="inlineStr">
        <is>
          <t>20241015</t>
        </is>
      </c>
      <c r="N197" s="10" t="n">
        <v>40.4</v>
      </c>
      <c r="O197" s="10">
        <f>IFERROR(VLOOKUP(A197,Flete!$A:$J,10,0),"")</f>
        <v/>
      </c>
      <c r="P197" s="8" t="inlineStr">
        <is>
          <t>TN</t>
        </is>
      </c>
      <c r="Q197" s="10">
        <f>IFERROR(IFERROR(VLOOKUP(A197,TRAOPE!$A:$U,21,0),VLOOKUP(B197,TRAOPE!$A:$U,21,0)),"")</f>
        <v/>
      </c>
      <c r="R197" s="8">
        <f>IFERROR(IFERROR(VLOOKUP(A197,TRAOPE!$A:$W,23,0),VLOOKUP(B197,TRAOPE!$A:$W,23,0)),"")</f>
        <v/>
      </c>
      <c r="S197" s="10">
        <f>IF(AND(P197="TN",R197="TN"),N197+N(O197),IF(G197&amp;""="1",N(K197)*N197,(N197+N(O197))*N(K197)))</f>
        <v/>
      </c>
      <c r="T197" s="10">
        <f>IF(Q197="","",Q197-S197)</f>
        <v/>
      </c>
    </row>
    <row r="198">
      <c r="A198" s="7">
        <f>CONCATENATE(C198,E198,F198,I198)</f>
        <v/>
      </c>
      <c r="B198" s="7">
        <f>CONCATENATE(C198,E198,I198)</f>
        <v/>
      </c>
      <c r="C198" s="8" t="n">
        <v>900006814</v>
      </c>
      <c r="D198" s="7">
        <f>IFERROR(VLOOKUP(C198,TRAOPE!$G:$H,2,0),"")</f>
        <v/>
      </c>
      <c r="E198" s="8" t="inlineStr">
        <is>
          <t>DW55</t>
        </is>
      </c>
      <c r="F198" s="8" t="inlineStr">
        <is>
          <t>ER67</t>
        </is>
      </c>
      <c r="G198" s="8">
        <f>IFERROR(VLOOKUP(A198,Flete!$A:$E,5,0),"")</f>
        <v/>
      </c>
      <c r="H198" s="7">
        <f>IFERROR(VLOOKUP(F198,TRAOPE!$AA:$AB,2,0),"")</f>
        <v/>
      </c>
      <c r="I198" s="7" t="n">
        <v>10210039</v>
      </c>
      <c r="J198" s="7">
        <f>IFERROR(VLOOKUP(I198,Materiales!$A:$H,8,0),"")</f>
        <v/>
      </c>
      <c r="K198" s="9">
        <f>IFERROR(VLOOKUP(I198,Materiales!$A:$G,7,0),"")</f>
        <v/>
      </c>
      <c r="L198" s="8" t="inlineStr">
        <is>
          <t>20220504</t>
        </is>
      </c>
      <c r="M198" s="8" t="inlineStr">
        <is>
          <t>20230127</t>
        </is>
      </c>
      <c r="N198" s="10" t="n">
        <v>37.04</v>
      </c>
      <c r="O198" s="10">
        <f>IFERROR(VLOOKUP(A198,Flete!$A:$J,10,0),"")</f>
        <v/>
      </c>
      <c r="P198" s="8" t="inlineStr">
        <is>
          <t>TN</t>
        </is>
      </c>
      <c r="Q198" s="10">
        <f>IFERROR(IFERROR(VLOOKUP(A198,TRAOPE!$A:$U,21,0),VLOOKUP(B198,TRAOPE!$A:$U,21,0)),"")</f>
        <v/>
      </c>
      <c r="R198" s="8">
        <f>IFERROR(IFERROR(VLOOKUP(A198,TRAOPE!$A:$W,23,0),VLOOKUP(B198,TRAOPE!$A:$W,23,0)),"")</f>
        <v/>
      </c>
      <c r="S198" s="10">
        <f>IF(AND(P198="TN",R198="TN"),N198+N(O198),IF(G198&amp;""="1",N(K198)*N198,(N198+N(O198))*N(K198)))</f>
        <v/>
      </c>
      <c r="T198" s="10">
        <f>IF(Q198="","",Q198-S198)</f>
        <v/>
      </c>
    </row>
    <row r="199">
      <c r="A199" s="7">
        <f>CONCATENATE(C199,E199,F199,I199)</f>
        <v/>
      </c>
      <c r="B199" s="7">
        <f>CONCATENATE(C199,E199,I199)</f>
        <v/>
      </c>
      <c r="C199" s="8" t="n">
        <v>900006814</v>
      </c>
      <c r="D199" s="7">
        <f>IFERROR(VLOOKUP(C199,TRAOPE!$G:$H,2,0),"")</f>
        <v/>
      </c>
      <c r="E199" s="8" t="inlineStr">
        <is>
          <t>DW55</t>
        </is>
      </c>
      <c r="F199" s="8" t="inlineStr">
        <is>
          <t>ER67</t>
        </is>
      </c>
      <c r="G199" s="8">
        <f>IFERROR(VLOOKUP(A199,Flete!$A:$E,5,0),"")</f>
        <v/>
      </c>
      <c r="H199" s="7">
        <f>IFERROR(VLOOKUP(F199,TRAOPE!$AA:$AB,2,0),"")</f>
        <v/>
      </c>
      <c r="I199" s="7" t="n">
        <v>10210260</v>
      </c>
      <c r="J199" s="7">
        <f>IFERROR(VLOOKUP(I199,Materiales!$A:$H,8,0),"")</f>
        <v/>
      </c>
      <c r="K199" s="9">
        <f>IFERROR(VLOOKUP(I199,Materiales!$A:$G,7,0),"")</f>
        <v/>
      </c>
      <c r="L199" s="8" t="inlineStr">
        <is>
          <t>20220504</t>
        </is>
      </c>
      <c r="M199" s="8" t="inlineStr">
        <is>
          <t>20230127</t>
        </is>
      </c>
      <c r="N199" s="10" t="n">
        <v>174.38</v>
      </c>
      <c r="O199" s="10">
        <f>IFERROR(VLOOKUP(A199,Flete!$A:$J,10,0),"")</f>
        <v/>
      </c>
      <c r="P199" s="8" t="inlineStr">
        <is>
          <t>TN</t>
        </is>
      </c>
      <c r="Q199" s="10">
        <f>IFERROR(IFERROR(VLOOKUP(A199,TRAOPE!$A:$U,21,0),VLOOKUP(B199,TRAOPE!$A:$U,21,0)),"")</f>
        <v/>
      </c>
      <c r="R199" s="8">
        <f>IFERROR(IFERROR(VLOOKUP(A199,TRAOPE!$A:$W,23,0),VLOOKUP(B199,TRAOPE!$A:$W,23,0)),"")</f>
        <v/>
      </c>
      <c r="S199" s="10">
        <f>IF(AND(P199="TN",R199="TN"),N199+N(O199),IF(G199&amp;""="1",N(K199)*N199,(N199+N(O199))*N(K199)))</f>
        <v/>
      </c>
      <c r="T199" s="10">
        <f>IF(Q199="","",Q199-S199)</f>
        <v/>
      </c>
    </row>
    <row r="200">
      <c r="A200" s="7">
        <f>CONCATENATE(C200,E200,F200,I200)</f>
        <v/>
      </c>
      <c r="B200" s="7">
        <f>CONCATENATE(C200,E200,I200)</f>
        <v/>
      </c>
      <c r="C200" s="8" t="n">
        <v>900006814</v>
      </c>
      <c r="D200" s="7">
        <f>IFERROR(VLOOKUP(C200,TRAOPE!$G:$H,2,0),"")</f>
        <v/>
      </c>
      <c r="E200" s="8" t="inlineStr">
        <is>
          <t>DW55</t>
        </is>
      </c>
      <c r="F200" s="8" t="inlineStr">
        <is>
          <t>ER68</t>
        </is>
      </c>
      <c r="G200" s="8">
        <f>IFERROR(VLOOKUP(A200,Flete!$A:$E,5,0),"")</f>
        <v/>
      </c>
      <c r="H200" s="7">
        <f>IFERROR(VLOOKUP(F200,TRAOPE!$AA:$AB,2,0),"")</f>
        <v/>
      </c>
      <c r="I200" s="7" t="n">
        <v>10210039</v>
      </c>
      <c r="J200" s="7">
        <f>IFERROR(VLOOKUP(I200,Materiales!$A:$H,8,0),"")</f>
        <v/>
      </c>
      <c r="K200" s="9">
        <f>IFERROR(VLOOKUP(I200,Materiales!$A:$G,7,0),"")</f>
        <v/>
      </c>
      <c r="L200" s="8" t="inlineStr">
        <is>
          <t>20240122</t>
        </is>
      </c>
      <c r="M200" s="8" t="inlineStr">
        <is>
          <t>20241015</t>
        </is>
      </c>
      <c r="N200" s="10" t="n">
        <v>37.04</v>
      </c>
      <c r="O200" s="10">
        <f>IFERROR(VLOOKUP(A200,Flete!$A:$J,10,0),"")</f>
        <v/>
      </c>
      <c r="P200" s="8" t="inlineStr">
        <is>
          <t>TN</t>
        </is>
      </c>
      <c r="Q200" s="10">
        <f>IFERROR(IFERROR(VLOOKUP(A200,TRAOPE!$A:$U,21,0),VLOOKUP(B200,TRAOPE!$A:$U,21,0)),"")</f>
        <v/>
      </c>
      <c r="R200" s="8">
        <f>IFERROR(IFERROR(VLOOKUP(A200,TRAOPE!$A:$W,23,0),VLOOKUP(B200,TRAOPE!$A:$W,23,0)),"")</f>
        <v/>
      </c>
      <c r="S200" s="10">
        <f>IF(AND(P200="TN",R200="TN"),N200+N(O200),IF(G200&amp;""="1",N(K200)*N200,(N200+N(O200))*N(K200)))</f>
        <v/>
      </c>
      <c r="T200" s="10">
        <f>IF(Q200="","",Q200-S200)</f>
        <v/>
      </c>
    </row>
    <row r="201">
      <c r="A201" s="7">
        <f>CONCATENATE(C201,E201,F201,I201)</f>
        <v/>
      </c>
      <c r="B201" s="7">
        <f>CONCATENATE(C201,E201,I201)</f>
        <v/>
      </c>
      <c r="C201" s="8" t="n">
        <v>900006814</v>
      </c>
      <c r="D201" s="7">
        <f>IFERROR(VLOOKUP(C201,TRAOPE!$G:$H,2,0),"")</f>
        <v/>
      </c>
      <c r="E201" s="8" t="inlineStr">
        <is>
          <t>DW55</t>
        </is>
      </c>
      <c r="F201" s="8" t="inlineStr">
        <is>
          <t>ER68</t>
        </is>
      </c>
      <c r="G201" s="8">
        <f>IFERROR(VLOOKUP(A201,Flete!$A:$E,5,0),"")</f>
        <v/>
      </c>
      <c r="H201" s="7">
        <f>IFERROR(VLOOKUP(F201,TRAOPE!$AA:$AB,2,0),"")</f>
        <v/>
      </c>
      <c r="I201" s="7" t="n">
        <v>10210260</v>
      </c>
      <c r="J201" s="7">
        <f>IFERROR(VLOOKUP(I201,Materiales!$A:$H,8,0),"")</f>
        <v/>
      </c>
      <c r="K201" s="9">
        <f>IFERROR(VLOOKUP(I201,Materiales!$A:$G,7,0),"")</f>
        <v/>
      </c>
      <c r="L201" s="8" t="inlineStr">
        <is>
          <t>20240122</t>
        </is>
      </c>
      <c r="M201" s="8" t="inlineStr">
        <is>
          <t>20241015</t>
        </is>
      </c>
      <c r="N201" s="10" t="n">
        <v>174.38</v>
      </c>
      <c r="O201" s="10">
        <f>IFERROR(VLOOKUP(A201,Flete!$A:$J,10,0),"")</f>
        <v/>
      </c>
      <c r="P201" s="8" t="inlineStr">
        <is>
          <t>TN</t>
        </is>
      </c>
      <c r="Q201" s="10">
        <f>IFERROR(IFERROR(VLOOKUP(A201,TRAOPE!$A:$U,21,0),VLOOKUP(B201,TRAOPE!$A:$U,21,0)),"")</f>
        <v/>
      </c>
      <c r="R201" s="8">
        <f>IFERROR(IFERROR(VLOOKUP(A201,TRAOPE!$A:$W,23,0),VLOOKUP(B201,TRAOPE!$A:$W,23,0)),"")</f>
        <v/>
      </c>
      <c r="S201" s="10">
        <f>IF(AND(P201="TN",R201="TN"),N201+N(O201),IF(G201&amp;""="1",N(K201)*N201,(N201+N(O201))*N(K201)))</f>
        <v/>
      </c>
      <c r="T201" s="10">
        <f>IF(Q201="","",Q201-S201)</f>
        <v/>
      </c>
    </row>
    <row r="202">
      <c r="A202" s="7">
        <f>CONCATENATE(C202,E202,F202,I202)</f>
        <v/>
      </c>
      <c r="B202" s="7">
        <f>CONCATENATE(C202,E202,I202)</f>
        <v/>
      </c>
      <c r="C202" s="8" t="n">
        <v>900006829</v>
      </c>
      <c r="D202" s="7">
        <f>IFERROR(VLOOKUP(C202,TRAOPE!$G:$H,2,0),"")</f>
        <v/>
      </c>
      <c r="E202" s="8" t="inlineStr">
        <is>
          <t>DW55</t>
        </is>
      </c>
      <c r="F202" s="8" t="inlineStr">
        <is>
          <t>ER67</t>
        </is>
      </c>
      <c r="G202" s="8">
        <f>IFERROR(VLOOKUP(A202,Flete!$A:$E,5,0),"")</f>
        <v/>
      </c>
      <c r="H202" s="7">
        <f>IFERROR(VLOOKUP(F202,TRAOPE!$AA:$AB,2,0),"")</f>
        <v/>
      </c>
      <c r="I202" s="7" t="n">
        <v>10000834</v>
      </c>
      <c r="J202" s="7">
        <f>IFERROR(VLOOKUP(I202,Materiales!$A:$H,8,0),"")</f>
        <v/>
      </c>
      <c r="K202" s="9">
        <f>IFERROR(VLOOKUP(I202,Materiales!$A:$G,7,0),"")</f>
        <v/>
      </c>
      <c r="L202" s="8" t="inlineStr">
        <is>
          <t>20220504</t>
        </is>
      </c>
      <c r="M202" s="8" t="inlineStr">
        <is>
          <t>20230127</t>
        </is>
      </c>
      <c r="N202" s="10" t="n">
        <v>38.04</v>
      </c>
      <c r="O202" s="10">
        <f>IFERROR(VLOOKUP(A202,Flete!$A:$J,10,0),"")</f>
        <v/>
      </c>
      <c r="P202" s="8" t="inlineStr">
        <is>
          <t>TN</t>
        </is>
      </c>
      <c r="Q202" s="10">
        <f>IFERROR(IFERROR(VLOOKUP(A202,TRAOPE!$A:$U,21,0),VLOOKUP(B202,TRAOPE!$A:$U,21,0)),"")</f>
        <v/>
      </c>
      <c r="R202" s="8">
        <f>IFERROR(IFERROR(VLOOKUP(A202,TRAOPE!$A:$W,23,0),VLOOKUP(B202,TRAOPE!$A:$W,23,0)),"")</f>
        <v/>
      </c>
      <c r="S202" s="10">
        <f>IF(AND(P202="TN",R202="TN"),N202+N(O202),IF(G202&amp;""="1",N(K202)*N202,(N202+N(O202))*N(K202)))</f>
        <v/>
      </c>
      <c r="T202" s="10">
        <f>IF(Q202="","",Q202-S202)</f>
        <v/>
      </c>
    </row>
    <row r="203">
      <c r="A203" s="7">
        <f>CONCATENATE(C203,E203,F203,I203)</f>
        <v/>
      </c>
      <c r="B203" s="7">
        <f>CONCATENATE(C203,E203,I203)</f>
        <v/>
      </c>
      <c r="C203" s="8" t="n">
        <v>900006853</v>
      </c>
      <c r="D203" s="7">
        <f>IFERROR(VLOOKUP(C203,TRAOPE!$G:$H,2,0),"")</f>
        <v/>
      </c>
      <c r="E203" s="8" t="inlineStr">
        <is>
          <t>DW55</t>
        </is>
      </c>
      <c r="F203" s="8" t="inlineStr">
        <is>
          <t>D284</t>
        </is>
      </c>
      <c r="G203" s="8">
        <f>IFERROR(VLOOKUP(A203,Flete!$A:$E,5,0),"")</f>
        <v/>
      </c>
      <c r="H203" s="7">
        <f>IFERROR(VLOOKUP(F203,TRAOPE!$AA:$AB,2,0),"")</f>
        <v/>
      </c>
      <c r="I203" s="7" t="n">
        <v>10049559</v>
      </c>
      <c r="J203" s="7">
        <f>IFERROR(VLOOKUP(I203,Materiales!$A:$H,8,0),"")</f>
        <v/>
      </c>
      <c r="K203" s="9">
        <f>IFERROR(VLOOKUP(I203,Materiales!$A:$G,7,0),"")</f>
        <v/>
      </c>
      <c r="L203" s="8" t="inlineStr">
        <is>
          <t>20220504</t>
        </is>
      </c>
      <c r="M203" s="8" t="inlineStr">
        <is>
          <t>20230127</t>
        </is>
      </c>
      <c r="N203" s="10" t="n">
        <v>156.48</v>
      </c>
      <c r="O203" s="10">
        <f>IFERROR(VLOOKUP(A203,Flete!$A:$J,10,0),"")</f>
        <v/>
      </c>
      <c r="P203" s="8" t="inlineStr">
        <is>
          <t>TN</t>
        </is>
      </c>
      <c r="Q203" s="10">
        <f>IFERROR(IFERROR(VLOOKUP(A203,TRAOPE!$A:$U,21,0),VLOOKUP(B203,TRAOPE!$A:$U,21,0)),"")</f>
        <v/>
      </c>
      <c r="R203" s="8">
        <f>IFERROR(IFERROR(VLOOKUP(A203,TRAOPE!$A:$W,23,0),VLOOKUP(B203,TRAOPE!$A:$W,23,0)),"")</f>
        <v/>
      </c>
      <c r="S203" s="10">
        <f>IF(AND(P203="TN",R203="TN"),N203+N(O203),IF(G203&amp;""="1",N(K203)*N203,(N203+N(O203))*N(K203)))</f>
        <v/>
      </c>
      <c r="T203" s="10">
        <f>IF(Q203="","",Q203-S203)</f>
        <v/>
      </c>
    </row>
    <row r="204">
      <c r="A204" s="7">
        <f>CONCATENATE(C204,E204,F204,I204)</f>
        <v/>
      </c>
      <c r="B204" s="7">
        <f>CONCATENATE(C204,E204,I204)</f>
        <v/>
      </c>
      <c r="C204" s="8" t="n">
        <v>900006853</v>
      </c>
      <c r="D204" s="7">
        <f>IFERROR(VLOOKUP(C204,TRAOPE!$G:$H,2,0),"")</f>
        <v/>
      </c>
      <c r="E204" s="8" t="inlineStr">
        <is>
          <t>DW55</t>
        </is>
      </c>
      <c r="F204" s="8" t="inlineStr">
        <is>
          <t>D284</t>
        </is>
      </c>
      <c r="G204" s="8">
        <f>IFERROR(VLOOKUP(A204,Flete!$A:$E,5,0),"")</f>
        <v/>
      </c>
      <c r="H204" s="7">
        <f>IFERROR(VLOOKUP(F204,TRAOPE!$AA:$AB,2,0),"")</f>
        <v/>
      </c>
      <c r="I204" s="7" t="n">
        <v>10189800</v>
      </c>
      <c r="J204" s="7">
        <f>IFERROR(VLOOKUP(I204,Materiales!$A:$H,8,0),"")</f>
        <v/>
      </c>
      <c r="K204" s="9">
        <f>IFERROR(VLOOKUP(I204,Materiales!$A:$G,7,0),"")</f>
        <v/>
      </c>
      <c r="L204" s="8" t="inlineStr">
        <is>
          <t>20220504</t>
        </is>
      </c>
      <c r="M204" s="8" t="inlineStr">
        <is>
          <t>20230127</t>
        </is>
      </c>
      <c r="N204" s="10" t="n">
        <v>161.54</v>
      </c>
      <c r="O204" s="10">
        <f>IFERROR(VLOOKUP(A204,Flete!$A:$J,10,0),"")</f>
        <v/>
      </c>
      <c r="P204" s="8" t="inlineStr">
        <is>
          <t>TN</t>
        </is>
      </c>
      <c r="Q204" s="10">
        <f>IFERROR(IFERROR(VLOOKUP(A204,TRAOPE!$A:$U,21,0),VLOOKUP(B204,TRAOPE!$A:$U,21,0)),"")</f>
        <v/>
      </c>
      <c r="R204" s="8">
        <f>IFERROR(IFERROR(VLOOKUP(A204,TRAOPE!$A:$W,23,0),VLOOKUP(B204,TRAOPE!$A:$W,23,0)),"")</f>
        <v/>
      </c>
      <c r="S204" s="10">
        <f>IF(AND(P204="TN",R204="TN"),N204+N(O204),IF(G204&amp;""="1",N(K204)*N204,(N204+N(O204))*N(K204)))</f>
        <v/>
      </c>
      <c r="T204" s="10">
        <f>IF(Q204="","",Q204-S204)</f>
        <v/>
      </c>
    </row>
    <row r="205">
      <c r="A205" s="7">
        <f>CONCATENATE(C205,E205,F205,I205)</f>
        <v/>
      </c>
      <c r="B205" s="7">
        <f>CONCATENATE(C205,E205,I205)</f>
        <v/>
      </c>
      <c r="C205" s="8" t="n">
        <v>900006855</v>
      </c>
      <c r="D205" s="7">
        <f>IFERROR(VLOOKUP(C205,TRAOPE!$G:$H,2,0),"")</f>
        <v/>
      </c>
      <c r="E205" s="8" t="inlineStr">
        <is>
          <t>DW55</t>
        </is>
      </c>
      <c r="F205" s="8" t="inlineStr">
        <is>
          <t>ER67</t>
        </is>
      </c>
      <c r="G205" s="8">
        <f>IFERROR(VLOOKUP(A205,Flete!$A:$E,5,0),"")</f>
        <v/>
      </c>
      <c r="H205" s="7">
        <f>IFERROR(VLOOKUP(F205,TRAOPE!$AA:$AB,2,0),"")</f>
        <v/>
      </c>
      <c r="I205" s="7" t="n">
        <v>10000834</v>
      </c>
      <c r="J205" s="7">
        <f>IFERROR(VLOOKUP(I205,Materiales!$A:$H,8,0),"")</f>
        <v/>
      </c>
      <c r="K205" s="9">
        <f>IFERROR(VLOOKUP(I205,Materiales!$A:$G,7,0),"")</f>
        <v/>
      </c>
      <c r="L205" s="8" t="inlineStr">
        <is>
          <t>20220504</t>
        </is>
      </c>
      <c r="M205" s="8" t="inlineStr">
        <is>
          <t>20230127</t>
        </is>
      </c>
      <c r="N205" s="10" t="n">
        <v>45.37</v>
      </c>
      <c r="O205" s="10">
        <f>IFERROR(VLOOKUP(A205,Flete!$A:$J,10,0),"")</f>
        <v/>
      </c>
      <c r="P205" s="8" t="inlineStr">
        <is>
          <t>TN</t>
        </is>
      </c>
      <c r="Q205" s="10">
        <f>IFERROR(IFERROR(VLOOKUP(A205,TRAOPE!$A:$U,21,0),VLOOKUP(B205,TRAOPE!$A:$U,21,0)),"")</f>
        <v/>
      </c>
      <c r="R205" s="8">
        <f>IFERROR(IFERROR(VLOOKUP(A205,TRAOPE!$A:$W,23,0),VLOOKUP(B205,TRAOPE!$A:$W,23,0)),"")</f>
        <v/>
      </c>
      <c r="S205" s="10">
        <f>IF(AND(P205="TN",R205="TN"),N205+N(O205),IF(G205&amp;""="1",N(K205)*N205,(N205+N(O205))*N(K205)))</f>
        <v/>
      </c>
      <c r="T205" s="10">
        <f>IF(Q205="","",Q205-S205)</f>
        <v/>
      </c>
    </row>
    <row r="206">
      <c r="A206" s="7">
        <f>CONCATENATE(C206,E206,F206,I206)</f>
        <v/>
      </c>
      <c r="B206" s="7">
        <f>CONCATENATE(C206,E206,I206)</f>
        <v/>
      </c>
      <c r="C206" s="8" t="n">
        <v>900006856</v>
      </c>
      <c r="D206" s="7">
        <f>IFERROR(VLOOKUP(C206,TRAOPE!$G:$H,2,0),"")</f>
        <v/>
      </c>
      <c r="E206" s="8" t="inlineStr">
        <is>
          <t>DW55</t>
        </is>
      </c>
      <c r="F206" s="8" t="inlineStr">
        <is>
          <t>D348</t>
        </is>
      </c>
      <c r="G206" s="8">
        <f>IFERROR(VLOOKUP(A206,Flete!$A:$E,5,0),"")</f>
        <v/>
      </c>
      <c r="H206" s="7">
        <f>IFERROR(VLOOKUP(F206,TRAOPE!$AA:$AB,2,0),"")</f>
        <v/>
      </c>
      <c r="I206" s="7" t="n">
        <v>10000561</v>
      </c>
      <c r="J206" s="7">
        <f>IFERROR(VLOOKUP(I206,Materiales!$A:$H,8,0),"")</f>
        <v/>
      </c>
      <c r="K206" s="9">
        <f>IFERROR(VLOOKUP(I206,Materiales!$A:$G,7,0),"")</f>
        <v/>
      </c>
      <c r="L206" s="8" t="inlineStr">
        <is>
          <t>20220614</t>
        </is>
      </c>
      <c r="M206" s="8" t="inlineStr">
        <is>
          <t>20240716</t>
        </is>
      </c>
      <c r="N206" s="10" t="n">
        <v>125.87</v>
      </c>
      <c r="O206" s="10">
        <f>IFERROR(VLOOKUP(A206,Flete!$A:$J,10,0),"")</f>
        <v/>
      </c>
      <c r="P206" s="8" t="inlineStr">
        <is>
          <t>TN</t>
        </is>
      </c>
      <c r="Q206" s="10">
        <f>IFERROR(IFERROR(VLOOKUP(A206,TRAOPE!$A:$U,21,0),VLOOKUP(B206,TRAOPE!$A:$U,21,0)),"")</f>
        <v/>
      </c>
      <c r="R206" s="8">
        <f>IFERROR(IFERROR(VLOOKUP(A206,TRAOPE!$A:$W,23,0),VLOOKUP(B206,TRAOPE!$A:$W,23,0)),"")</f>
        <v/>
      </c>
      <c r="S206" s="10">
        <f>IF(AND(P206="TN",R206="TN"),N206+N(O206),IF(G206&amp;""="1",N(K206)*N206,(N206+N(O206))*N(K206)))</f>
        <v/>
      </c>
      <c r="T206" s="10">
        <f>IF(Q206="","",Q206-S206)</f>
        <v/>
      </c>
    </row>
    <row r="207">
      <c r="A207" s="7">
        <f>CONCATENATE(C207,E207,F207,I207)</f>
        <v/>
      </c>
      <c r="B207" s="7">
        <f>CONCATENATE(C207,E207,I207)</f>
        <v/>
      </c>
      <c r="C207" s="8" t="n">
        <v>900006856</v>
      </c>
      <c r="D207" s="7">
        <f>IFERROR(VLOOKUP(C207,TRAOPE!$G:$H,2,0),"")</f>
        <v/>
      </c>
      <c r="E207" s="8" t="inlineStr">
        <is>
          <t>DW55</t>
        </is>
      </c>
      <c r="F207" s="8" t="inlineStr">
        <is>
          <t>D348</t>
        </is>
      </c>
      <c r="G207" s="8">
        <f>IFERROR(VLOOKUP(A207,Flete!$A:$E,5,0),"")</f>
        <v/>
      </c>
      <c r="H207" s="7">
        <f>IFERROR(VLOOKUP(F207,TRAOPE!$AA:$AB,2,0),"")</f>
        <v/>
      </c>
      <c r="I207" s="7" t="n">
        <v>10079650</v>
      </c>
      <c r="J207" s="7">
        <f>IFERROR(VLOOKUP(I207,Materiales!$A:$H,8,0),"")</f>
        <v/>
      </c>
      <c r="K207" s="9">
        <f>IFERROR(VLOOKUP(I207,Materiales!$A:$G,7,0),"")</f>
        <v/>
      </c>
      <c r="L207" s="8" t="inlineStr">
        <is>
          <t>20220713</t>
        </is>
      </c>
      <c r="M207" s="8" t="inlineStr">
        <is>
          <t>20240716</t>
        </is>
      </c>
      <c r="N207" s="10" t="n">
        <v>103.59</v>
      </c>
      <c r="O207" s="10">
        <f>IFERROR(VLOOKUP(A207,Flete!$A:$J,10,0),"")</f>
        <v/>
      </c>
      <c r="P207" s="8" t="inlineStr">
        <is>
          <t>TN</t>
        </is>
      </c>
      <c r="Q207" s="10">
        <f>IFERROR(IFERROR(VLOOKUP(A207,TRAOPE!$A:$U,21,0),VLOOKUP(B207,TRAOPE!$A:$U,21,0)),"")</f>
        <v/>
      </c>
      <c r="R207" s="8">
        <f>IFERROR(IFERROR(VLOOKUP(A207,TRAOPE!$A:$W,23,0),VLOOKUP(B207,TRAOPE!$A:$W,23,0)),"")</f>
        <v/>
      </c>
      <c r="S207" s="10">
        <f>IF(AND(P207="TN",R207="TN"),N207+N(O207),IF(G207&amp;""="1",N(K207)*N207,(N207+N(O207))*N(K207)))</f>
        <v/>
      </c>
      <c r="T207" s="10">
        <f>IF(Q207="","",Q207-S207)</f>
        <v/>
      </c>
    </row>
    <row r="208">
      <c r="A208" s="7">
        <f>CONCATENATE(C208,E208,F208,I208)</f>
        <v/>
      </c>
      <c r="B208" s="7">
        <f>CONCATENATE(C208,E208,I208)</f>
        <v/>
      </c>
      <c r="C208" s="8" t="n">
        <v>900006856</v>
      </c>
      <c r="D208" s="7">
        <f>IFERROR(VLOOKUP(C208,TRAOPE!$G:$H,2,0),"")</f>
        <v/>
      </c>
      <c r="E208" s="8" t="inlineStr">
        <is>
          <t>DW55</t>
        </is>
      </c>
      <c r="F208" s="8" t="inlineStr">
        <is>
          <t>D348</t>
        </is>
      </c>
      <c r="G208" s="8">
        <f>IFERROR(VLOOKUP(A208,Flete!$A:$E,5,0),"")</f>
        <v/>
      </c>
      <c r="H208" s="7">
        <f>IFERROR(VLOOKUP(F208,TRAOPE!$AA:$AB,2,0),"")</f>
        <v/>
      </c>
      <c r="I208" s="7" t="n">
        <v>10123034</v>
      </c>
      <c r="J208" s="7">
        <f>IFERROR(VLOOKUP(I208,Materiales!$A:$H,8,0),"")</f>
        <v/>
      </c>
      <c r="K208" s="9">
        <f>IFERROR(VLOOKUP(I208,Materiales!$A:$G,7,0),"")</f>
        <v/>
      </c>
      <c r="L208" s="8" t="inlineStr">
        <is>
          <t>20220614</t>
        </is>
      </c>
      <c r="M208" s="8" t="inlineStr">
        <is>
          <t>20240716</t>
        </is>
      </c>
      <c r="N208" s="10" t="n">
        <v>64.14</v>
      </c>
      <c r="O208" s="10">
        <f>IFERROR(VLOOKUP(A208,Flete!$A:$J,10,0),"")</f>
        <v/>
      </c>
      <c r="P208" s="8" t="inlineStr">
        <is>
          <t>TN</t>
        </is>
      </c>
      <c r="Q208" s="10">
        <f>IFERROR(IFERROR(VLOOKUP(A208,TRAOPE!$A:$U,21,0),VLOOKUP(B208,TRAOPE!$A:$U,21,0)),"")</f>
        <v/>
      </c>
      <c r="R208" s="8">
        <f>IFERROR(IFERROR(VLOOKUP(A208,TRAOPE!$A:$W,23,0),VLOOKUP(B208,TRAOPE!$A:$W,23,0)),"")</f>
        <v/>
      </c>
      <c r="S208" s="10">
        <f>IF(AND(P208="TN",R208="TN"),N208+N(O208),IF(G208&amp;""="1",N(K208)*N208,(N208+N(O208))*N(K208)))</f>
        <v/>
      </c>
      <c r="T208" s="10">
        <f>IF(Q208="","",Q208-S208)</f>
        <v/>
      </c>
    </row>
    <row r="209">
      <c r="A209" s="7">
        <f>CONCATENATE(C209,E209,F209,I209)</f>
        <v/>
      </c>
      <c r="B209" s="7">
        <f>CONCATENATE(C209,E209,I209)</f>
        <v/>
      </c>
      <c r="C209" s="8" t="n">
        <v>900006856</v>
      </c>
      <c r="D209" s="7">
        <f>IFERROR(VLOOKUP(C209,TRAOPE!$G:$H,2,0),"")</f>
        <v/>
      </c>
      <c r="E209" s="8" t="inlineStr">
        <is>
          <t>DW55</t>
        </is>
      </c>
      <c r="F209" s="8" t="inlineStr">
        <is>
          <t>ER67</t>
        </is>
      </c>
      <c r="G209" s="8">
        <f>IFERROR(VLOOKUP(A209,Flete!$A:$E,5,0),"")</f>
        <v/>
      </c>
      <c r="H209" s="7">
        <f>IFERROR(VLOOKUP(F209,TRAOPE!$AA:$AB,2,0),"")</f>
        <v/>
      </c>
      <c r="I209" s="7" t="n">
        <v>10000372</v>
      </c>
      <c r="J209" s="7">
        <f>IFERROR(VLOOKUP(I209,Materiales!$A:$H,8,0),"")</f>
        <v/>
      </c>
      <c r="K209" s="9">
        <f>IFERROR(VLOOKUP(I209,Materiales!$A:$G,7,0),"")</f>
        <v/>
      </c>
      <c r="L209" s="8" t="inlineStr">
        <is>
          <t>20220504</t>
        </is>
      </c>
      <c r="M209" s="8" t="inlineStr">
        <is>
          <t>20230127</t>
        </is>
      </c>
      <c r="N209" s="10" t="n">
        <v>103.59</v>
      </c>
      <c r="O209" s="10">
        <f>IFERROR(VLOOKUP(A209,Flete!$A:$J,10,0),"")</f>
        <v/>
      </c>
      <c r="P209" s="8" t="inlineStr">
        <is>
          <t>TN</t>
        </is>
      </c>
      <c r="Q209" s="10">
        <f>IFERROR(IFERROR(VLOOKUP(A209,TRAOPE!$A:$U,21,0),VLOOKUP(B209,TRAOPE!$A:$U,21,0)),"")</f>
        <v/>
      </c>
      <c r="R209" s="8">
        <f>IFERROR(IFERROR(VLOOKUP(A209,TRAOPE!$A:$W,23,0),VLOOKUP(B209,TRAOPE!$A:$W,23,0)),"")</f>
        <v/>
      </c>
      <c r="S209" s="10">
        <f>IF(AND(P209="TN",R209="TN"),N209+N(O209),IF(G209&amp;""="1",N(K209)*N209,(N209+N(O209))*N(K209)))</f>
        <v/>
      </c>
      <c r="T209" s="10">
        <f>IF(Q209="","",Q209-S209)</f>
        <v/>
      </c>
    </row>
    <row r="210">
      <c r="A210" s="7">
        <f>CONCATENATE(C210,E210,F210,I210)</f>
        <v/>
      </c>
      <c r="B210" s="7">
        <f>CONCATENATE(C210,E210,I210)</f>
        <v/>
      </c>
      <c r="C210" s="8" t="n">
        <v>900006856</v>
      </c>
      <c r="D210" s="7">
        <f>IFERROR(VLOOKUP(C210,TRAOPE!$G:$H,2,0),"")</f>
        <v/>
      </c>
      <c r="E210" s="8" t="inlineStr">
        <is>
          <t>DW55</t>
        </is>
      </c>
      <c r="F210" s="8" t="inlineStr">
        <is>
          <t>ER68</t>
        </is>
      </c>
      <c r="G210" s="8">
        <f>IFERROR(VLOOKUP(A210,Flete!$A:$E,5,0),"")</f>
        <v/>
      </c>
      <c r="H210" s="7">
        <f>IFERROR(VLOOKUP(F210,TRAOPE!$AA:$AB,2,0),"")</f>
        <v/>
      </c>
      <c r="I210" s="7" t="n">
        <v>10000372</v>
      </c>
      <c r="J210" s="7">
        <f>IFERROR(VLOOKUP(I210,Materiales!$A:$H,8,0),"")</f>
        <v/>
      </c>
      <c r="K210" s="9">
        <f>IFERROR(VLOOKUP(I210,Materiales!$A:$G,7,0),"")</f>
        <v/>
      </c>
      <c r="L210" s="8" t="inlineStr">
        <is>
          <t>20220210</t>
        </is>
      </c>
      <c r="M210" s="8" t="inlineStr">
        <is>
          <t>20240716</t>
        </is>
      </c>
      <c r="N210" s="10" t="n">
        <v>103.59</v>
      </c>
      <c r="O210" s="10">
        <f>IFERROR(VLOOKUP(A210,Flete!$A:$J,10,0),"")</f>
        <v/>
      </c>
      <c r="P210" s="8" t="inlineStr">
        <is>
          <t>TN</t>
        </is>
      </c>
      <c r="Q210" s="10">
        <f>IFERROR(IFERROR(VLOOKUP(A210,TRAOPE!$A:$U,21,0),VLOOKUP(B210,TRAOPE!$A:$U,21,0)),"")</f>
        <v/>
      </c>
      <c r="R210" s="8">
        <f>IFERROR(IFERROR(VLOOKUP(A210,TRAOPE!$A:$W,23,0),VLOOKUP(B210,TRAOPE!$A:$W,23,0)),"")</f>
        <v/>
      </c>
      <c r="S210" s="10">
        <f>IF(AND(P210="TN",R210="TN"),N210+N(O210),IF(G210&amp;""="1",N(K210)*N210,(N210+N(O210))*N(K210)))</f>
        <v/>
      </c>
      <c r="T210" s="10">
        <f>IF(Q210="","",Q210-S210)</f>
        <v/>
      </c>
    </row>
    <row r="211">
      <c r="A211" s="7">
        <f>CONCATENATE(C211,E211,F211,I211)</f>
        <v/>
      </c>
      <c r="B211" s="7">
        <f>CONCATENATE(C211,E211,I211)</f>
        <v/>
      </c>
      <c r="C211" s="8" t="n">
        <v>900006947</v>
      </c>
      <c r="D211" s="7">
        <f>IFERROR(VLOOKUP(C211,TRAOPE!$G:$H,2,0),"")</f>
        <v/>
      </c>
      <c r="E211" s="8" t="inlineStr">
        <is>
          <t>DW55</t>
        </is>
      </c>
      <c r="F211" s="8" t="inlineStr">
        <is>
          <t>D325</t>
        </is>
      </c>
      <c r="G211" s="8">
        <f>IFERROR(VLOOKUP(A211,Flete!$A:$E,5,0),"")</f>
        <v/>
      </c>
      <c r="H211" s="7">
        <f>IFERROR(VLOOKUP(F211,TRAOPE!$AA:$AB,2,0),"")</f>
        <v/>
      </c>
      <c r="I211" s="7" t="n">
        <v>10000372</v>
      </c>
      <c r="J211" s="7">
        <f>IFERROR(VLOOKUP(I211,Materiales!$A:$H,8,0),"")</f>
        <v/>
      </c>
      <c r="K211" s="9">
        <f>IFERROR(VLOOKUP(I211,Materiales!$A:$G,7,0),"")</f>
        <v/>
      </c>
      <c r="L211" s="8" t="inlineStr">
        <is>
          <t>20220516</t>
        </is>
      </c>
      <c r="M211" s="8" t="inlineStr">
        <is>
          <t>20240930</t>
        </is>
      </c>
      <c r="N211" s="10" t="n">
        <v>85.15000000000001</v>
      </c>
      <c r="O211" s="10">
        <f>IFERROR(VLOOKUP(A211,Flete!$A:$J,10,0),"")</f>
        <v/>
      </c>
      <c r="P211" s="8" t="inlineStr">
        <is>
          <t>TN</t>
        </is>
      </c>
      <c r="Q211" s="10">
        <f>IFERROR(IFERROR(VLOOKUP(A211,TRAOPE!$A:$U,21,0),VLOOKUP(B211,TRAOPE!$A:$U,21,0)),"")</f>
        <v/>
      </c>
      <c r="R211" s="8">
        <f>IFERROR(IFERROR(VLOOKUP(A211,TRAOPE!$A:$W,23,0),VLOOKUP(B211,TRAOPE!$A:$W,23,0)),"")</f>
        <v/>
      </c>
      <c r="S211" s="10">
        <f>IF(AND(P211="TN",R211="TN"),N211+N(O211),IF(G211&amp;""="1",N(K211)*N211,(N211+N(O211))*N(K211)))</f>
        <v/>
      </c>
      <c r="T211" s="10">
        <f>IF(Q211="","",Q211-S211)</f>
        <v/>
      </c>
    </row>
    <row r="212">
      <c r="A212" s="7">
        <f>CONCATENATE(C212,E212,F212,I212)</f>
        <v/>
      </c>
      <c r="B212" s="7">
        <f>CONCATENATE(C212,E212,I212)</f>
        <v/>
      </c>
      <c r="C212" s="8" t="n">
        <v>900006948</v>
      </c>
      <c r="D212" s="7">
        <f>IFERROR(VLOOKUP(C212,TRAOPE!$G:$H,2,0),"")</f>
        <v/>
      </c>
      <c r="E212" s="8" t="inlineStr">
        <is>
          <t>DW55</t>
        </is>
      </c>
      <c r="F212" s="8" t="inlineStr">
        <is>
          <t>D325</t>
        </is>
      </c>
      <c r="G212" s="8">
        <f>IFERROR(VLOOKUP(A212,Flete!$A:$E,5,0),"")</f>
        <v/>
      </c>
      <c r="H212" s="7">
        <f>IFERROR(VLOOKUP(F212,TRAOPE!$AA:$AB,2,0),"")</f>
        <v/>
      </c>
      <c r="I212" s="7" t="n">
        <v>10000372</v>
      </c>
      <c r="J212" s="7">
        <f>IFERROR(VLOOKUP(I212,Materiales!$A:$H,8,0),"")</f>
        <v/>
      </c>
      <c r="K212" s="9">
        <f>IFERROR(VLOOKUP(I212,Materiales!$A:$G,7,0),"")</f>
        <v/>
      </c>
      <c r="L212" s="8" t="inlineStr">
        <is>
          <t>20230522</t>
        </is>
      </c>
      <c r="M212" s="8" t="inlineStr">
        <is>
          <t>99991231</t>
        </is>
      </c>
      <c r="N212" s="10" t="n">
        <v>141.57</v>
      </c>
      <c r="O212" s="10">
        <f>IFERROR(VLOOKUP(A212,Flete!$A:$J,10,0),"")</f>
        <v/>
      </c>
      <c r="P212" s="8" t="inlineStr">
        <is>
          <t>TN</t>
        </is>
      </c>
      <c r="Q212" s="10">
        <f>IFERROR(IFERROR(VLOOKUP(A212,TRAOPE!$A:$U,21,0),VLOOKUP(B212,TRAOPE!$A:$U,21,0)),"")</f>
        <v/>
      </c>
      <c r="R212" s="8">
        <f>IFERROR(IFERROR(VLOOKUP(A212,TRAOPE!$A:$W,23,0),VLOOKUP(B212,TRAOPE!$A:$W,23,0)),"")</f>
        <v/>
      </c>
      <c r="S212" s="10">
        <f>IF(AND(P212="TN",R212="TN"),N212+N(O212),IF(G212&amp;""="1",N(K212)*N212,(N212+N(O212))*N(K212)))</f>
        <v/>
      </c>
      <c r="T212" s="10">
        <f>IF(Q212="","",Q212-S212)</f>
        <v/>
      </c>
    </row>
    <row r="213">
      <c r="A213" s="7">
        <f>CONCATENATE(C213,E213,F213,I213)</f>
        <v/>
      </c>
      <c r="B213" s="7">
        <f>CONCATENATE(C213,E213,I213)</f>
        <v/>
      </c>
      <c r="C213" s="8" t="n">
        <v>900006948</v>
      </c>
      <c r="D213" s="7">
        <f>IFERROR(VLOOKUP(C213,TRAOPE!$G:$H,2,0),"")</f>
        <v/>
      </c>
      <c r="E213" s="8" t="inlineStr">
        <is>
          <t>DW55</t>
        </is>
      </c>
      <c r="F213" s="8" t="inlineStr">
        <is>
          <t>D325</t>
        </is>
      </c>
      <c r="G213" s="8">
        <f>IFERROR(VLOOKUP(A213,Flete!$A:$E,5,0),"")</f>
        <v/>
      </c>
      <c r="H213" s="7">
        <f>IFERROR(VLOOKUP(F213,TRAOPE!$AA:$AB,2,0),"")</f>
        <v/>
      </c>
      <c r="I213" s="7" t="n">
        <v>10023592</v>
      </c>
      <c r="J213" s="7">
        <f>IFERROR(VLOOKUP(I213,Materiales!$A:$H,8,0),"")</f>
        <v/>
      </c>
      <c r="K213" s="9">
        <f>IFERROR(VLOOKUP(I213,Materiales!$A:$G,7,0),"")</f>
        <v/>
      </c>
      <c r="L213" s="8" t="inlineStr">
        <is>
          <t>20250428</t>
        </is>
      </c>
      <c r="M213" s="8" t="inlineStr">
        <is>
          <t>20251031</t>
        </is>
      </c>
      <c r="N213" s="10" t="n">
        <v>110.62</v>
      </c>
      <c r="O213" s="10">
        <f>IFERROR(VLOOKUP(A213,Flete!$A:$J,10,0),"")</f>
        <v/>
      </c>
      <c r="P213" s="8" t="inlineStr">
        <is>
          <t>TN</t>
        </is>
      </c>
      <c r="Q213" s="10">
        <f>IFERROR(IFERROR(VLOOKUP(A213,TRAOPE!$A:$U,21,0),VLOOKUP(B213,TRAOPE!$A:$U,21,0)),"")</f>
        <v/>
      </c>
      <c r="R213" s="8">
        <f>IFERROR(IFERROR(VLOOKUP(A213,TRAOPE!$A:$W,23,0),VLOOKUP(B213,TRAOPE!$A:$W,23,0)),"")</f>
        <v/>
      </c>
      <c r="S213" s="10">
        <f>IF(AND(P213="TN",R213="TN"),N213+N(O213),IF(G213&amp;""="1",N(K213)*N213,(N213+N(O213))*N(K213)))</f>
        <v/>
      </c>
      <c r="T213" s="10">
        <f>IF(Q213="","",Q213-S213)</f>
        <v/>
      </c>
    </row>
    <row r="214">
      <c r="A214" s="7">
        <f>CONCATENATE(C214,E214,F214,I214)</f>
        <v/>
      </c>
      <c r="B214" s="7">
        <f>CONCATENATE(C214,E214,I214)</f>
        <v/>
      </c>
      <c r="C214" s="8" t="n">
        <v>900007051</v>
      </c>
      <c r="D214" s="7">
        <f>IFERROR(VLOOKUP(C214,TRAOPE!$G:$H,2,0),"")</f>
        <v/>
      </c>
      <c r="E214" s="8" t="inlineStr">
        <is>
          <t>DW55</t>
        </is>
      </c>
      <c r="F214" s="8" t="inlineStr">
        <is>
          <t>ER67</t>
        </is>
      </c>
      <c r="G214" s="8">
        <f>IFERROR(VLOOKUP(A214,Flete!$A:$E,5,0),"")</f>
        <v/>
      </c>
      <c r="H214" s="7">
        <f>IFERROR(VLOOKUP(F214,TRAOPE!$AA:$AB,2,0),"")</f>
        <v/>
      </c>
      <c r="I214" s="7" t="n">
        <v>10210260</v>
      </c>
      <c r="J214" s="7">
        <f>IFERROR(VLOOKUP(I214,Materiales!$A:$H,8,0),"")</f>
        <v/>
      </c>
      <c r="K214" s="9">
        <f>IFERROR(VLOOKUP(I214,Materiales!$A:$G,7,0),"")</f>
        <v/>
      </c>
      <c r="L214" s="8" t="inlineStr">
        <is>
          <t>20220504</t>
        </is>
      </c>
      <c r="M214" s="8" t="inlineStr">
        <is>
          <t>20230127</t>
        </is>
      </c>
      <c r="N214" s="10" t="n">
        <v>142.39</v>
      </c>
      <c r="O214" s="10">
        <f>IFERROR(VLOOKUP(A214,Flete!$A:$J,10,0),"")</f>
        <v/>
      </c>
      <c r="P214" s="8" t="inlineStr">
        <is>
          <t>TN</t>
        </is>
      </c>
      <c r="Q214" s="10">
        <f>IFERROR(IFERROR(VLOOKUP(A214,TRAOPE!$A:$U,21,0),VLOOKUP(B214,TRAOPE!$A:$U,21,0)),"")</f>
        <v/>
      </c>
      <c r="R214" s="8">
        <f>IFERROR(IFERROR(VLOOKUP(A214,TRAOPE!$A:$W,23,0),VLOOKUP(B214,TRAOPE!$A:$W,23,0)),"")</f>
        <v/>
      </c>
      <c r="S214" s="10">
        <f>IF(AND(P214="TN",R214="TN"),N214+N(O214),IF(G214&amp;""="1",N(K214)*N214,(N214+N(O214))*N(K214)))</f>
        <v/>
      </c>
      <c r="T214" s="10">
        <f>IF(Q214="","",Q214-S214)</f>
        <v/>
      </c>
    </row>
    <row r="215">
      <c r="A215" s="7">
        <f>CONCATENATE(C215,E215,F215,I215)</f>
        <v/>
      </c>
      <c r="B215" s="7">
        <f>CONCATENATE(C215,E215,I215)</f>
        <v/>
      </c>
      <c r="C215" s="8" t="n">
        <v>900007051</v>
      </c>
      <c r="D215" s="7">
        <f>IFERROR(VLOOKUP(C215,TRAOPE!$G:$H,2,0),"")</f>
        <v/>
      </c>
      <c r="E215" s="8" t="inlineStr">
        <is>
          <t>DW55</t>
        </is>
      </c>
      <c r="F215" s="8" t="inlineStr">
        <is>
          <t>ER68</t>
        </is>
      </c>
      <c r="G215" s="8">
        <f>IFERROR(VLOOKUP(A215,Flete!$A:$E,5,0),"")</f>
        <v/>
      </c>
      <c r="H215" s="7">
        <f>IFERROR(VLOOKUP(F215,TRAOPE!$AA:$AB,2,0),"")</f>
        <v/>
      </c>
      <c r="I215" s="7" t="n">
        <v>10210260</v>
      </c>
      <c r="J215" s="7">
        <f>IFERROR(VLOOKUP(I215,Materiales!$A:$H,8,0),"")</f>
        <v/>
      </c>
      <c r="K215" s="9">
        <f>IFERROR(VLOOKUP(I215,Materiales!$A:$G,7,0),"")</f>
        <v/>
      </c>
      <c r="L215" s="8" t="inlineStr">
        <is>
          <t>20220520</t>
        </is>
      </c>
      <c r="M215" s="8" t="inlineStr">
        <is>
          <t>20240716</t>
        </is>
      </c>
      <c r="N215" s="10" t="n">
        <v>142.39</v>
      </c>
      <c r="O215" s="10">
        <f>IFERROR(VLOOKUP(A215,Flete!$A:$J,10,0),"")</f>
        <v/>
      </c>
      <c r="P215" s="8" t="inlineStr">
        <is>
          <t>TN</t>
        </is>
      </c>
      <c r="Q215" s="10">
        <f>IFERROR(IFERROR(VLOOKUP(A215,TRAOPE!$A:$U,21,0),VLOOKUP(B215,TRAOPE!$A:$U,21,0)),"")</f>
        <v/>
      </c>
      <c r="R215" s="8">
        <f>IFERROR(IFERROR(VLOOKUP(A215,TRAOPE!$A:$W,23,0),VLOOKUP(B215,TRAOPE!$A:$W,23,0)),"")</f>
        <v/>
      </c>
      <c r="S215" s="10">
        <f>IF(AND(P215="TN",R215="TN"),N215+N(O215),IF(G215&amp;""="1",N(K215)*N215,(N215+N(O215))*N(K215)))</f>
        <v/>
      </c>
      <c r="T215" s="10">
        <f>IF(Q215="","",Q215-S215)</f>
        <v/>
      </c>
    </row>
    <row r="216">
      <c r="A216" s="7">
        <f>CONCATENATE(C216,E216,F216,I216)</f>
        <v/>
      </c>
      <c r="B216" s="7">
        <f>CONCATENATE(C216,E216,I216)</f>
        <v/>
      </c>
      <c r="C216" s="8" t="n">
        <v>900007052</v>
      </c>
      <c r="D216" s="7">
        <f>IFERROR(VLOOKUP(C216,TRAOPE!$G:$H,2,0),"")</f>
        <v/>
      </c>
      <c r="E216" s="8" t="inlineStr">
        <is>
          <t>DW55</t>
        </is>
      </c>
      <c r="F216" s="8" t="inlineStr">
        <is>
          <t>D284</t>
        </is>
      </c>
      <c r="G216" s="8">
        <f>IFERROR(VLOOKUP(A216,Flete!$A:$E,5,0),"")</f>
        <v/>
      </c>
      <c r="H216" s="7">
        <f>IFERROR(VLOOKUP(F216,TRAOPE!$AA:$AB,2,0),"")</f>
        <v/>
      </c>
      <c r="I216" s="7" t="n">
        <v>10000372</v>
      </c>
      <c r="J216" s="7">
        <f>IFERROR(VLOOKUP(I216,Materiales!$A:$H,8,0),"")</f>
        <v/>
      </c>
      <c r="K216" s="9">
        <f>IFERROR(VLOOKUP(I216,Materiales!$A:$G,7,0),"")</f>
        <v/>
      </c>
      <c r="L216" s="8" t="inlineStr">
        <is>
          <t>20251027</t>
        </is>
      </c>
      <c r="M216" s="8" t="inlineStr">
        <is>
          <t>99991231</t>
        </is>
      </c>
      <c r="N216" s="10" t="n">
        <v>151.93</v>
      </c>
      <c r="O216" s="10">
        <f>IFERROR(VLOOKUP(A216,Flete!$A:$J,10,0),"")</f>
        <v/>
      </c>
      <c r="P216" s="8" t="inlineStr">
        <is>
          <t>TN</t>
        </is>
      </c>
      <c r="Q216" s="10">
        <f>IFERROR(IFERROR(VLOOKUP(A216,TRAOPE!$A:$U,21,0),VLOOKUP(B216,TRAOPE!$A:$U,21,0)),"")</f>
        <v/>
      </c>
      <c r="R216" s="8">
        <f>IFERROR(IFERROR(VLOOKUP(A216,TRAOPE!$A:$W,23,0),VLOOKUP(B216,TRAOPE!$A:$W,23,0)),"")</f>
        <v/>
      </c>
      <c r="S216" s="10">
        <f>IF(AND(P216="TN",R216="TN"),N216+N(O216),IF(G216&amp;""="1",N(K216)*N216,(N216+N(O216))*N(K216)))</f>
        <v/>
      </c>
      <c r="T216" s="10">
        <f>IF(Q216="","",Q216-S216)</f>
        <v/>
      </c>
    </row>
    <row r="217">
      <c r="A217" s="7">
        <f>CONCATENATE(C217,E217,F217,I217)</f>
        <v/>
      </c>
      <c r="B217" s="7">
        <f>CONCATENATE(C217,E217,I217)</f>
        <v/>
      </c>
      <c r="C217" s="8" t="n">
        <v>900007052</v>
      </c>
      <c r="D217" s="7">
        <f>IFERROR(VLOOKUP(C217,TRAOPE!$G:$H,2,0),"")</f>
        <v/>
      </c>
      <c r="E217" s="8" t="inlineStr">
        <is>
          <t>DW55</t>
        </is>
      </c>
      <c r="F217" s="8" t="inlineStr">
        <is>
          <t>D284</t>
        </is>
      </c>
      <c r="G217" s="8">
        <f>IFERROR(VLOOKUP(A217,Flete!$A:$E,5,0),"")</f>
        <v/>
      </c>
      <c r="H217" s="7">
        <f>IFERROR(VLOOKUP(F217,TRAOPE!$AA:$AB,2,0),"")</f>
        <v/>
      </c>
      <c r="I217" s="7" t="n">
        <v>10000541</v>
      </c>
      <c r="J217" s="7">
        <f>IFERROR(VLOOKUP(I217,Materiales!$A:$H,8,0),"")</f>
        <v/>
      </c>
      <c r="K217" s="9">
        <f>IFERROR(VLOOKUP(I217,Materiales!$A:$G,7,0),"")</f>
        <v/>
      </c>
      <c r="L217" s="8" t="inlineStr">
        <is>
          <t>20250219</t>
        </is>
      </c>
      <c r="M217" s="8" t="inlineStr">
        <is>
          <t>99991231</t>
        </is>
      </c>
      <c r="N217" s="10" t="n">
        <v>189.79</v>
      </c>
      <c r="O217" s="10">
        <f>IFERROR(VLOOKUP(A217,Flete!$A:$J,10,0),"")</f>
        <v/>
      </c>
      <c r="P217" s="8" t="inlineStr">
        <is>
          <t>TN</t>
        </is>
      </c>
      <c r="Q217" s="10">
        <f>IFERROR(IFERROR(VLOOKUP(A217,TRAOPE!$A:$U,21,0),VLOOKUP(B217,TRAOPE!$A:$U,21,0)),"")</f>
        <v/>
      </c>
      <c r="R217" s="8">
        <f>IFERROR(IFERROR(VLOOKUP(A217,TRAOPE!$A:$W,23,0),VLOOKUP(B217,TRAOPE!$A:$W,23,0)),"")</f>
        <v/>
      </c>
      <c r="S217" s="10">
        <f>IF(AND(P217="TN",R217="TN"),N217+N(O217),IF(G217&amp;""="1",N(K217)*N217,(N217+N(O217))*N(K217)))</f>
        <v/>
      </c>
      <c r="T217" s="10">
        <f>IF(Q217="","",Q217-S217)</f>
        <v/>
      </c>
    </row>
    <row r="218">
      <c r="A218" s="7">
        <f>CONCATENATE(C218,E218,F218,I218)</f>
        <v/>
      </c>
      <c r="B218" s="7">
        <f>CONCATENATE(C218,E218,I218)</f>
        <v/>
      </c>
      <c r="C218" s="8" t="n">
        <v>900007052</v>
      </c>
      <c r="D218" s="7">
        <f>IFERROR(VLOOKUP(C218,TRAOPE!$G:$H,2,0),"")</f>
        <v/>
      </c>
      <c r="E218" s="8" t="inlineStr">
        <is>
          <t>DW55</t>
        </is>
      </c>
      <c r="F218" s="8" t="inlineStr">
        <is>
          <t>D309</t>
        </is>
      </c>
      <c r="G218" s="8">
        <f>IFERROR(VLOOKUP(A218,Flete!$A:$E,5,0),"")</f>
        <v/>
      </c>
      <c r="H218" s="7">
        <f>IFERROR(VLOOKUP(F218,TRAOPE!$AA:$AB,2,0),"")</f>
        <v/>
      </c>
      <c r="I218" s="7" t="n">
        <v>10000372</v>
      </c>
      <c r="J218" s="7">
        <f>IFERROR(VLOOKUP(I218,Materiales!$A:$H,8,0),"")</f>
        <v/>
      </c>
      <c r="K218" s="9">
        <f>IFERROR(VLOOKUP(I218,Materiales!$A:$G,7,0),"")</f>
        <v/>
      </c>
      <c r="L218" s="8" t="inlineStr">
        <is>
          <t>20240122</t>
        </is>
      </c>
      <c r="M218" s="8" t="inlineStr">
        <is>
          <t>20241015</t>
        </is>
      </c>
      <c r="N218" s="10" t="n">
        <v>138.12</v>
      </c>
      <c r="O218" s="10">
        <f>IFERROR(VLOOKUP(A218,Flete!$A:$J,10,0),"")</f>
        <v/>
      </c>
      <c r="P218" s="8" t="inlineStr">
        <is>
          <t>TN</t>
        </is>
      </c>
      <c r="Q218" s="10">
        <f>IFERROR(IFERROR(VLOOKUP(A218,TRAOPE!$A:$U,21,0),VLOOKUP(B218,TRAOPE!$A:$U,21,0)),"")</f>
        <v/>
      </c>
      <c r="R218" s="8">
        <f>IFERROR(IFERROR(VLOOKUP(A218,TRAOPE!$A:$W,23,0),VLOOKUP(B218,TRAOPE!$A:$W,23,0)),"")</f>
        <v/>
      </c>
      <c r="S218" s="10">
        <f>IF(AND(P218="TN",R218="TN"),N218+N(O218),IF(G218&amp;""="1",N(K218)*N218,(N218+N(O218))*N(K218)))</f>
        <v/>
      </c>
      <c r="T218" s="10">
        <f>IF(Q218="","",Q218-S218)</f>
        <v/>
      </c>
    </row>
    <row r="219">
      <c r="A219" s="7">
        <f>CONCATENATE(C219,E219,F219,I219)</f>
        <v/>
      </c>
      <c r="B219" s="7">
        <f>CONCATENATE(C219,E219,I219)</f>
        <v/>
      </c>
      <c r="C219" s="8" t="n">
        <v>900007052</v>
      </c>
      <c r="D219" s="7">
        <f>IFERROR(VLOOKUP(C219,TRAOPE!$G:$H,2,0),"")</f>
        <v/>
      </c>
      <c r="E219" s="8" t="inlineStr">
        <is>
          <t>DW55</t>
        </is>
      </c>
      <c r="F219" s="8" t="inlineStr">
        <is>
          <t>D309</t>
        </is>
      </c>
      <c r="G219" s="8">
        <f>IFERROR(VLOOKUP(A219,Flete!$A:$E,5,0),"")</f>
        <v/>
      </c>
      <c r="H219" s="7">
        <f>IFERROR(VLOOKUP(F219,TRAOPE!$AA:$AB,2,0),"")</f>
        <v/>
      </c>
      <c r="I219" s="7" t="n">
        <v>10000541</v>
      </c>
      <c r="J219" s="7">
        <f>IFERROR(VLOOKUP(I219,Materiales!$A:$H,8,0),"")</f>
        <v/>
      </c>
      <c r="K219" s="9">
        <f>IFERROR(VLOOKUP(I219,Materiales!$A:$G,7,0),"")</f>
        <v/>
      </c>
      <c r="L219" s="8" t="inlineStr">
        <is>
          <t>20250219</t>
        </is>
      </c>
      <c r="M219" s="8" t="inlineStr">
        <is>
          <t>99991231</t>
        </is>
      </c>
      <c r="N219" s="10" t="n">
        <v>189.79</v>
      </c>
      <c r="O219" s="10">
        <f>IFERROR(VLOOKUP(A219,Flete!$A:$J,10,0),"")</f>
        <v/>
      </c>
      <c r="P219" s="8" t="inlineStr">
        <is>
          <t>TN</t>
        </is>
      </c>
      <c r="Q219" s="10">
        <f>IFERROR(IFERROR(VLOOKUP(A219,TRAOPE!$A:$U,21,0),VLOOKUP(B219,TRAOPE!$A:$U,21,0)),"")</f>
        <v/>
      </c>
      <c r="R219" s="8">
        <f>IFERROR(IFERROR(VLOOKUP(A219,TRAOPE!$A:$W,23,0),VLOOKUP(B219,TRAOPE!$A:$W,23,0)),"")</f>
        <v/>
      </c>
      <c r="S219" s="10">
        <f>IF(AND(P219="TN",R219="TN"),N219+N(O219),IF(G219&amp;""="1",N(K219)*N219,(N219+N(O219))*N(K219)))</f>
        <v/>
      </c>
      <c r="T219" s="10">
        <f>IF(Q219="","",Q219-S219)</f>
        <v/>
      </c>
    </row>
    <row r="220">
      <c r="A220" s="7">
        <f>CONCATENATE(C220,E220,F220,I220)</f>
        <v/>
      </c>
      <c r="B220" s="7">
        <f>CONCATENATE(C220,E220,I220)</f>
        <v/>
      </c>
      <c r="C220" s="8" t="n">
        <v>900007052</v>
      </c>
      <c r="D220" s="7">
        <f>IFERROR(VLOOKUP(C220,TRAOPE!$G:$H,2,0),"")</f>
        <v/>
      </c>
      <c r="E220" s="8" t="inlineStr">
        <is>
          <t>DW55</t>
        </is>
      </c>
      <c r="F220" s="8" t="inlineStr">
        <is>
          <t>D325</t>
        </is>
      </c>
      <c r="G220" s="8">
        <f>IFERROR(VLOOKUP(A220,Flete!$A:$E,5,0),"")</f>
        <v/>
      </c>
      <c r="H220" s="7">
        <f>IFERROR(VLOOKUP(F220,TRAOPE!$AA:$AB,2,0),"")</f>
        <v/>
      </c>
      <c r="I220" s="7" t="n">
        <v>10000541</v>
      </c>
      <c r="J220" s="7">
        <f>IFERROR(VLOOKUP(I220,Materiales!$A:$H,8,0),"")</f>
        <v/>
      </c>
      <c r="K220" s="9">
        <f>IFERROR(VLOOKUP(I220,Materiales!$A:$G,7,0),"")</f>
        <v/>
      </c>
      <c r="L220" s="8" t="inlineStr">
        <is>
          <t>20241030</t>
        </is>
      </c>
      <c r="M220" s="8" t="inlineStr">
        <is>
          <t>99991231</t>
        </is>
      </c>
      <c r="N220" s="10" t="n">
        <v>196.34</v>
      </c>
      <c r="O220" s="10">
        <f>IFERROR(VLOOKUP(A220,Flete!$A:$J,10,0),"")</f>
        <v/>
      </c>
      <c r="P220" s="8" t="inlineStr">
        <is>
          <t>TN</t>
        </is>
      </c>
      <c r="Q220" s="10">
        <f>IFERROR(IFERROR(VLOOKUP(A220,TRAOPE!$A:$U,21,0),VLOOKUP(B220,TRAOPE!$A:$U,21,0)),"")</f>
        <v/>
      </c>
      <c r="R220" s="8">
        <f>IFERROR(IFERROR(VLOOKUP(A220,TRAOPE!$A:$W,23,0),VLOOKUP(B220,TRAOPE!$A:$W,23,0)),"")</f>
        <v/>
      </c>
      <c r="S220" s="10">
        <f>IF(AND(P220="TN",R220="TN"),N220+N(O220),IF(G220&amp;""="1",N(K220)*N220,(N220+N(O220))*N(K220)))</f>
        <v/>
      </c>
      <c r="T220" s="10">
        <f>IF(Q220="","",Q220-S220)</f>
        <v/>
      </c>
    </row>
    <row r="221">
      <c r="A221" s="7">
        <f>CONCATENATE(C221,E221,F221,I221)</f>
        <v/>
      </c>
      <c r="B221" s="7">
        <f>CONCATENATE(C221,E221,I221)</f>
        <v/>
      </c>
      <c r="C221" s="8" t="n">
        <v>900007052</v>
      </c>
      <c r="D221" s="7">
        <f>IFERROR(VLOOKUP(C221,TRAOPE!$G:$H,2,0),"")</f>
        <v/>
      </c>
      <c r="E221" s="8" t="inlineStr">
        <is>
          <t>DW55</t>
        </is>
      </c>
      <c r="F221" s="8" t="inlineStr">
        <is>
          <t>D342</t>
        </is>
      </c>
      <c r="G221" s="8">
        <f>IFERROR(VLOOKUP(A221,Flete!$A:$E,5,0),"")</f>
        <v/>
      </c>
      <c r="H221" s="7">
        <f>IFERROR(VLOOKUP(F221,TRAOPE!$AA:$AB,2,0),"")</f>
        <v/>
      </c>
      <c r="I221" s="7" t="n">
        <v>10000372</v>
      </c>
      <c r="J221" s="7">
        <f>IFERROR(VLOOKUP(I221,Materiales!$A:$H,8,0),"")</f>
        <v/>
      </c>
      <c r="K221" s="9">
        <f>IFERROR(VLOOKUP(I221,Materiales!$A:$G,7,0),"")</f>
        <v/>
      </c>
      <c r="L221" s="8" t="inlineStr">
        <is>
          <t>20251020</t>
        </is>
      </c>
      <c r="M221" s="8" t="inlineStr">
        <is>
          <t>99991231</t>
        </is>
      </c>
      <c r="N221" s="10" t="n">
        <v>151.93</v>
      </c>
      <c r="O221" s="10">
        <f>IFERROR(VLOOKUP(A221,Flete!$A:$J,10,0),"")</f>
        <v/>
      </c>
      <c r="P221" s="8" t="inlineStr">
        <is>
          <t>TN</t>
        </is>
      </c>
      <c r="Q221" s="10">
        <f>IFERROR(IFERROR(VLOOKUP(A221,TRAOPE!$A:$U,21,0),VLOOKUP(B221,TRAOPE!$A:$U,21,0)),"")</f>
        <v/>
      </c>
      <c r="R221" s="8">
        <f>IFERROR(IFERROR(VLOOKUP(A221,TRAOPE!$A:$W,23,0),VLOOKUP(B221,TRAOPE!$A:$W,23,0)),"")</f>
        <v/>
      </c>
      <c r="S221" s="10">
        <f>IF(AND(P221="TN",R221="TN"),N221+N(O221),IF(G221&amp;""="1",N(K221)*N221,(N221+N(O221))*N(K221)))</f>
        <v/>
      </c>
      <c r="T221" s="10">
        <f>IF(Q221="","",Q221-S221)</f>
        <v/>
      </c>
    </row>
    <row r="222">
      <c r="A222" s="7">
        <f>CONCATENATE(C222,E222,F222,I222)</f>
        <v/>
      </c>
      <c r="B222" s="7">
        <f>CONCATENATE(C222,E222,I222)</f>
        <v/>
      </c>
      <c r="C222" s="8" t="n">
        <v>900007052</v>
      </c>
      <c r="D222" s="7">
        <f>IFERROR(VLOOKUP(C222,TRAOPE!$G:$H,2,0),"")</f>
        <v/>
      </c>
      <c r="E222" s="8" t="inlineStr">
        <is>
          <t>DW55</t>
        </is>
      </c>
      <c r="F222" s="8" t="inlineStr">
        <is>
          <t>D348</t>
        </is>
      </c>
      <c r="G222" s="8">
        <f>IFERROR(VLOOKUP(A222,Flete!$A:$E,5,0),"")</f>
        <v/>
      </c>
      <c r="H222" s="7">
        <f>IFERROR(VLOOKUP(F222,TRAOPE!$AA:$AB,2,0),"")</f>
        <v/>
      </c>
      <c r="I222" s="7" t="n">
        <v>10000541</v>
      </c>
      <c r="J222" s="7">
        <f>IFERROR(VLOOKUP(I222,Materiales!$A:$H,8,0),"")</f>
        <v/>
      </c>
      <c r="K222" s="9">
        <f>IFERROR(VLOOKUP(I222,Materiales!$A:$G,7,0),"")</f>
        <v/>
      </c>
      <c r="L222" s="8" t="inlineStr">
        <is>
          <t>20240122</t>
        </is>
      </c>
      <c r="M222" s="8" t="inlineStr">
        <is>
          <t>20241015</t>
        </is>
      </c>
      <c r="N222" s="10" t="n">
        <v>84.81999999999999</v>
      </c>
      <c r="O222" s="10">
        <f>IFERROR(VLOOKUP(A222,Flete!$A:$J,10,0),"")</f>
        <v/>
      </c>
      <c r="P222" s="8" t="inlineStr">
        <is>
          <t>TN</t>
        </is>
      </c>
      <c r="Q222" s="10">
        <f>IFERROR(IFERROR(VLOOKUP(A222,TRAOPE!$A:$U,21,0),VLOOKUP(B222,TRAOPE!$A:$U,21,0)),"")</f>
        <v/>
      </c>
      <c r="R222" s="8">
        <f>IFERROR(IFERROR(VLOOKUP(A222,TRAOPE!$A:$W,23,0),VLOOKUP(B222,TRAOPE!$A:$W,23,0)),"")</f>
        <v/>
      </c>
      <c r="S222" s="10">
        <f>IF(AND(P222="TN",R222="TN"),N222+N(O222),IF(G222&amp;""="1",N(K222)*N222,(N222+N(O222))*N(K222)))</f>
        <v/>
      </c>
      <c r="T222" s="10">
        <f>IF(Q222="","",Q222-S222)</f>
        <v/>
      </c>
    </row>
    <row r="223">
      <c r="A223" s="7">
        <f>CONCATENATE(C223,E223,F223,I223)</f>
        <v/>
      </c>
      <c r="B223" s="7">
        <f>CONCATENATE(C223,E223,I223)</f>
        <v/>
      </c>
      <c r="C223" s="8" t="n">
        <v>900007052</v>
      </c>
      <c r="D223" s="7">
        <f>IFERROR(VLOOKUP(C223,TRAOPE!$G:$H,2,0),"")</f>
        <v/>
      </c>
      <c r="E223" s="8" t="inlineStr">
        <is>
          <t>DW55</t>
        </is>
      </c>
      <c r="F223" s="8" t="inlineStr">
        <is>
          <t>D348</t>
        </is>
      </c>
      <c r="G223" s="8">
        <f>IFERROR(VLOOKUP(A223,Flete!$A:$E,5,0),"")</f>
        <v/>
      </c>
      <c r="H223" s="7">
        <f>IFERROR(VLOOKUP(F223,TRAOPE!$AA:$AB,2,0),"")</f>
        <v/>
      </c>
      <c r="I223" s="7" t="n">
        <v>10000561</v>
      </c>
      <c r="J223" s="7">
        <f>IFERROR(VLOOKUP(I223,Materiales!$A:$H,8,0),"")</f>
        <v/>
      </c>
      <c r="K223" s="9">
        <f>IFERROR(VLOOKUP(I223,Materiales!$A:$G,7,0),"")</f>
        <v/>
      </c>
      <c r="L223" s="8" t="inlineStr">
        <is>
          <t>20220905</t>
        </is>
      </c>
      <c r="M223" s="8" t="inlineStr">
        <is>
          <t>20240930</t>
        </is>
      </c>
      <c r="N223" s="10" t="n">
        <v>209.79</v>
      </c>
      <c r="O223" s="10">
        <f>IFERROR(VLOOKUP(A223,Flete!$A:$J,10,0),"")</f>
        <v/>
      </c>
      <c r="P223" s="8" t="inlineStr">
        <is>
          <t>TN</t>
        </is>
      </c>
      <c r="Q223" s="10">
        <f>IFERROR(IFERROR(VLOOKUP(A223,TRAOPE!$A:$U,21,0),VLOOKUP(B223,TRAOPE!$A:$U,21,0)),"")</f>
        <v/>
      </c>
      <c r="R223" s="8">
        <f>IFERROR(IFERROR(VLOOKUP(A223,TRAOPE!$A:$W,23,0),VLOOKUP(B223,TRAOPE!$A:$W,23,0)),"")</f>
        <v/>
      </c>
      <c r="S223" s="10">
        <f>IF(AND(P223="TN",R223="TN"),N223+N(O223),IF(G223&amp;""="1",N(K223)*N223,(N223+N(O223))*N(K223)))</f>
        <v/>
      </c>
      <c r="T223" s="10">
        <f>IF(Q223="","",Q223-S223)</f>
        <v/>
      </c>
    </row>
    <row r="224">
      <c r="A224" s="7">
        <f>CONCATENATE(C224,E224,F224,I224)</f>
        <v/>
      </c>
      <c r="B224" s="7">
        <f>CONCATENATE(C224,E224,I224)</f>
        <v/>
      </c>
      <c r="C224" s="8" t="n">
        <v>900007052</v>
      </c>
      <c r="D224" s="7">
        <f>IFERROR(VLOOKUP(C224,TRAOPE!$G:$H,2,0),"")</f>
        <v/>
      </c>
      <c r="E224" s="8" t="inlineStr">
        <is>
          <t>DW55</t>
        </is>
      </c>
      <c r="F224" s="8" t="inlineStr">
        <is>
          <t>D348</t>
        </is>
      </c>
      <c r="G224" s="8">
        <f>IFERROR(VLOOKUP(A224,Flete!$A:$E,5,0),"")</f>
        <v/>
      </c>
      <c r="H224" s="7">
        <f>IFERROR(VLOOKUP(F224,TRAOPE!$AA:$AB,2,0),"")</f>
        <v/>
      </c>
      <c r="I224" s="7" t="n">
        <v>10036584</v>
      </c>
      <c r="J224" s="7">
        <f>IFERROR(VLOOKUP(I224,Materiales!$A:$H,8,0),"")</f>
        <v/>
      </c>
      <c r="K224" s="9">
        <f>IFERROR(VLOOKUP(I224,Materiales!$A:$G,7,0),"")</f>
        <v/>
      </c>
      <c r="L224" s="8" t="inlineStr">
        <is>
          <t>20220905</t>
        </is>
      </c>
      <c r="M224" s="8" t="inlineStr">
        <is>
          <t>20240930</t>
        </is>
      </c>
      <c r="N224" s="10" t="n">
        <v>340.14</v>
      </c>
      <c r="O224" s="10">
        <f>IFERROR(VLOOKUP(A224,Flete!$A:$J,10,0),"")</f>
        <v/>
      </c>
      <c r="P224" s="8" t="inlineStr">
        <is>
          <t>TN</t>
        </is>
      </c>
      <c r="Q224" s="10">
        <f>IFERROR(IFERROR(VLOOKUP(A224,TRAOPE!$A:$U,21,0),VLOOKUP(B224,TRAOPE!$A:$U,21,0)),"")</f>
        <v/>
      </c>
      <c r="R224" s="8">
        <f>IFERROR(IFERROR(VLOOKUP(A224,TRAOPE!$A:$W,23,0),VLOOKUP(B224,TRAOPE!$A:$W,23,0)),"")</f>
        <v/>
      </c>
      <c r="S224" s="10">
        <f>IF(AND(P224="TN",R224="TN"),N224+N(O224),IF(G224&amp;""="1",N(K224)*N224,(N224+N(O224))*N(K224)))</f>
        <v/>
      </c>
      <c r="T224" s="10">
        <f>IF(Q224="","",Q224-S224)</f>
        <v/>
      </c>
    </row>
    <row r="225">
      <c r="A225" s="7">
        <f>CONCATENATE(C225,E225,F225,I225)</f>
        <v/>
      </c>
      <c r="B225" s="7">
        <f>CONCATENATE(C225,E225,I225)</f>
        <v/>
      </c>
      <c r="C225" s="8" t="n">
        <v>900007052</v>
      </c>
      <c r="D225" s="7">
        <f>IFERROR(VLOOKUP(C225,TRAOPE!$G:$H,2,0),"")</f>
        <v/>
      </c>
      <c r="E225" s="8" t="inlineStr">
        <is>
          <t>DW55</t>
        </is>
      </c>
      <c r="F225" s="8" t="inlineStr">
        <is>
          <t>D348</t>
        </is>
      </c>
      <c r="G225" s="8">
        <f>IFERROR(VLOOKUP(A225,Flete!$A:$E,5,0),"")</f>
        <v/>
      </c>
      <c r="H225" s="7">
        <f>IFERROR(VLOOKUP(F225,TRAOPE!$AA:$AB,2,0),"")</f>
        <v/>
      </c>
      <c r="I225" s="7" t="n">
        <v>10213318</v>
      </c>
      <c r="J225" s="7">
        <f>IFERROR(VLOOKUP(I225,Materiales!$A:$H,8,0),"")</f>
        <v/>
      </c>
      <c r="K225" s="9">
        <f>IFERROR(VLOOKUP(I225,Materiales!$A:$G,7,0),"")</f>
        <v/>
      </c>
      <c r="L225" s="8" t="inlineStr">
        <is>
          <t>20220905</t>
        </is>
      </c>
      <c r="M225" s="8" t="inlineStr">
        <is>
          <t>20240930</t>
        </is>
      </c>
      <c r="N225" s="10" t="n">
        <v>593.16</v>
      </c>
      <c r="O225" s="10">
        <f>IFERROR(VLOOKUP(A225,Flete!$A:$J,10,0),"")</f>
        <v/>
      </c>
      <c r="P225" s="8" t="inlineStr">
        <is>
          <t>TN</t>
        </is>
      </c>
      <c r="Q225" s="10">
        <f>IFERROR(IFERROR(VLOOKUP(A225,TRAOPE!$A:$U,21,0),VLOOKUP(B225,TRAOPE!$A:$U,21,0)),"")</f>
        <v/>
      </c>
      <c r="R225" s="8">
        <f>IFERROR(IFERROR(VLOOKUP(A225,TRAOPE!$A:$W,23,0),VLOOKUP(B225,TRAOPE!$A:$W,23,0)),"")</f>
        <v/>
      </c>
      <c r="S225" s="10">
        <f>IF(AND(P225="TN",R225="TN"),N225+N(O225),IF(G225&amp;""="1",N(K225)*N225,(N225+N(O225))*N(K225)))</f>
        <v/>
      </c>
      <c r="T225" s="10">
        <f>IF(Q225="","",Q225-S225)</f>
        <v/>
      </c>
    </row>
    <row r="226">
      <c r="A226" s="7">
        <f>CONCATENATE(C226,E226,F226,I226)</f>
        <v/>
      </c>
      <c r="B226" s="7">
        <f>CONCATENATE(C226,E226,I226)</f>
        <v/>
      </c>
      <c r="C226" s="8" t="n">
        <v>900007052</v>
      </c>
      <c r="D226" s="7">
        <f>IFERROR(VLOOKUP(C226,TRAOPE!$G:$H,2,0),"")</f>
        <v/>
      </c>
      <c r="E226" s="8" t="inlineStr">
        <is>
          <t>DW55</t>
        </is>
      </c>
      <c r="F226" s="8" t="inlineStr">
        <is>
          <t>ER67</t>
        </is>
      </c>
      <c r="G226" s="8">
        <f>IFERROR(VLOOKUP(A226,Flete!$A:$E,5,0),"")</f>
        <v/>
      </c>
      <c r="H226" s="7">
        <f>IFERROR(VLOOKUP(F226,TRAOPE!$AA:$AB,2,0),"")</f>
        <v/>
      </c>
      <c r="I226" s="7" t="n">
        <v>10000372</v>
      </c>
      <c r="J226" s="7">
        <f>IFERROR(VLOOKUP(I226,Materiales!$A:$H,8,0),"")</f>
        <v/>
      </c>
      <c r="K226" s="9">
        <f>IFERROR(VLOOKUP(I226,Materiales!$A:$G,7,0),"")</f>
        <v/>
      </c>
      <c r="L226" s="8" t="inlineStr">
        <is>
          <t>20220504</t>
        </is>
      </c>
      <c r="M226" s="8" t="inlineStr">
        <is>
          <t>20230127</t>
        </is>
      </c>
      <c r="N226" s="10" t="n">
        <v>192.64</v>
      </c>
      <c r="O226" s="10">
        <f>IFERROR(VLOOKUP(A226,Flete!$A:$J,10,0),"")</f>
        <v/>
      </c>
      <c r="P226" s="8" t="inlineStr">
        <is>
          <t>TN</t>
        </is>
      </c>
      <c r="Q226" s="10">
        <f>IFERROR(IFERROR(VLOOKUP(A226,TRAOPE!$A:$U,21,0),VLOOKUP(B226,TRAOPE!$A:$U,21,0)),"")</f>
        <v/>
      </c>
      <c r="R226" s="8">
        <f>IFERROR(IFERROR(VLOOKUP(A226,TRAOPE!$A:$W,23,0),VLOOKUP(B226,TRAOPE!$A:$W,23,0)),"")</f>
        <v/>
      </c>
      <c r="S226" s="10">
        <f>IF(AND(P226="TN",R226="TN"),N226+N(O226),IF(G226&amp;""="1",N(K226)*N226,(N226+N(O226))*N(K226)))</f>
        <v/>
      </c>
      <c r="T226" s="10">
        <f>IF(Q226="","",Q226-S226)</f>
        <v/>
      </c>
    </row>
    <row r="227">
      <c r="A227" s="7">
        <f>CONCATENATE(C227,E227,F227,I227)</f>
        <v/>
      </c>
      <c r="B227" s="7">
        <f>CONCATENATE(C227,E227,I227)</f>
        <v/>
      </c>
      <c r="C227" s="8" t="n">
        <v>900007052</v>
      </c>
      <c r="D227" s="7">
        <f>IFERROR(VLOOKUP(C227,TRAOPE!$G:$H,2,0),"")</f>
        <v/>
      </c>
      <c r="E227" s="8" t="inlineStr">
        <is>
          <t>DW55</t>
        </is>
      </c>
      <c r="F227" s="8" t="inlineStr">
        <is>
          <t>ER67</t>
        </is>
      </c>
      <c r="G227" s="8">
        <f>IFERROR(VLOOKUP(A227,Flete!$A:$E,5,0),"")</f>
        <v/>
      </c>
      <c r="H227" s="7">
        <f>IFERROR(VLOOKUP(F227,TRAOPE!$AA:$AB,2,0),"")</f>
        <v/>
      </c>
      <c r="I227" s="7" t="n">
        <v>10000382</v>
      </c>
      <c r="J227" s="7">
        <f>IFERROR(VLOOKUP(I227,Materiales!$A:$H,8,0),"")</f>
        <v/>
      </c>
      <c r="K227" s="9">
        <f>IFERROR(VLOOKUP(I227,Materiales!$A:$G,7,0),"")</f>
        <v/>
      </c>
      <c r="L227" s="8" t="inlineStr">
        <is>
          <t>20220504</t>
        </is>
      </c>
      <c r="M227" s="8" t="inlineStr">
        <is>
          <t>20230127</t>
        </is>
      </c>
      <c r="N227" s="10" t="n">
        <v>226.76</v>
      </c>
      <c r="O227" s="10">
        <f>IFERROR(VLOOKUP(A227,Flete!$A:$J,10,0),"")</f>
        <v/>
      </c>
      <c r="P227" s="8" t="inlineStr">
        <is>
          <t>TN</t>
        </is>
      </c>
      <c r="Q227" s="10">
        <f>IFERROR(IFERROR(VLOOKUP(A227,TRAOPE!$A:$U,21,0),VLOOKUP(B227,TRAOPE!$A:$U,21,0)),"")</f>
        <v/>
      </c>
      <c r="R227" s="8">
        <f>IFERROR(IFERROR(VLOOKUP(A227,TRAOPE!$A:$W,23,0),VLOOKUP(B227,TRAOPE!$A:$W,23,0)),"")</f>
        <v/>
      </c>
      <c r="S227" s="10">
        <f>IF(AND(P227="TN",R227="TN"),N227+N(O227),IF(G227&amp;""="1",N(K227)*N227,(N227+N(O227))*N(K227)))</f>
        <v/>
      </c>
      <c r="T227" s="10">
        <f>IF(Q227="","",Q227-S227)</f>
        <v/>
      </c>
    </row>
    <row r="228">
      <c r="A228" s="7">
        <f>CONCATENATE(C228,E228,F228,I228)</f>
        <v/>
      </c>
      <c r="B228" s="7">
        <f>CONCATENATE(C228,E228,I228)</f>
        <v/>
      </c>
      <c r="C228" s="8" t="n">
        <v>900007052</v>
      </c>
      <c r="D228" s="7">
        <f>IFERROR(VLOOKUP(C228,TRAOPE!$G:$H,2,0),"")</f>
        <v/>
      </c>
      <c r="E228" s="8" t="inlineStr">
        <is>
          <t>DW55</t>
        </is>
      </c>
      <c r="F228" s="8" t="inlineStr">
        <is>
          <t>ER67</t>
        </is>
      </c>
      <c r="G228" s="8">
        <f>IFERROR(VLOOKUP(A228,Flete!$A:$E,5,0),"")</f>
        <v/>
      </c>
      <c r="H228" s="7">
        <f>IFERROR(VLOOKUP(F228,TRAOPE!$AA:$AB,2,0),"")</f>
        <v/>
      </c>
      <c r="I228" s="7" t="n">
        <v>10000541</v>
      </c>
      <c r="J228" s="7">
        <f>IFERROR(VLOOKUP(I228,Materiales!$A:$H,8,0),"")</f>
        <v/>
      </c>
      <c r="K228" s="9">
        <f>IFERROR(VLOOKUP(I228,Materiales!$A:$G,7,0),"")</f>
        <v/>
      </c>
      <c r="L228" s="8" t="inlineStr">
        <is>
          <t>20220504</t>
        </is>
      </c>
      <c r="M228" s="8" t="inlineStr">
        <is>
          <t>20230127</t>
        </is>
      </c>
      <c r="N228" s="10" t="n">
        <v>89.29000000000001</v>
      </c>
      <c r="O228" s="10">
        <f>IFERROR(VLOOKUP(A228,Flete!$A:$J,10,0),"")</f>
        <v/>
      </c>
      <c r="P228" s="8" t="inlineStr">
        <is>
          <t>TN</t>
        </is>
      </c>
      <c r="Q228" s="10">
        <f>IFERROR(IFERROR(VLOOKUP(A228,TRAOPE!$A:$U,21,0),VLOOKUP(B228,TRAOPE!$A:$U,21,0)),"")</f>
        <v/>
      </c>
      <c r="R228" s="8">
        <f>IFERROR(IFERROR(VLOOKUP(A228,TRAOPE!$A:$W,23,0),VLOOKUP(B228,TRAOPE!$A:$W,23,0)),"")</f>
        <v/>
      </c>
      <c r="S228" s="10">
        <f>IF(AND(P228="TN",R228="TN"),N228+N(O228),IF(G228&amp;""="1",N(K228)*N228,(N228+N(O228))*N(K228)))</f>
        <v/>
      </c>
      <c r="T228" s="10">
        <f>IF(Q228="","",Q228-S228)</f>
        <v/>
      </c>
    </row>
    <row r="229">
      <c r="A229" s="7">
        <f>CONCATENATE(C229,E229,F229,I229)</f>
        <v/>
      </c>
      <c r="B229" s="7">
        <f>CONCATENATE(C229,E229,I229)</f>
        <v/>
      </c>
      <c r="C229" s="8" t="n">
        <v>900007052</v>
      </c>
      <c r="D229" s="7">
        <f>IFERROR(VLOOKUP(C229,TRAOPE!$G:$H,2,0),"")</f>
        <v/>
      </c>
      <c r="E229" s="8" t="inlineStr">
        <is>
          <t>DW55</t>
        </is>
      </c>
      <c r="F229" s="8" t="inlineStr">
        <is>
          <t>ER67</t>
        </is>
      </c>
      <c r="G229" s="8">
        <f>IFERROR(VLOOKUP(A229,Flete!$A:$E,5,0),"")</f>
        <v/>
      </c>
      <c r="H229" s="7">
        <f>IFERROR(VLOOKUP(F229,TRAOPE!$AA:$AB,2,0),"")</f>
        <v/>
      </c>
      <c r="I229" s="7" t="n">
        <v>10000834</v>
      </c>
      <c r="J229" s="7">
        <f>IFERROR(VLOOKUP(I229,Materiales!$A:$H,8,0),"")</f>
        <v/>
      </c>
      <c r="K229" s="9">
        <f>IFERROR(VLOOKUP(I229,Materiales!$A:$G,7,0),"")</f>
        <v/>
      </c>
      <c r="L229" s="8" t="inlineStr">
        <is>
          <t>20220504</t>
        </is>
      </c>
      <c r="M229" s="8" t="inlineStr">
        <is>
          <t>20230127</t>
        </is>
      </c>
      <c r="N229" s="10" t="n">
        <v>45.37</v>
      </c>
      <c r="O229" s="10">
        <f>IFERROR(VLOOKUP(A229,Flete!$A:$J,10,0),"")</f>
        <v/>
      </c>
      <c r="P229" s="8" t="inlineStr">
        <is>
          <t>TN</t>
        </is>
      </c>
      <c r="Q229" s="10">
        <f>IFERROR(IFERROR(VLOOKUP(A229,TRAOPE!$A:$U,21,0),VLOOKUP(B229,TRAOPE!$A:$U,21,0)),"")</f>
        <v/>
      </c>
      <c r="R229" s="8">
        <f>IFERROR(IFERROR(VLOOKUP(A229,TRAOPE!$A:$W,23,0),VLOOKUP(B229,TRAOPE!$A:$W,23,0)),"")</f>
        <v/>
      </c>
      <c r="S229" s="10">
        <f>IF(AND(P229="TN",R229="TN"),N229+N(O229),IF(G229&amp;""="1",N(K229)*N229,(N229+N(O229))*N(K229)))</f>
        <v/>
      </c>
      <c r="T229" s="10">
        <f>IF(Q229="","",Q229-S229)</f>
        <v/>
      </c>
    </row>
    <row r="230">
      <c r="A230" s="7">
        <f>CONCATENATE(C230,E230,F230,I230)</f>
        <v/>
      </c>
      <c r="B230" s="7">
        <f>CONCATENATE(C230,E230,I230)</f>
        <v/>
      </c>
      <c r="C230" s="8" t="n">
        <v>900007052</v>
      </c>
      <c r="D230" s="7">
        <f>IFERROR(VLOOKUP(C230,TRAOPE!$G:$H,2,0),"")</f>
        <v/>
      </c>
      <c r="E230" s="8" t="inlineStr">
        <is>
          <t>DW55</t>
        </is>
      </c>
      <c r="F230" s="8" t="inlineStr">
        <is>
          <t>ER67</t>
        </is>
      </c>
      <c r="G230" s="8">
        <f>IFERROR(VLOOKUP(A230,Flete!$A:$E,5,0),"")</f>
        <v/>
      </c>
      <c r="H230" s="7">
        <f>IFERROR(VLOOKUP(F230,TRAOPE!$AA:$AB,2,0),"")</f>
        <v/>
      </c>
      <c r="I230" s="7" t="n">
        <v>10003240</v>
      </c>
      <c r="J230" s="7">
        <f>IFERROR(VLOOKUP(I230,Materiales!$A:$H,8,0),"")</f>
        <v/>
      </c>
      <c r="K230" s="9">
        <f>IFERROR(VLOOKUP(I230,Materiales!$A:$G,7,0),"")</f>
        <v/>
      </c>
      <c r="L230" s="8" t="inlineStr">
        <is>
          <t>20220504</t>
        </is>
      </c>
      <c r="M230" s="8" t="inlineStr">
        <is>
          <t>20230127</t>
        </is>
      </c>
      <c r="N230" s="10" t="n">
        <v>170.7</v>
      </c>
      <c r="O230" s="10">
        <f>IFERROR(VLOOKUP(A230,Flete!$A:$J,10,0),"")</f>
        <v/>
      </c>
      <c r="P230" s="8" t="inlineStr">
        <is>
          <t>TN</t>
        </is>
      </c>
      <c r="Q230" s="10">
        <f>IFERROR(IFERROR(VLOOKUP(A230,TRAOPE!$A:$U,21,0),VLOOKUP(B230,TRAOPE!$A:$U,21,0)),"")</f>
        <v/>
      </c>
      <c r="R230" s="8">
        <f>IFERROR(IFERROR(VLOOKUP(A230,TRAOPE!$A:$W,23,0),VLOOKUP(B230,TRAOPE!$A:$W,23,0)),"")</f>
        <v/>
      </c>
      <c r="S230" s="10">
        <f>IF(AND(P230="TN",R230="TN"),N230+N(O230),IF(G230&amp;""="1",N(K230)*N230,(N230+N(O230))*N(K230)))</f>
        <v/>
      </c>
      <c r="T230" s="10">
        <f>IF(Q230="","",Q230-S230)</f>
        <v/>
      </c>
    </row>
    <row r="231">
      <c r="A231" s="7">
        <f>CONCATENATE(C231,E231,F231,I231)</f>
        <v/>
      </c>
      <c r="B231" s="7">
        <f>CONCATENATE(C231,E231,I231)</f>
        <v/>
      </c>
      <c r="C231" s="8" t="n">
        <v>900007052</v>
      </c>
      <c r="D231" s="7">
        <f>IFERROR(VLOOKUP(C231,TRAOPE!$G:$H,2,0),"")</f>
        <v/>
      </c>
      <c r="E231" s="8" t="inlineStr">
        <is>
          <t>DW55</t>
        </is>
      </c>
      <c r="F231" s="8" t="inlineStr">
        <is>
          <t>ER67</t>
        </is>
      </c>
      <c r="G231" s="8">
        <f>IFERROR(VLOOKUP(A231,Flete!$A:$E,5,0),"")</f>
        <v/>
      </c>
      <c r="H231" s="7">
        <f>IFERROR(VLOOKUP(F231,TRAOPE!$AA:$AB,2,0),"")</f>
        <v/>
      </c>
      <c r="I231" s="7" t="n">
        <v>10210039</v>
      </c>
      <c r="J231" s="7">
        <f>IFERROR(VLOOKUP(I231,Materiales!$A:$H,8,0),"")</f>
        <v/>
      </c>
      <c r="K231" s="9">
        <f>IFERROR(VLOOKUP(I231,Materiales!$A:$G,7,0),"")</f>
        <v/>
      </c>
      <c r="L231" s="8" t="inlineStr">
        <is>
          <t>20220504</t>
        </is>
      </c>
      <c r="M231" s="8" t="inlineStr">
        <is>
          <t>20230127</t>
        </is>
      </c>
      <c r="N231" s="10" t="n">
        <v>38.99</v>
      </c>
      <c r="O231" s="10">
        <f>IFERROR(VLOOKUP(A231,Flete!$A:$J,10,0),"")</f>
        <v/>
      </c>
      <c r="P231" s="8" t="inlineStr">
        <is>
          <t>TN</t>
        </is>
      </c>
      <c r="Q231" s="10">
        <f>IFERROR(IFERROR(VLOOKUP(A231,TRAOPE!$A:$U,21,0),VLOOKUP(B231,TRAOPE!$A:$U,21,0)),"")</f>
        <v/>
      </c>
      <c r="R231" s="8">
        <f>IFERROR(IFERROR(VLOOKUP(A231,TRAOPE!$A:$W,23,0),VLOOKUP(B231,TRAOPE!$A:$W,23,0)),"")</f>
        <v/>
      </c>
      <c r="S231" s="10">
        <f>IF(AND(P231="TN",R231="TN"),N231+N(O231),IF(G231&amp;""="1",N(K231)*N231,(N231+N(O231))*N(K231)))</f>
        <v/>
      </c>
      <c r="T231" s="10">
        <f>IF(Q231="","",Q231-S231)</f>
        <v/>
      </c>
    </row>
    <row r="232">
      <c r="A232" s="7">
        <f>CONCATENATE(C232,E232,F232,I232)</f>
        <v/>
      </c>
      <c r="B232" s="7">
        <f>CONCATENATE(C232,E232,I232)</f>
        <v/>
      </c>
      <c r="C232" s="8" t="n">
        <v>900007052</v>
      </c>
      <c r="D232" s="7">
        <f>IFERROR(VLOOKUP(C232,TRAOPE!$G:$H,2,0),"")</f>
        <v/>
      </c>
      <c r="E232" s="8" t="inlineStr">
        <is>
          <t>DW55</t>
        </is>
      </c>
      <c r="F232" s="8" t="inlineStr">
        <is>
          <t>ER68</t>
        </is>
      </c>
      <c r="G232" s="8">
        <f>IFERROR(VLOOKUP(A232,Flete!$A:$E,5,0),"")</f>
        <v/>
      </c>
      <c r="H232" s="7">
        <f>IFERROR(VLOOKUP(F232,TRAOPE!$AA:$AB,2,0),"")</f>
        <v/>
      </c>
      <c r="I232" s="7" t="n">
        <v>10000382</v>
      </c>
      <c r="J232" s="7">
        <f>IFERROR(VLOOKUP(I232,Materiales!$A:$H,8,0),"")</f>
        <v/>
      </c>
      <c r="K232" s="9">
        <f>IFERROR(VLOOKUP(I232,Materiales!$A:$G,7,0),"")</f>
        <v/>
      </c>
      <c r="L232" s="8" t="inlineStr">
        <is>
          <t>20240122</t>
        </is>
      </c>
      <c r="M232" s="8" t="inlineStr">
        <is>
          <t>20241015</t>
        </is>
      </c>
      <c r="N232" s="10" t="n">
        <v>226.76</v>
      </c>
      <c r="O232" s="10">
        <f>IFERROR(VLOOKUP(A232,Flete!$A:$J,10,0),"")</f>
        <v/>
      </c>
      <c r="P232" s="8" t="inlineStr">
        <is>
          <t>TN</t>
        </is>
      </c>
      <c r="Q232" s="10">
        <f>IFERROR(IFERROR(VLOOKUP(A232,TRAOPE!$A:$U,21,0),VLOOKUP(B232,TRAOPE!$A:$U,21,0)),"")</f>
        <v/>
      </c>
      <c r="R232" s="8">
        <f>IFERROR(IFERROR(VLOOKUP(A232,TRAOPE!$A:$W,23,0),VLOOKUP(B232,TRAOPE!$A:$W,23,0)),"")</f>
        <v/>
      </c>
      <c r="S232" s="10">
        <f>IF(AND(P232="TN",R232="TN"),N232+N(O232),IF(G232&amp;""="1",N(K232)*N232,(N232+N(O232))*N(K232)))</f>
        <v/>
      </c>
      <c r="T232" s="10">
        <f>IF(Q232="","",Q232-S232)</f>
        <v/>
      </c>
    </row>
    <row r="233">
      <c r="A233" s="7">
        <f>CONCATENATE(C233,E233,F233,I233)</f>
        <v/>
      </c>
      <c r="B233" s="7">
        <f>CONCATENATE(C233,E233,I233)</f>
        <v/>
      </c>
      <c r="C233" s="8" t="n">
        <v>900007052</v>
      </c>
      <c r="D233" s="7">
        <f>IFERROR(VLOOKUP(C233,TRAOPE!$G:$H,2,0),"")</f>
        <v/>
      </c>
      <c r="E233" s="8" t="inlineStr">
        <is>
          <t>DW55</t>
        </is>
      </c>
      <c r="F233" s="8" t="inlineStr">
        <is>
          <t>ER68</t>
        </is>
      </c>
      <c r="G233" s="8">
        <f>IFERROR(VLOOKUP(A233,Flete!$A:$E,5,0),"")</f>
        <v/>
      </c>
      <c r="H233" s="7">
        <f>IFERROR(VLOOKUP(F233,TRAOPE!$AA:$AB,2,0),"")</f>
        <v/>
      </c>
      <c r="I233" s="7" t="n">
        <v>10000541</v>
      </c>
      <c r="J233" s="7">
        <f>IFERROR(VLOOKUP(I233,Materiales!$A:$H,8,0),"")</f>
        <v/>
      </c>
      <c r="K233" s="9">
        <f>IFERROR(VLOOKUP(I233,Materiales!$A:$G,7,0),"")</f>
        <v/>
      </c>
      <c r="L233" s="8" t="inlineStr">
        <is>
          <t>20240122</t>
        </is>
      </c>
      <c r="M233" s="8" t="inlineStr">
        <is>
          <t>20241015</t>
        </is>
      </c>
      <c r="N233" s="10" t="n">
        <v>84.81999999999999</v>
      </c>
      <c r="O233" s="10">
        <f>IFERROR(VLOOKUP(A233,Flete!$A:$J,10,0),"")</f>
        <v/>
      </c>
      <c r="P233" s="8" t="inlineStr">
        <is>
          <t>TN</t>
        </is>
      </c>
      <c r="Q233" s="10">
        <f>IFERROR(IFERROR(VLOOKUP(A233,TRAOPE!$A:$U,21,0),VLOOKUP(B233,TRAOPE!$A:$U,21,0)),"")</f>
        <v/>
      </c>
      <c r="R233" s="8">
        <f>IFERROR(IFERROR(VLOOKUP(A233,TRAOPE!$A:$W,23,0),VLOOKUP(B233,TRAOPE!$A:$W,23,0)),"")</f>
        <v/>
      </c>
      <c r="S233" s="10">
        <f>IF(AND(P233="TN",R233="TN"),N233+N(O233),IF(G233&amp;""="1",N(K233)*N233,(N233+N(O233))*N(K233)))</f>
        <v/>
      </c>
      <c r="T233" s="10">
        <f>IF(Q233="","",Q233-S233)</f>
        <v/>
      </c>
    </row>
    <row r="234">
      <c r="A234" s="7">
        <f>CONCATENATE(C234,E234,F234,I234)</f>
        <v/>
      </c>
      <c r="B234" s="7">
        <f>CONCATENATE(C234,E234,I234)</f>
        <v/>
      </c>
      <c r="C234" s="8" t="n">
        <v>900007052</v>
      </c>
      <c r="D234" s="7">
        <f>IFERROR(VLOOKUP(C234,TRAOPE!$G:$H,2,0),"")</f>
        <v/>
      </c>
      <c r="E234" s="8" t="inlineStr">
        <is>
          <t>DW55</t>
        </is>
      </c>
      <c r="F234" s="8" t="inlineStr">
        <is>
          <t>ER68</t>
        </is>
      </c>
      <c r="G234" s="8">
        <f>IFERROR(VLOOKUP(A234,Flete!$A:$E,5,0),"")</f>
        <v/>
      </c>
      <c r="H234" s="7">
        <f>IFERROR(VLOOKUP(F234,TRAOPE!$AA:$AB,2,0),"")</f>
        <v/>
      </c>
      <c r="I234" s="7" t="n">
        <v>10003240</v>
      </c>
      <c r="J234" s="7">
        <f>IFERROR(VLOOKUP(I234,Materiales!$A:$H,8,0),"")</f>
        <v/>
      </c>
      <c r="K234" s="9">
        <f>IFERROR(VLOOKUP(I234,Materiales!$A:$G,7,0),"")</f>
        <v/>
      </c>
      <c r="L234" s="8" t="inlineStr">
        <is>
          <t>20240122</t>
        </is>
      </c>
      <c r="M234" s="8" t="inlineStr">
        <is>
          <t>20241015</t>
        </is>
      </c>
      <c r="N234" s="10" t="n">
        <v>170.7</v>
      </c>
      <c r="O234" s="10">
        <f>IFERROR(VLOOKUP(A234,Flete!$A:$J,10,0),"")</f>
        <v/>
      </c>
      <c r="P234" s="8" t="inlineStr">
        <is>
          <t>TN</t>
        </is>
      </c>
      <c r="Q234" s="10">
        <f>IFERROR(IFERROR(VLOOKUP(A234,TRAOPE!$A:$U,21,0),VLOOKUP(B234,TRAOPE!$A:$U,21,0)),"")</f>
        <v/>
      </c>
      <c r="R234" s="8">
        <f>IFERROR(IFERROR(VLOOKUP(A234,TRAOPE!$A:$W,23,0),VLOOKUP(B234,TRAOPE!$A:$W,23,0)),"")</f>
        <v/>
      </c>
      <c r="S234" s="10">
        <f>IF(AND(P234="TN",R234="TN"),N234+N(O234),IF(G234&amp;""="1",N(K234)*N234,(N234+N(O234))*N(K234)))</f>
        <v/>
      </c>
      <c r="T234" s="10">
        <f>IF(Q234="","",Q234-S234)</f>
        <v/>
      </c>
    </row>
    <row r="235">
      <c r="A235" s="7">
        <f>CONCATENATE(C235,E235,F235,I235)</f>
        <v/>
      </c>
      <c r="B235" s="7">
        <f>CONCATENATE(C235,E235,I235)</f>
        <v/>
      </c>
      <c r="C235" s="8" t="n">
        <v>900007052</v>
      </c>
      <c r="D235" s="7">
        <f>IFERROR(VLOOKUP(C235,TRAOPE!$G:$H,2,0),"")</f>
        <v/>
      </c>
      <c r="E235" s="8" t="inlineStr">
        <is>
          <t>DW55</t>
        </is>
      </c>
      <c r="F235" s="8" t="inlineStr">
        <is>
          <t>ER68</t>
        </is>
      </c>
      <c r="G235" s="8">
        <f>IFERROR(VLOOKUP(A235,Flete!$A:$E,5,0),"")</f>
        <v/>
      </c>
      <c r="H235" s="7">
        <f>IFERROR(VLOOKUP(F235,TRAOPE!$AA:$AB,2,0),"")</f>
        <v/>
      </c>
      <c r="I235" s="7" t="n">
        <v>10210039</v>
      </c>
      <c r="J235" s="7">
        <f>IFERROR(VLOOKUP(I235,Materiales!$A:$H,8,0),"")</f>
        <v/>
      </c>
      <c r="K235" s="9">
        <f>IFERROR(VLOOKUP(I235,Materiales!$A:$G,7,0),"")</f>
        <v/>
      </c>
      <c r="L235" s="8" t="inlineStr">
        <is>
          <t>20240122</t>
        </is>
      </c>
      <c r="M235" s="8" t="inlineStr">
        <is>
          <t>20241015</t>
        </is>
      </c>
      <c r="N235" s="10" t="n">
        <v>37.04</v>
      </c>
      <c r="O235" s="10">
        <f>IFERROR(VLOOKUP(A235,Flete!$A:$J,10,0),"")</f>
        <v/>
      </c>
      <c r="P235" s="8" t="inlineStr">
        <is>
          <t>TN</t>
        </is>
      </c>
      <c r="Q235" s="10">
        <f>IFERROR(IFERROR(VLOOKUP(A235,TRAOPE!$A:$U,21,0),VLOOKUP(B235,TRAOPE!$A:$U,21,0)),"")</f>
        <v/>
      </c>
      <c r="R235" s="8">
        <f>IFERROR(IFERROR(VLOOKUP(A235,TRAOPE!$A:$W,23,0),VLOOKUP(B235,TRAOPE!$A:$W,23,0)),"")</f>
        <v/>
      </c>
      <c r="S235" s="10">
        <f>IF(AND(P235="TN",R235="TN"),N235+N(O235),IF(G235&amp;""="1",N(K235)*N235,(N235+N(O235))*N(K235)))</f>
        <v/>
      </c>
      <c r="T235" s="10">
        <f>IF(Q235="","",Q235-S235)</f>
        <v/>
      </c>
    </row>
    <row r="236">
      <c r="A236" s="7">
        <f>CONCATENATE(C236,E236,F236,I236)</f>
        <v/>
      </c>
      <c r="B236" s="7">
        <f>CONCATENATE(C236,E236,I236)</f>
        <v/>
      </c>
      <c r="C236" s="8" t="n">
        <v>900007071</v>
      </c>
      <c r="D236" s="7">
        <f>IFERROR(VLOOKUP(C236,TRAOPE!$G:$H,2,0),"")</f>
        <v/>
      </c>
      <c r="E236" s="8" t="inlineStr">
        <is>
          <t>DW55</t>
        </is>
      </c>
      <c r="F236" s="8" t="inlineStr">
        <is>
          <t>D325</t>
        </is>
      </c>
      <c r="G236" s="8">
        <f>IFERROR(VLOOKUP(A236,Flete!$A:$E,5,0),"")</f>
        <v/>
      </c>
      <c r="H236" s="7">
        <f>IFERROR(VLOOKUP(F236,TRAOPE!$AA:$AB,2,0),"")</f>
        <v/>
      </c>
      <c r="I236" s="7" t="n">
        <v>10000372</v>
      </c>
      <c r="J236" s="7">
        <f>IFERROR(VLOOKUP(I236,Materiales!$A:$H,8,0),"")</f>
        <v/>
      </c>
      <c r="K236" s="9">
        <f>IFERROR(VLOOKUP(I236,Materiales!$A:$G,7,0),"")</f>
        <v/>
      </c>
      <c r="L236" s="8" t="inlineStr">
        <is>
          <t>20220504</t>
        </is>
      </c>
      <c r="M236" s="8" t="inlineStr">
        <is>
          <t>20230127</t>
        </is>
      </c>
      <c r="N236" s="10" t="n">
        <v>110.5</v>
      </c>
      <c r="O236" s="10">
        <f>IFERROR(VLOOKUP(A236,Flete!$A:$J,10,0),"")</f>
        <v/>
      </c>
      <c r="P236" s="8" t="inlineStr">
        <is>
          <t>TN</t>
        </is>
      </c>
      <c r="Q236" s="10">
        <f>IFERROR(IFERROR(VLOOKUP(A236,TRAOPE!$A:$U,21,0),VLOOKUP(B236,TRAOPE!$A:$U,21,0)),"")</f>
        <v/>
      </c>
      <c r="R236" s="8">
        <f>IFERROR(IFERROR(VLOOKUP(A236,TRAOPE!$A:$W,23,0),VLOOKUP(B236,TRAOPE!$A:$W,23,0)),"")</f>
        <v/>
      </c>
      <c r="S236" s="10">
        <f>IF(AND(P236="TN",R236="TN"),N236+N(O236),IF(G236&amp;""="1",N(K236)*N236,(N236+N(O236))*N(K236)))</f>
        <v/>
      </c>
      <c r="T236" s="10">
        <f>IF(Q236="","",Q236-S236)</f>
        <v/>
      </c>
    </row>
    <row r="237">
      <c r="A237" s="7">
        <f>CONCATENATE(C237,E237,F237,I237)</f>
        <v/>
      </c>
      <c r="B237" s="7">
        <f>CONCATENATE(C237,E237,I237)</f>
        <v/>
      </c>
      <c r="C237" s="8" t="n">
        <v>900007226</v>
      </c>
      <c r="D237" s="7">
        <f>IFERROR(VLOOKUP(C237,TRAOPE!$G:$H,2,0),"")</f>
        <v/>
      </c>
      <c r="E237" s="8" t="inlineStr">
        <is>
          <t>DW55</t>
        </is>
      </c>
      <c r="F237" s="8" t="inlineStr">
        <is>
          <t>D325</t>
        </is>
      </c>
      <c r="G237" s="8">
        <f>IFERROR(VLOOKUP(A237,Flete!$A:$E,5,0),"")</f>
        <v/>
      </c>
      <c r="H237" s="7">
        <f>IFERROR(VLOOKUP(F237,TRAOPE!$AA:$AB,2,0),"")</f>
        <v/>
      </c>
      <c r="I237" s="7" t="n">
        <v>10000372</v>
      </c>
      <c r="J237" s="7">
        <f>IFERROR(VLOOKUP(I237,Materiales!$A:$H,8,0),"")</f>
        <v/>
      </c>
      <c r="K237" s="9">
        <f>IFERROR(VLOOKUP(I237,Materiales!$A:$G,7,0),"")</f>
        <v/>
      </c>
      <c r="L237" s="8" t="inlineStr">
        <is>
          <t>20220516</t>
        </is>
      </c>
      <c r="M237" s="8" t="inlineStr">
        <is>
          <t>20240716</t>
        </is>
      </c>
      <c r="N237" s="10" t="n">
        <v>77.69</v>
      </c>
      <c r="O237" s="10">
        <f>IFERROR(VLOOKUP(A237,Flete!$A:$J,10,0),"")</f>
        <v/>
      </c>
      <c r="P237" s="8" t="inlineStr">
        <is>
          <t>TN</t>
        </is>
      </c>
      <c r="Q237" s="10">
        <f>IFERROR(IFERROR(VLOOKUP(A237,TRAOPE!$A:$U,21,0),VLOOKUP(B237,TRAOPE!$A:$U,21,0)),"")</f>
        <v/>
      </c>
      <c r="R237" s="8">
        <f>IFERROR(IFERROR(VLOOKUP(A237,TRAOPE!$A:$W,23,0),VLOOKUP(B237,TRAOPE!$A:$W,23,0)),"")</f>
        <v/>
      </c>
      <c r="S237" s="10">
        <f>IF(AND(P237="TN",R237="TN"),N237+N(O237),IF(G237&amp;""="1",N(K237)*N237,(N237+N(O237))*N(K237)))</f>
        <v/>
      </c>
      <c r="T237" s="10">
        <f>IF(Q237="","",Q237-S237)</f>
        <v/>
      </c>
    </row>
    <row r="238">
      <c r="A238" s="7">
        <f>CONCATENATE(C238,E238,F238,I238)</f>
        <v/>
      </c>
      <c r="B238" s="7">
        <f>CONCATENATE(C238,E238,I238)</f>
        <v/>
      </c>
      <c r="C238" s="8" t="n">
        <v>900007226</v>
      </c>
      <c r="D238" s="7">
        <f>IFERROR(VLOOKUP(C238,TRAOPE!$G:$H,2,0),"")</f>
        <v/>
      </c>
      <c r="E238" s="8" t="inlineStr">
        <is>
          <t>DW55</t>
        </is>
      </c>
      <c r="F238" s="8" t="inlineStr">
        <is>
          <t>D325</t>
        </is>
      </c>
      <c r="G238" s="8">
        <f>IFERROR(VLOOKUP(A238,Flete!$A:$E,5,0),"")</f>
        <v/>
      </c>
      <c r="H238" s="7">
        <f>IFERROR(VLOOKUP(F238,TRAOPE!$AA:$AB,2,0),"")</f>
        <v/>
      </c>
      <c r="I238" s="7" t="n">
        <v>10023592</v>
      </c>
      <c r="J238" s="7">
        <f>IFERROR(VLOOKUP(I238,Materiales!$A:$H,8,0),"")</f>
        <v/>
      </c>
      <c r="K238" s="9">
        <f>IFERROR(VLOOKUP(I238,Materiales!$A:$G,7,0),"")</f>
        <v/>
      </c>
      <c r="L238" s="8" t="inlineStr">
        <is>
          <t>20220516</t>
        </is>
      </c>
      <c r="M238" s="8" t="inlineStr">
        <is>
          <t>20240716</t>
        </is>
      </c>
      <c r="N238" s="10" t="n">
        <v>70.06</v>
      </c>
      <c r="O238" s="10">
        <f>IFERROR(VLOOKUP(A238,Flete!$A:$J,10,0),"")</f>
        <v/>
      </c>
      <c r="P238" s="8" t="inlineStr">
        <is>
          <t>TN</t>
        </is>
      </c>
      <c r="Q238" s="10">
        <f>IFERROR(IFERROR(VLOOKUP(A238,TRAOPE!$A:$U,21,0),VLOOKUP(B238,TRAOPE!$A:$U,21,0)),"")</f>
        <v/>
      </c>
      <c r="R238" s="8">
        <f>IFERROR(IFERROR(VLOOKUP(A238,TRAOPE!$A:$W,23,0),VLOOKUP(B238,TRAOPE!$A:$W,23,0)),"")</f>
        <v/>
      </c>
      <c r="S238" s="10">
        <f>IF(AND(P238="TN",R238="TN"),N238+N(O238),IF(G238&amp;""="1",N(K238)*N238,(N238+N(O238))*N(K238)))</f>
        <v/>
      </c>
      <c r="T238" s="10">
        <f>IF(Q238="","",Q238-S238)</f>
        <v/>
      </c>
    </row>
    <row r="239">
      <c r="A239" s="7">
        <f>CONCATENATE(C239,E239,F239,I239)</f>
        <v/>
      </c>
      <c r="B239" s="7">
        <f>CONCATENATE(C239,E239,I239)</f>
        <v/>
      </c>
      <c r="C239" s="8" t="n">
        <v>900007246</v>
      </c>
      <c r="D239" s="7">
        <f>IFERROR(VLOOKUP(C239,TRAOPE!$G:$H,2,0),"")</f>
        <v/>
      </c>
      <c r="E239" s="8" t="inlineStr">
        <is>
          <t>DW55</t>
        </is>
      </c>
      <c r="F239" s="8" t="inlineStr">
        <is>
          <t>D284</t>
        </is>
      </c>
      <c r="G239" s="8">
        <f>IFERROR(VLOOKUP(A239,Flete!$A:$E,5,0),"")</f>
        <v/>
      </c>
      <c r="H239" s="7">
        <f>IFERROR(VLOOKUP(F239,TRAOPE!$AA:$AB,2,0),"")</f>
        <v/>
      </c>
      <c r="I239" s="7" t="n">
        <v>10210039</v>
      </c>
      <c r="J239" s="7">
        <f>IFERROR(VLOOKUP(I239,Materiales!$A:$H,8,0),"")</f>
        <v/>
      </c>
      <c r="K239" s="9">
        <f>IFERROR(VLOOKUP(I239,Materiales!$A:$G,7,0),"")</f>
        <v/>
      </c>
      <c r="L239" s="8" t="inlineStr">
        <is>
          <t>20220504</t>
        </is>
      </c>
      <c r="M239" s="8" t="inlineStr">
        <is>
          <t>20240716</t>
        </is>
      </c>
      <c r="N239" s="10" t="n">
        <v>43.77</v>
      </c>
      <c r="O239" s="10">
        <f>IFERROR(VLOOKUP(A239,Flete!$A:$J,10,0),"")</f>
        <v/>
      </c>
      <c r="P239" s="8" t="inlineStr">
        <is>
          <t>TN</t>
        </is>
      </c>
      <c r="Q239" s="10">
        <f>IFERROR(IFERROR(VLOOKUP(A239,TRAOPE!$A:$U,21,0),VLOOKUP(B239,TRAOPE!$A:$U,21,0)),"")</f>
        <v/>
      </c>
      <c r="R239" s="8">
        <f>IFERROR(IFERROR(VLOOKUP(A239,TRAOPE!$A:$W,23,0),VLOOKUP(B239,TRAOPE!$A:$W,23,0)),"")</f>
        <v/>
      </c>
      <c r="S239" s="10">
        <f>IF(AND(P239="TN",R239="TN"),N239+N(O239),IF(G239&amp;""="1",N(K239)*N239,(N239+N(O239))*N(K239)))</f>
        <v/>
      </c>
      <c r="T239" s="10">
        <f>IF(Q239="","",Q239-S239)</f>
        <v/>
      </c>
    </row>
    <row r="240">
      <c r="A240" s="7">
        <f>CONCATENATE(C240,E240,F240,I240)</f>
        <v/>
      </c>
      <c r="B240" s="7">
        <f>CONCATENATE(C240,E240,I240)</f>
        <v/>
      </c>
      <c r="C240" s="8" t="n">
        <v>900007246</v>
      </c>
      <c r="D240" s="7">
        <f>IFERROR(VLOOKUP(C240,TRAOPE!$G:$H,2,0),"")</f>
        <v/>
      </c>
      <c r="E240" s="8" t="inlineStr">
        <is>
          <t>DW55</t>
        </is>
      </c>
      <c r="F240" s="8" t="inlineStr">
        <is>
          <t>ER67</t>
        </is>
      </c>
      <c r="G240" s="8">
        <f>IFERROR(VLOOKUP(A240,Flete!$A:$E,5,0),"")</f>
        <v/>
      </c>
      <c r="H240" s="7">
        <f>IFERROR(VLOOKUP(F240,TRAOPE!$AA:$AB,2,0),"")</f>
        <v/>
      </c>
      <c r="I240" s="7" t="n">
        <v>10210039</v>
      </c>
      <c r="J240" s="7">
        <f>IFERROR(VLOOKUP(I240,Materiales!$A:$H,8,0),"")</f>
        <v/>
      </c>
      <c r="K240" s="9">
        <f>IFERROR(VLOOKUP(I240,Materiales!$A:$G,7,0),"")</f>
        <v/>
      </c>
      <c r="L240" s="8" t="inlineStr">
        <is>
          <t>20220504</t>
        </is>
      </c>
      <c r="M240" s="8" t="inlineStr">
        <is>
          <t>20230127</t>
        </is>
      </c>
      <c r="N240" s="10" t="n">
        <v>43.77</v>
      </c>
      <c r="O240" s="10">
        <f>IFERROR(VLOOKUP(A240,Flete!$A:$J,10,0),"")</f>
        <v/>
      </c>
      <c r="P240" s="8" t="inlineStr">
        <is>
          <t>TN</t>
        </is>
      </c>
      <c r="Q240" s="10">
        <f>IFERROR(IFERROR(VLOOKUP(A240,TRAOPE!$A:$U,21,0),VLOOKUP(B240,TRAOPE!$A:$U,21,0)),"")</f>
        <v/>
      </c>
      <c r="R240" s="8">
        <f>IFERROR(IFERROR(VLOOKUP(A240,TRAOPE!$A:$W,23,0),VLOOKUP(B240,TRAOPE!$A:$W,23,0)),"")</f>
        <v/>
      </c>
      <c r="S240" s="10">
        <f>IF(AND(P240="TN",R240="TN"),N240+N(O240),IF(G240&amp;""="1",N(K240)*N240,(N240+N(O240))*N(K240)))</f>
        <v/>
      </c>
      <c r="T240" s="10">
        <f>IF(Q240="","",Q240-S240)</f>
        <v/>
      </c>
    </row>
    <row r="241">
      <c r="A241" s="7">
        <f>CONCATENATE(C241,E241,F241,I241)</f>
        <v/>
      </c>
      <c r="B241" s="7">
        <f>CONCATENATE(C241,E241,I241)</f>
        <v/>
      </c>
      <c r="C241" s="8" t="n">
        <v>900007246</v>
      </c>
      <c r="D241" s="7">
        <f>IFERROR(VLOOKUP(C241,TRAOPE!$G:$H,2,0),"")</f>
        <v/>
      </c>
      <c r="E241" s="8" t="inlineStr">
        <is>
          <t>DW55</t>
        </is>
      </c>
      <c r="F241" s="8" t="inlineStr">
        <is>
          <t>ER68</t>
        </is>
      </c>
      <c r="G241" s="8">
        <f>IFERROR(VLOOKUP(A241,Flete!$A:$E,5,0),"")</f>
        <v/>
      </c>
      <c r="H241" s="7">
        <f>IFERROR(VLOOKUP(F241,TRAOPE!$AA:$AB,2,0),"")</f>
        <v/>
      </c>
      <c r="I241" s="7" t="n">
        <v>10210039</v>
      </c>
      <c r="J241" s="7">
        <f>IFERROR(VLOOKUP(I241,Materiales!$A:$H,8,0),"")</f>
        <v/>
      </c>
      <c r="K241" s="9">
        <f>IFERROR(VLOOKUP(I241,Materiales!$A:$G,7,0),"")</f>
        <v/>
      </c>
      <c r="L241" s="8" t="inlineStr">
        <is>
          <t>20220501</t>
        </is>
      </c>
      <c r="M241" s="8" t="inlineStr">
        <is>
          <t>20240716</t>
        </is>
      </c>
      <c r="N241" s="10" t="n">
        <v>43.77</v>
      </c>
      <c r="O241" s="10">
        <f>IFERROR(VLOOKUP(A241,Flete!$A:$J,10,0),"")</f>
        <v/>
      </c>
      <c r="P241" s="8" t="inlineStr">
        <is>
          <t>TN</t>
        </is>
      </c>
      <c r="Q241" s="10">
        <f>IFERROR(IFERROR(VLOOKUP(A241,TRAOPE!$A:$U,21,0),VLOOKUP(B241,TRAOPE!$A:$U,21,0)),"")</f>
        <v/>
      </c>
      <c r="R241" s="8">
        <f>IFERROR(IFERROR(VLOOKUP(A241,TRAOPE!$A:$W,23,0),VLOOKUP(B241,TRAOPE!$A:$W,23,0)),"")</f>
        <v/>
      </c>
      <c r="S241" s="10">
        <f>IF(AND(P241="TN",R241="TN"),N241+N(O241),IF(G241&amp;""="1",N(K241)*N241,(N241+N(O241))*N(K241)))</f>
        <v/>
      </c>
      <c r="T241" s="10">
        <f>IF(Q241="","",Q241-S241)</f>
        <v/>
      </c>
    </row>
    <row r="242">
      <c r="A242" s="7">
        <f>CONCATENATE(C242,E242,F242,I242)</f>
        <v/>
      </c>
      <c r="B242" s="7">
        <f>CONCATENATE(C242,E242,I242)</f>
        <v/>
      </c>
      <c r="C242" s="8" t="n">
        <v>900007247</v>
      </c>
      <c r="D242" s="7">
        <f>IFERROR(VLOOKUP(C242,TRAOPE!$G:$H,2,0),"")</f>
        <v/>
      </c>
      <c r="E242" s="8" t="inlineStr">
        <is>
          <t>DW55</t>
        </is>
      </c>
      <c r="F242" s="8" t="inlineStr">
        <is>
          <t>D342</t>
        </is>
      </c>
      <c r="G242" s="8">
        <f>IFERROR(VLOOKUP(A242,Flete!$A:$E,5,0),"")</f>
        <v/>
      </c>
      <c r="H242" s="7">
        <f>IFERROR(VLOOKUP(F242,TRAOPE!$AA:$AB,2,0),"")</f>
        <v/>
      </c>
      <c r="I242" s="7" t="n">
        <v>10000372</v>
      </c>
      <c r="J242" s="7">
        <f>IFERROR(VLOOKUP(I242,Materiales!$A:$H,8,0),"")</f>
        <v/>
      </c>
      <c r="K242" s="9">
        <f>IFERROR(VLOOKUP(I242,Materiales!$A:$G,7,0),"")</f>
        <v/>
      </c>
      <c r="L242" s="8" t="inlineStr">
        <is>
          <t>20220705</t>
        </is>
      </c>
      <c r="M242" s="8" t="inlineStr">
        <is>
          <t>20240716</t>
        </is>
      </c>
      <c r="N242" s="10" t="n">
        <v>151.93</v>
      </c>
      <c r="O242" s="10">
        <f>IFERROR(VLOOKUP(A242,Flete!$A:$J,10,0),"")</f>
        <v/>
      </c>
      <c r="P242" s="8" t="inlineStr">
        <is>
          <t>TN</t>
        </is>
      </c>
      <c r="Q242" s="10">
        <f>IFERROR(IFERROR(VLOOKUP(A242,TRAOPE!$A:$U,21,0),VLOOKUP(B242,TRAOPE!$A:$U,21,0)),"")</f>
        <v/>
      </c>
      <c r="R242" s="8">
        <f>IFERROR(IFERROR(VLOOKUP(A242,TRAOPE!$A:$W,23,0),VLOOKUP(B242,TRAOPE!$A:$W,23,0)),"")</f>
        <v/>
      </c>
      <c r="S242" s="10">
        <f>IF(AND(P242="TN",R242="TN"),N242+N(O242),IF(G242&amp;""="1",N(K242)*N242,(N242+N(O242))*N(K242)))</f>
        <v/>
      </c>
      <c r="T242" s="10">
        <f>IF(Q242="","",Q242-S242)</f>
        <v/>
      </c>
    </row>
    <row r="243">
      <c r="A243" s="7">
        <f>CONCATENATE(C243,E243,F243,I243)</f>
        <v/>
      </c>
      <c r="B243" s="7">
        <f>CONCATENATE(C243,E243,I243)</f>
        <v/>
      </c>
      <c r="C243" s="8" t="n">
        <v>900007247</v>
      </c>
      <c r="D243" s="7">
        <f>IFERROR(VLOOKUP(C243,TRAOPE!$G:$H,2,0),"")</f>
        <v/>
      </c>
      <c r="E243" s="8" t="inlineStr">
        <is>
          <t>DW55</t>
        </is>
      </c>
      <c r="F243" s="8" t="inlineStr">
        <is>
          <t>D348</t>
        </is>
      </c>
      <c r="G243" s="8">
        <f>IFERROR(VLOOKUP(A243,Flete!$A:$E,5,0),"")</f>
        <v/>
      </c>
      <c r="H243" s="7">
        <f>IFERROR(VLOOKUP(F243,TRAOPE!$AA:$AB,2,0),"")</f>
        <v/>
      </c>
      <c r="I243" s="7" t="n">
        <v>10000372</v>
      </c>
      <c r="J243" s="7">
        <f>IFERROR(VLOOKUP(I243,Materiales!$A:$H,8,0),"")</f>
        <v/>
      </c>
      <c r="K243" s="9">
        <f>IFERROR(VLOOKUP(I243,Materiales!$A:$G,7,0),"")</f>
        <v/>
      </c>
      <c r="L243" s="8" t="inlineStr">
        <is>
          <t>20220516</t>
        </is>
      </c>
      <c r="M243" s="8" t="inlineStr">
        <is>
          <t>20240716</t>
        </is>
      </c>
      <c r="N243" s="10" t="n">
        <v>103.59</v>
      </c>
      <c r="O243" s="10">
        <f>IFERROR(VLOOKUP(A243,Flete!$A:$J,10,0),"")</f>
        <v/>
      </c>
      <c r="P243" s="8" t="inlineStr">
        <is>
          <t>TN</t>
        </is>
      </c>
      <c r="Q243" s="10">
        <f>IFERROR(IFERROR(VLOOKUP(A243,TRAOPE!$A:$U,21,0),VLOOKUP(B243,TRAOPE!$A:$U,21,0)),"")</f>
        <v/>
      </c>
      <c r="R243" s="8">
        <f>IFERROR(IFERROR(VLOOKUP(A243,TRAOPE!$A:$W,23,0),VLOOKUP(B243,TRAOPE!$A:$W,23,0)),"")</f>
        <v/>
      </c>
      <c r="S243" s="10">
        <f>IF(AND(P243="TN",R243="TN"),N243+N(O243),IF(G243&amp;""="1",N(K243)*N243,(N243+N(O243))*N(K243)))</f>
        <v/>
      </c>
      <c r="T243" s="10">
        <f>IF(Q243="","",Q243-S243)</f>
        <v/>
      </c>
    </row>
    <row r="244">
      <c r="A244" s="7">
        <f>CONCATENATE(C244,E244,F244,I244)</f>
        <v/>
      </c>
      <c r="B244" s="7">
        <f>CONCATENATE(C244,E244,I244)</f>
        <v/>
      </c>
      <c r="C244" s="8" t="n">
        <v>900007247</v>
      </c>
      <c r="D244" s="7">
        <f>IFERROR(VLOOKUP(C244,TRAOPE!$G:$H,2,0),"")</f>
        <v/>
      </c>
      <c r="E244" s="8" t="inlineStr">
        <is>
          <t>DW55</t>
        </is>
      </c>
      <c r="F244" s="8" t="inlineStr">
        <is>
          <t>D348</t>
        </is>
      </c>
      <c r="G244" s="8">
        <f>IFERROR(VLOOKUP(A244,Flete!$A:$E,5,0),"")</f>
        <v/>
      </c>
      <c r="H244" s="7">
        <f>IFERROR(VLOOKUP(F244,TRAOPE!$AA:$AB,2,0),"")</f>
        <v/>
      </c>
      <c r="I244" s="7" t="n">
        <v>10214752</v>
      </c>
      <c r="J244" s="7">
        <f>IFERROR(VLOOKUP(I244,Materiales!$A:$H,8,0),"")</f>
        <v/>
      </c>
      <c r="K244" s="9">
        <f>IFERROR(VLOOKUP(I244,Materiales!$A:$G,7,0),"")</f>
        <v/>
      </c>
      <c r="L244" s="8" t="inlineStr">
        <is>
          <t>20220614</t>
        </is>
      </c>
      <c r="M244" s="8" t="inlineStr">
        <is>
          <t>20240716</t>
        </is>
      </c>
      <c r="N244" s="10" t="n">
        <v>40.27</v>
      </c>
      <c r="O244" s="10">
        <f>IFERROR(VLOOKUP(A244,Flete!$A:$J,10,0),"")</f>
        <v/>
      </c>
      <c r="P244" s="8" t="inlineStr">
        <is>
          <t>TN</t>
        </is>
      </c>
      <c r="Q244" s="10">
        <f>IFERROR(IFERROR(VLOOKUP(A244,TRAOPE!$A:$U,21,0),VLOOKUP(B244,TRAOPE!$A:$U,21,0)),"")</f>
        <v/>
      </c>
      <c r="R244" s="8">
        <f>IFERROR(IFERROR(VLOOKUP(A244,TRAOPE!$A:$W,23,0),VLOOKUP(B244,TRAOPE!$A:$W,23,0)),"")</f>
        <v/>
      </c>
      <c r="S244" s="10">
        <f>IF(AND(P244="TN",R244="TN"),N244+N(O244),IF(G244&amp;""="1",N(K244)*N244,(N244+N(O244))*N(K244)))</f>
        <v/>
      </c>
      <c r="T244" s="10">
        <f>IF(Q244="","",Q244-S244)</f>
        <v/>
      </c>
    </row>
    <row r="245">
      <c r="A245" s="7">
        <f>CONCATENATE(C245,E245,F245,I245)</f>
        <v/>
      </c>
      <c r="B245" s="7">
        <f>CONCATENATE(C245,E245,I245)</f>
        <v/>
      </c>
      <c r="C245" s="8" t="n">
        <v>900007247</v>
      </c>
      <c r="D245" s="7">
        <f>IFERROR(VLOOKUP(C245,TRAOPE!$G:$H,2,0),"")</f>
        <v/>
      </c>
      <c r="E245" s="8" t="inlineStr">
        <is>
          <t>DW55</t>
        </is>
      </c>
      <c r="F245" s="8" t="inlineStr">
        <is>
          <t>ER67</t>
        </is>
      </c>
      <c r="G245" s="8">
        <f>IFERROR(VLOOKUP(A245,Flete!$A:$E,5,0),"")</f>
        <v/>
      </c>
      <c r="H245" s="7">
        <f>IFERROR(VLOOKUP(F245,TRAOPE!$AA:$AB,2,0),"")</f>
        <v/>
      </c>
      <c r="I245" s="7" t="n">
        <v>10210039</v>
      </c>
      <c r="J245" s="7">
        <f>IFERROR(VLOOKUP(I245,Materiales!$A:$H,8,0),"")</f>
        <v/>
      </c>
      <c r="K245" s="9">
        <f>IFERROR(VLOOKUP(I245,Materiales!$A:$G,7,0),"")</f>
        <v/>
      </c>
      <c r="L245" s="8" t="inlineStr">
        <is>
          <t>20220504</t>
        </is>
      </c>
      <c r="M245" s="8" t="inlineStr">
        <is>
          <t>20230127</t>
        </is>
      </c>
      <c r="N245" s="10" t="n">
        <v>43.77</v>
      </c>
      <c r="O245" s="10">
        <f>IFERROR(VLOOKUP(A245,Flete!$A:$J,10,0),"")</f>
        <v/>
      </c>
      <c r="P245" s="8" t="inlineStr">
        <is>
          <t>TN</t>
        </is>
      </c>
      <c r="Q245" s="10">
        <f>IFERROR(IFERROR(VLOOKUP(A245,TRAOPE!$A:$U,21,0),VLOOKUP(B245,TRAOPE!$A:$U,21,0)),"")</f>
        <v/>
      </c>
      <c r="R245" s="8">
        <f>IFERROR(IFERROR(VLOOKUP(A245,TRAOPE!$A:$W,23,0),VLOOKUP(B245,TRAOPE!$A:$W,23,0)),"")</f>
        <v/>
      </c>
      <c r="S245" s="10">
        <f>IF(AND(P245="TN",R245="TN"),N245+N(O245),IF(G245&amp;""="1",N(K245)*N245,(N245+N(O245))*N(K245)))</f>
        <v/>
      </c>
      <c r="T245" s="10">
        <f>IF(Q245="","",Q245-S245)</f>
        <v/>
      </c>
    </row>
    <row r="246">
      <c r="A246" s="7">
        <f>CONCATENATE(C246,E246,F246,I246)</f>
        <v/>
      </c>
      <c r="B246" s="7">
        <f>CONCATENATE(C246,E246,I246)</f>
        <v/>
      </c>
      <c r="C246" s="8" t="n">
        <v>900007247</v>
      </c>
      <c r="D246" s="7">
        <f>IFERROR(VLOOKUP(C246,TRAOPE!$G:$H,2,0),"")</f>
        <v/>
      </c>
      <c r="E246" s="8" t="inlineStr">
        <is>
          <t>DW55</t>
        </is>
      </c>
      <c r="F246" s="8" t="inlineStr">
        <is>
          <t>ER67</t>
        </is>
      </c>
      <c r="G246" s="8">
        <f>IFERROR(VLOOKUP(A246,Flete!$A:$E,5,0),"")</f>
        <v/>
      </c>
      <c r="H246" s="7">
        <f>IFERROR(VLOOKUP(F246,TRAOPE!$AA:$AB,2,0),"")</f>
        <v/>
      </c>
      <c r="I246" s="7" t="n">
        <v>10210260</v>
      </c>
      <c r="J246" s="7">
        <f>IFERROR(VLOOKUP(I246,Materiales!$A:$H,8,0),"")</f>
        <v/>
      </c>
      <c r="K246" s="9">
        <f>IFERROR(VLOOKUP(I246,Materiales!$A:$G,7,0),"")</f>
        <v/>
      </c>
      <c r="L246" s="8" t="inlineStr">
        <is>
          <t>20220504</t>
        </is>
      </c>
      <c r="M246" s="8" t="inlineStr">
        <is>
          <t>20230127</t>
        </is>
      </c>
      <c r="N246" s="10" t="n">
        <v>120.72</v>
      </c>
      <c r="O246" s="10">
        <f>IFERROR(VLOOKUP(A246,Flete!$A:$J,10,0),"")</f>
        <v/>
      </c>
      <c r="P246" s="8" t="inlineStr">
        <is>
          <t>TN</t>
        </is>
      </c>
      <c r="Q246" s="10">
        <f>IFERROR(IFERROR(VLOOKUP(A246,TRAOPE!$A:$U,21,0),VLOOKUP(B246,TRAOPE!$A:$U,21,0)),"")</f>
        <v/>
      </c>
      <c r="R246" s="8">
        <f>IFERROR(IFERROR(VLOOKUP(A246,TRAOPE!$A:$W,23,0),VLOOKUP(B246,TRAOPE!$A:$W,23,0)),"")</f>
        <v/>
      </c>
      <c r="S246" s="10">
        <f>IF(AND(P246="TN",R246="TN"),N246+N(O246),IF(G246&amp;""="1",N(K246)*N246,(N246+N(O246))*N(K246)))</f>
        <v/>
      </c>
      <c r="T246" s="10">
        <f>IF(Q246="","",Q246-S246)</f>
        <v/>
      </c>
    </row>
    <row r="247">
      <c r="A247" s="7">
        <f>CONCATENATE(C247,E247,F247,I247)</f>
        <v/>
      </c>
      <c r="B247" s="7">
        <f>CONCATENATE(C247,E247,I247)</f>
        <v/>
      </c>
      <c r="C247" s="8" t="n">
        <v>900007247</v>
      </c>
      <c r="D247" s="7">
        <f>IFERROR(VLOOKUP(C247,TRAOPE!$G:$H,2,0),"")</f>
        <v/>
      </c>
      <c r="E247" s="8" t="inlineStr">
        <is>
          <t>DW55</t>
        </is>
      </c>
      <c r="F247" s="8" t="inlineStr">
        <is>
          <t>ER68</t>
        </is>
      </c>
      <c r="G247" s="8">
        <f>IFERROR(VLOOKUP(A247,Flete!$A:$E,5,0),"")</f>
        <v/>
      </c>
      <c r="H247" s="7">
        <f>IFERROR(VLOOKUP(F247,TRAOPE!$AA:$AB,2,0),"")</f>
        <v/>
      </c>
      <c r="I247" s="7" t="n">
        <v>10210039</v>
      </c>
      <c r="J247" s="7">
        <f>IFERROR(VLOOKUP(I247,Materiales!$A:$H,8,0),"")</f>
        <v/>
      </c>
      <c r="K247" s="9">
        <f>IFERROR(VLOOKUP(I247,Materiales!$A:$G,7,0),"")</f>
        <v/>
      </c>
      <c r="L247" s="8" t="inlineStr">
        <is>
          <t>20220501</t>
        </is>
      </c>
      <c r="M247" s="8" t="inlineStr">
        <is>
          <t>20240716</t>
        </is>
      </c>
      <c r="N247" s="10" t="n">
        <v>43.77</v>
      </c>
      <c r="O247" s="10">
        <f>IFERROR(VLOOKUP(A247,Flete!$A:$J,10,0),"")</f>
        <v/>
      </c>
      <c r="P247" s="8" t="inlineStr">
        <is>
          <t>TN</t>
        </is>
      </c>
      <c r="Q247" s="10">
        <f>IFERROR(IFERROR(VLOOKUP(A247,TRAOPE!$A:$U,21,0),VLOOKUP(B247,TRAOPE!$A:$U,21,0)),"")</f>
        <v/>
      </c>
      <c r="R247" s="8">
        <f>IFERROR(IFERROR(VLOOKUP(A247,TRAOPE!$A:$W,23,0),VLOOKUP(B247,TRAOPE!$A:$W,23,0)),"")</f>
        <v/>
      </c>
      <c r="S247" s="10">
        <f>IF(AND(P247="TN",R247="TN"),N247+N(O247),IF(G247&amp;""="1",N(K247)*N247,(N247+N(O247))*N(K247)))</f>
        <v/>
      </c>
      <c r="T247" s="10">
        <f>IF(Q247="","",Q247-S247)</f>
        <v/>
      </c>
    </row>
    <row r="248">
      <c r="A248" s="7">
        <f>CONCATENATE(C248,E248,F248,I248)</f>
        <v/>
      </c>
      <c r="B248" s="7">
        <f>CONCATENATE(C248,E248,I248)</f>
        <v/>
      </c>
      <c r="C248" s="8" t="n">
        <v>900007247</v>
      </c>
      <c r="D248" s="7">
        <f>IFERROR(VLOOKUP(C248,TRAOPE!$G:$H,2,0),"")</f>
        <v/>
      </c>
      <c r="E248" s="8" t="inlineStr">
        <is>
          <t>DW55</t>
        </is>
      </c>
      <c r="F248" s="8" t="inlineStr">
        <is>
          <t>ER68</t>
        </is>
      </c>
      <c r="G248" s="8">
        <f>IFERROR(VLOOKUP(A248,Flete!$A:$E,5,0),"")</f>
        <v/>
      </c>
      <c r="H248" s="7">
        <f>IFERROR(VLOOKUP(F248,TRAOPE!$AA:$AB,2,0),"")</f>
        <v/>
      </c>
      <c r="I248" s="7" t="n">
        <v>10210260</v>
      </c>
      <c r="J248" s="7">
        <f>IFERROR(VLOOKUP(I248,Materiales!$A:$H,8,0),"")</f>
        <v/>
      </c>
      <c r="K248" s="9">
        <f>IFERROR(VLOOKUP(I248,Materiales!$A:$G,7,0),"")</f>
        <v/>
      </c>
      <c r="L248" s="8" t="inlineStr">
        <is>
          <t>20220501</t>
        </is>
      </c>
      <c r="M248" s="8" t="inlineStr">
        <is>
          <t>20240716</t>
        </is>
      </c>
      <c r="N248" s="10" t="n">
        <v>120.72</v>
      </c>
      <c r="O248" s="10">
        <f>IFERROR(VLOOKUP(A248,Flete!$A:$J,10,0),"")</f>
        <v/>
      </c>
      <c r="P248" s="8" t="inlineStr">
        <is>
          <t>TN</t>
        </is>
      </c>
      <c r="Q248" s="10">
        <f>IFERROR(IFERROR(VLOOKUP(A248,TRAOPE!$A:$U,21,0),VLOOKUP(B248,TRAOPE!$A:$U,21,0)),"")</f>
        <v/>
      </c>
      <c r="R248" s="8">
        <f>IFERROR(IFERROR(VLOOKUP(A248,TRAOPE!$A:$W,23,0),VLOOKUP(B248,TRAOPE!$A:$W,23,0)),"")</f>
        <v/>
      </c>
      <c r="S248" s="10">
        <f>IF(AND(P248="TN",R248="TN"),N248+N(O248),IF(G248&amp;""="1",N(K248)*N248,(N248+N(O248))*N(K248)))</f>
        <v/>
      </c>
      <c r="T248" s="10">
        <f>IF(Q248="","",Q248-S248)</f>
        <v/>
      </c>
    </row>
    <row r="249">
      <c r="A249" s="7">
        <f>CONCATENATE(C249,E249,F249,I249)</f>
        <v/>
      </c>
      <c r="B249" s="7">
        <f>CONCATENATE(C249,E249,I249)</f>
        <v/>
      </c>
      <c r="C249" s="8" t="n">
        <v>900007250</v>
      </c>
      <c r="D249" s="7">
        <f>IFERROR(VLOOKUP(C249,TRAOPE!$G:$H,2,0),"")</f>
        <v/>
      </c>
      <c r="E249" s="8" t="inlineStr">
        <is>
          <t>DW55</t>
        </is>
      </c>
      <c r="F249" s="8" t="inlineStr">
        <is>
          <t>D284</t>
        </is>
      </c>
      <c r="G249" s="8">
        <f>IFERROR(VLOOKUP(A249,Flete!$A:$E,5,0),"")</f>
        <v/>
      </c>
      <c r="H249" s="7">
        <f>IFERROR(VLOOKUP(F249,TRAOPE!$AA:$AB,2,0),"")</f>
        <v/>
      </c>
      <c r="I249" s="7" t="n">
        <v>10000178</v>
      </c>
      <c r="J249" s="7">
        <f>IFERROR(VLOOKUP(I249,Materiales!$A:$H,8,0),"")</f>
        <v/>
      </c>
      <c r="K249" s="9">
        <f>IFERROR(VLOOKUP(I249,Materiales!$A:$G,7,0),"")</f>
        <v/>
      </c>
      <c r="L249" s="8" t="inlineStr">
        <is>
          <t>20220630</t>
        </is>
      </c>
      <c r="M249" s="8" t="inlineStr">
        <is>
          <t>20240716</t>
        </is>
      </c>
      <c r="N249" s="10" t="n">
        <v>152.62</v>
      </c>
      <c r="O249" s="10">
        <f>IFERROR(VLOOKUP(A249,Flete!$A:$J,10,0),"")</f>
        <v/>
      </c>
      <c r="P249" s="8" t="inlineStr">
        <is>
          <t>TN</t>
        </is>
      </c>
      <c r="Q249" s="10">
        <f>IFERROR(IFERROR(VLOOKUP(A249,TRAOPE!$A:$U,21,0),VLOOKUP(B249,TRAOPE!$A:$U,21,0)),"")</f>
        <v/>
      </c>
      <c r="R249" s="8">
        <f>IFERROR(IFERROR(VLOOKUP(A249,TRAOPE!$A:$W,23,0),VLOOKUP(B249,TRAOPE!$A:$W,23,0)),"")</f>
        <v/>
      </c>
      <c r="S249" s="10">
        <f>IF(AND(P249="TN",R249="TN"),N249+N(O249),IF(G249&amp;""="1",N(K249)*N249,(N249+N(O249))*N(K249)))</f>
        <v/>
      </c>
      <c r="T249" s="10">
        <f>IF(Q249="","",Q249-S249)</f>
        <v/>
      </c>
    </row>
    <row r="250">
      <c r="A250" s="7">
        <f>CONCATENATE(C250,E250,F250,I250)</f>
        <v/>
      </c>
      <c r="B250" s="7">
        <f>CONCATENATE(C250,E250,I250)</f>
        <v/>
      </c>
      <c r="C250" s="8" t="n">
        <v>900007250</v>
      </c>
      <c r="D250" s="7">
        <f>IFERROR(VLOOKUP(C250,TRAOPE!$G:$H,2,0),"")</f>
        <v/>
      </c>
      <c r="E250" s="8" t="inlineStr">
        <is>
          <t>DW55</t>
        </is>
      </c>
      <c r="F250" s="8" t="inlineStr">
        <is>
          <t>D284</t>
        </is>
      </c>
      <c r="G250" s="8">
        <f>IFERROR(VLOOKUP(A250,Flete!$A:$E,5,0),"")</f>
        <v/>
      </c>
      <c r="H250" s="7">
        <f>IFERROR(VLOOKUP(F250,TRAOPE!$AA:$AB,2,0),"")</f>
        <v/>
      </c>
      <c r="I250" s="7" t="n">
        <v>10000826</v>
      </c>
      <c r="J250" s="7">
        <f>IFERROR(VLOOKUP(I250,Materiales!$A:$H,8,0),"")</f>
        <v/>
      </c>
      <c r="K250" s="9">
        <f>IFERROR(VLOOKUP(I250,Materiales!$A:$G,7,0),"")</f>
        <v/>
      </c>
      <c r="L250" s="8" t="inlineStr">
        <is>
          <t>20220713</t>
        </is>
      </c>
      <c r="M250" s="8" t="inlineStr">
        <is>
          <t>20240716</t>
        </is>
      </c>
      <c r="N250" s="10" t="n">
        <v>110.34</v>
      </c>
      <c r="O250" s="10">
        <f>IFERROR(VLOOKUP(A250,Flete!$A:$J,10,0),"")</f>
        <v/>
      </c>
      <c r="P250" s="8" t="inlineStr">
        <is>
          <t>TN</t>
        </is>
      </c>
      <c r="Q250" s="10">
        <f>IFERROR(IFERROR(VLOOKUP(A250,TRAOPE!$A:$U,21,0),VLOOKUP(B250,TRAOPE!$A:$U,21,0)),"")</f>
        <v/>
      </c>
      <c r="R250" s="8">
        <f>IFERROR(IFERROR(VLOOKUP(A250,TRAOPE!$A:$W,23,0),VLOOKUP(B250,TRAOPE!$A:$W,23,0)),"")</f>
        <v/>
      </c>
      <c r="S250" s="10">
        <f>IF(AND(P250="TN",R250="TN"),N250+N(O250),IF(G250&amp;""="1",N(K250)*N250,(N250+N(O250))*N(K250)))</f>
        <v/>
      </c>
      <c r="T250" s="10">
        <f>IF(Q250="","",Q250-S250)</f>
        <v/>
      </c>
    </row>
    <row r="251">
      <c r="A251" s="7">
        <f>CONCATENATE(C251,E251,F251,I251)</f>
        <v/>
      </c>
      <c r="B251" s="7">
        <f>CONCATENATE(C251,E251,I251)</f>
        <v/>
      </c>
      <c r="C251" s="8" t="n">
        <v>900007250</v>
      </c>
      <c r="D251" s="7">
        <f>IFERROR(VLOOKUP(C251,TRAOPE!$G:$H,2,0),"")</f>
        <v/>
      </c>
      <c r="E251" s="8" t="inlineStr">
        <is>
          <t>DW55</t>
        </is>
      </c>
      <c r="F251" s="8" t="inlineStr">
        <is>
          <t>D309</t>
        </is>
      </c>
      <c r="G251" s="8">
        <f>IFERROR(VLOOKUP(A251,Flete!$A:$E,5,0),"")</f>
        <v/>
      </c>
      <c r="H251" s="7">
        <f>IFERROR(VLOOKUP(F251,TRAOPE!$AA:$AB,2,0),"")</f>
        <v/>
      </c>
      <c r="I251" s="7" t="n">
        <v>10000178</v>
      </c>
      <c r="J251" s="7">
        <f>IFERROR(VLOOKUP(I251,Materiales!$A:$H,8,0),"")</f>
        <v/>
      </c>
      <c r="K251" s="9">
        <f>IFERROR(VLOOKUP(I251,Materiales!$A:$G,7,0),"")</f>
        <v/>
      </c>
      <c r="L251" s="8" t="inlineStr">
        <is>
          <t>20220517</t>
        </is>
      </c>
      <c r="M251" s="8" t="inlineStr">
        <is>
          <t>20240716</t>
        </is>
      </c>
      <c r="N251" s="10" t="n">
        <v>152.62</v>
      </c>
      <c r="O251" s="10">
        <f>IFERROR(VLOOKUP(A251,Flete!$A:$J,10,0),"")</f>
        <v/>
      </c>
      <c r="P251" s="8" t="inlineStr">
        <is>
          <t>TN</t>
        </is>
      </c>
      <c r="Q251" s="10">
        <f>IFERROR(IFERROR(VLOOKUP(A251,TRAOPE!$A:$U,21,0),VLOOKUP(B251,TRAOPE!$A:$U,21,0)),"")</f>
        <v/>
      </c>
      <c r="R251" s="8">
        <f>IFERROR(IFERROR(VLOOKUP(A251,TRAOPE!$A:$W,23,0),VLOOKUP(B251,TRAOPE!$A:$W,23,0)),"")</f>
        <v/>
      </c>
      <c r="S251" s="10">
        <f>IF(AND(P251="TN",R251="TN"),N251+N(O251),IF(G251&amp;""="1",N(K251)*N251,(N251+N(O251))*N(K251)))</f>
        <v/>
      </c>
      <c r="T251" s="10">
        <f>IF(Q251="","",Q251-S251)</f>
        <v/>
      </c>
    </row>
    <row r="252">
      <c r="A252" s="7">
        <f>CONCATENATE(C252,E252,F252,I252)</f>
        <v/>
      </c>
      <c r="B252" s="7">
        <f>CONCATENATE(C252,E252,I252)</f>
        <v/>
      </c>
      <c r="C252" s="8" t="n">
        <v>900007250</v>
      </c>
      <c r="D252" s="7">
        <f>IFERROR(VLOOKUP(C252,TRAOPE!$G:$H,2,0),"")</f>
        <v/>
      </c>
      <c r="E252" s="8" t="inlineStr">
        <is>
          <t>DW55</t>
        </is>
      </c>
      <c r="F252" s="8" t="inlineStr">
        <is>
          <t>D309</t>
        </is>
      </c>
      <c r="G252" s="8">
        <f>IFERROR(VLOOKUP(A252,Flete!$A:$E,5,0),"")</f>
        <v/>
      </c>
      <c r="H252" s="7">
        <f>IFERROR(VLOOKUP(F252,TRAOPE!$AA:$AB,2,0),"")</f>
        <v/>
      </c>
      <c r="I252" s="7" t="n">
        <v>10000541</v>
      </c>
      <c r="J252" s="7">
        <f>IFERROR(VLOOKUP(I252,Materiales!$A:$H,8,0),"")</f>
        <v/>
      </c>
      <c r="K252" s="9">
        <f>IFERROR(VLOOKUP(I252,Materiales!$A:$G,7,0),"")</f>
        <v/>
      </c>
      <c r="L252" s="8" t="inlineStr">
        <is>
          <t>20240904</t>
        </is>
      </c>
      <c r="M252" s="8" t="inlineStr">
        <is>
          <t>20240905</t>
        </is>
      </c>
      <c r="N252" s="10" t="n">
        <v>196.34</v>
      </c>
      <c r="O252" s="10">
        <f>IFERROR(VLOOKUP(A252,Flete!$A:$J,10,0),"")</f>
        <v/>
      </c>
      <c r="P252" s="8" t="inlineStr">
        <is>
          <t>TN</t>
        </is>
      </c>
      <c r="Q252" s="10">
        <f>IFERROR(IFERROR(VLOOKUP(A252,TRAOPE!$A:$U,21,0),VLOOKUP(B252,TRAOPE!$A:$U,21,0)),"")</f>
        <v/>
      </c>
      <c r="R252" s="8">
        <f>IFERROR(IFERROR(VLOOKUP(A252,TRAOPE!$A:$W,23,0),VLOOKUP(B252,TRAOPE!$A:$W,23,0)),"")</f>
        <v/>
      </c>
      <c r="S252" s="10">
        <f>IF(AND(P252="TN",R252="TN"),N252+N(O252),IF(G252&amp;""="1",N(K252)*N252,(N252+N(O252))*N(K252)))</f>
        <v/>
      </c>
      <c r="T252" s="10">
        <f>IF(Q252="","",Q252-S252)</f>
        <v/>
      </c>
    </row>
    <row r="253">
      <c r="A253" s="7">
        <f>CONCATENATE(C253,E253,F253,I253)</f>
        <v/>
      </c>
      <c r="B253" s="7">
        <f>CONCATENATE(C253,E253,I253)</f>
        <v/>
      </c>
      <c r="C253" s="8" t="n">
        <v>900007250</v>
      </c>
      <c r="D253" s="7">
        <f>IFERROR(VLOOKUP(C253,TRAOPE!$G:$H,2,0),"")</f>
        <v/>
      </c>
      <c r="E253" s="8" t="inlineStr">
        <is>
          <t>DW55</t>
        </is>
      </c>
      <c r="F253" s="8" t="inlineStr">
        <is>
          <t>D309</t>
        </is>
      </c>
      <c r="G253" s="8">
        <f>IFERROR(VLOOKUP(A253,Flete!$A:$E,5,0),"")</f>
        <v/>
      </c>
      <c r="H253" s="7">
        <f>IFERROR(VLOOKUP(F253,TRAOPE!$AA:$AB,2,0),"")</f>
        <v/>
      </c>
      <c r="I253" s="7" t="n">
        <v>10000826</v>
      </c>
      <c r="J253" s="7">
        <f>IFERROR(VLOOKUP(I253,Materiales!$A:$H,8,0),"")</f>
        <v/>
      </c>
      <c r="K253" s="9">
        <f>IFERROR(VLOOKUP(I253,Materiales!$A:$G,7,0),"")</f>
        <v/>
      </c>
      <c r="L253" s="8" t="inlineStr">
        <is>
          <t>20220504</t>
        </is>
      </c>
      <c r="M253" s="8" t="inlineStr">
        <is>
          <t>20240716</t>
        </is>
      </c>
      <c r="N253" s="10" t="n">
        <v>110.34</v>
      </c>
      <c r="O253" s="10">
        <f>IFERROR(VLOOKUP(A253,Flete!$A:$J,10,0),"")</f>
        <v/>
      </c>
      <c r="P253" s="8" t="inlineStr">
        <is>
          <t>TN</t>
        </is>
      </c>
      <c r="Q253" s="10">
        <f>IFERROR(IFERROR(VLOOKUP(A253,TRAOPE!$A:$U,21,0),VLOOKUP(B253,TRAOPE!$A:$U,21,0)),"")</f>
        <v/>
      </c>
      <c r="R253" s="8">
        <f>IFERROR(IFERROR(VLOOKUP(A253,TRAOPE!$A:$W,23,0),VLOOKUP(B253,TRAOPE!$A:$W,23,0)),"")</f>
        <v/>
      </c>
      <c r="S253" s="10">
        <f>IF(AND(P253="TN",R253="TN"),N253+N(O253),IF(G253&amp;""="1",N(K253)*N253,(N253+N(O253))*N(K253)))</f>
        <v/>
      </c>
      <c r="T253" s="10">
        <f>IF(Q253="","",Q253-S253)</f>
        <v/>
      </c>
    </row>
    <row r="254">
      <c r="A254" s="7">
        <f>CONCATENATE(C254,E254,F254,I254)</f>
        <v/>
      </c>
      <c r="B254" s="7">
        <f>CONCATENATE(C254,E254,I254)</f>
        <v/>
      </c>
      <c r="C254" s="8" t="n">
        <v>900007250</v>
      </c>
      <c r="D254" s="7">
        <f>IFERROR(VLOOKUP(C254,TRAOPE!$G:$H,2,0),"")</f>
        <v/>
      </c>
      <c r="E254" s="8" t="inlineStr">
        <is>
          <t>DW55</t>
        </is>
      </c>
      <c r="F254" s="8" t="inlineStr">
        <is>
          <t>D342</t>
        </is>
      </c>
      <c r="G254" s="8">
        <f>IFERROR(VLOOKUP(A254,Flete!$A:$E,5,0),"")</f>
        <v/>
      </c>
      <c r="H254" s="7">
        <f>IFERROR(VLOOKUP(F254,TRAOPE!$AA:$AB,2,0),"")</f>
        <v/>
      </c>
      <c r="I254" s="7" t="n">
        <v>10000178</v>
      </c>
      <c r="J254" s="7">
        <f>IFERROR(VLOOKUP(I254,Materiales!$A:$H,8,0),"")</f>
        <v/>
      </c>
      <c r="K254" s="9">
        <f>IFERROR(VLOOKUP(I254,Materiales!$A:$G,7,0),"")</f>
        <v/>
      </c>
      <c r="L254" s="8" t="inlineStr">
        <is>
          <t>20220630</t>
        </is>
      </c>
      <c r="M254" s="8" t="inlineStr">
        <is>
          <t>20240716</t>
        </is>
      </c>
      <c r="N254" s="10" t="n">
        <v>152.62</v>
      </c>
      <c r="O254" s="10">
        <f>IFERROR(VLOOKUP(A254,Flete!$A:$J,10,0),"")</f>
        <v/>
      </c>
      <c r="P254" s="8" t="inlineStr">
        <is>
          <t>TN</t>
        </is>
      </c>
      <c r="Q254" s="10">
        <f>IFERROR(IFERROR(VLOOKUP(A254,TRAOPE!$A:$U,21,0),VLOOKUP(B254,TRAOPE!$A:$U,21,0)),"")</f>
        <v/>
      </c>
      <c r="R254" s="8">
        <f>IFERROR(IFERROR(VLOOKUP(A254,TRAOPE!$A:$W,23,0),VLOOKUP(B254,TRAOPE!$A:$W,23,0)),"")</f>
        <v/>
      </c>
      <c r="S254" s="10">
        <f>IF(AND(P254="TN",R254="TN"),N254+N(O254),IF(G254&amp;""="1",N(K254)*N254,(N254+N(O254))*N(K254)))</f>
        <v/>
      </c>
      <c r="T254" s="10">
        <f>IF(Q254="","",Q254-S254)</f>
        <v/>
      </c>
    </row>
    <row r="255">
      <c r="A255" s="7">
        <f>CONCATENATE(C255,E255,F255,I255)</f>
        <v/>
      </c>
      <c r="B255" s="7">
        <f>CONCATENATE(C255,E255,I255)</f>
        <v/>
      </c>
      <c r="C255" s="8" t="n">
        <v>900007250</v>
      </c>
      <c r="D255" s="7">
        <f>IFERROR(VLOOKUP(C255,TRAOPE!$G:$H,2,0),"")</f>
        <v/>
      </c>
      <c r="E255" s="8" t="inlineStr">
        <is>
          <t>DW55</t>
        </is>
      </c>
      <c r="F255" s="8" t="inlineStr">
        <is>
          <t>D342</t>
        </is>
      </c>
      <c r="G255" s="8">
        <f>IFERROR(VLOOKUP(A255,Flete!$A:$E,5,0),"")</f>
        <v/>
      </c>
      <c r="H255" s="7">
        <f>IFERROR(VLOOKUP(F255,TRAOPE!$AA:$AB,2,0),"")</f>
        <v/>
      </c>
      <c r="I255" s="7" t="n">
        <v>10000826</v>
      </c>
      <c r="J255" s="7">
        <f>IFERROR(VLOOKUP(I255,Materiales!$A:$H,8,0),"")</f>
        <v/>
      </c>
      <c r="K255" s="9">
        <f>IFERROR(VLOOKUP(I255,Materiales!$A:$G,7,0),"")</f>
        <v/>
      </c>
      <c r="L255" s="8" t="inlineStr">
        <is>
          <t>20220713</t>
        </is>
      </c>
      <c r="M255" s="8" t="inlineStr">
        <is>
          <t>20240716</t>
        </is>
      </c>
      <c r="N255" s="10" t="n">
        <v>110.34</v>
      </c>
      <c r="O255" s="10">
        <f>IFERROR(VLOOKUP(A255,Flete!$A:$J,10,0),"")</f>
        <v/>
      </c>
      <c r="P255" s="8" t="inlineStr">
        <is>
          <t>TN</t>
        </is>
      </c>
      <c r="Q255" s="10">
        <f>IFERROR(IFERROR(VLOOKUP(A255,TRAOPE!$A:$U,21,0),VLOOKUP(B255,TRAOPE!$A:$U,21,0)),"")</f>
        <v/>
      </c>
      <c r="R255" s="8">
        <f>IFERROR(IFERROR(VLOOKUP(A255,TRAOPE!$A:$W,23,0),VLOOKUP(B255,TRAOPE!$A:$W,23,0)),"")</f>
        <v/>
      </c>
      <c r="S255" s="10">
        <f>IF(AND(P255="TN",R255="TN"),N255+N(O255),IF(G255&amp;""="1",N(K255)*N255,(N255+N(O255))*N(K255)))</f>
        <v/>
      </c>
      <c r="T255" s="10">
        <f>IF(Q255="","",Q255-S255)</f>
        <v/>
      </c>
    </row>
    <row r="256">
      <c r="A256" s="7">
        <f>CONCATENATE(C256,E256,F256,I256)</f>
        <v/>
      </c>
      <c r="B256" s="7">
        <f>CONCATENATE(C256,E256,I256)</f>
        <v/>
      </c>
      <c r="C256" s="8" t="n">
        <v>900007250</v>
      </c>
      <c r="D256" s="7">
        <f>IFERROR(VLOOKUP(C256,TRAOPE!$G:$H,2,0),"")</f>
        <v/>
      </c>
      <c r="E256" s="8" t="inlineStr">
        <is>
          <t>DW55</t>
        </is>
      </c>
      <c r="F256" s="8" t="inlineStr">
        <is>
          <t>ER67</t>
        </is>
      </c>
      <c r="G256" s="8">
        <f>IFERROR(VLOOKUP(A256,Flete!$A:$E,5,0),"")</f>
        <v/>
      </c>
      <c r="H256" s="7">
        <f>IFERROR(VLOOKUP(F256,TRAOPE!$AA:$AB,2,0),"")</f>
        <v/>
      </c>
      <c r="I256" s="7" t="n">
        <v>10000826</v>
      </c>
      <c r="J256" s="7">
        <f>IFERROR(VLOOKUP(I256,Materiales!$A:$H,8,0),"")</f>
        <v/>
      </c>
      <c r="K256" s="9">
        <f>IFERROR(VLOOKUP(I256,Materiales!$A:$G,7,0),"")</f>
        <v/>
      </c>
      <c r="L256" s="8" t="inlineStr">
        <is>
          <t>20220504</t>
        </is>
      </c>
      <c r="M256" s="8" t="inlineStr">
        <is>
          <t>20230127</t>
        </is>
      </c>
      <c r="N256" s="10" t="n">
        <v>110.34</v>
      </c>
      <c r="O256" s="10">
        <f>IFERROR(VLOOKUP(A256,Flete!$A:$J,10,0),"")</f>
        <v/>
      </c>
      <c r="P256" s="8" t="inlineStr">
        <is>
          <t>TN</t>
        </is>
      </c>
      <c r="Q256" s="10">
        <f>IFERROR(IFERROR(VLOOKUP(A256,TRAOPE!$A:$U,21,0),VLOOKUP(B256,TRAOPE!$A:$U,21,0)),"")</f>
        <v/>
      </c>
      <c r="R256" s="8">
        <f>IFERROR(IFERROR(VLOOKUP(A256,TRAOPE!$A:$W,23,0),VLOOKUP(B256,TRAOPE!$A:$W,23,0)),"")</f>
        <v/>
      </c>
      <c r="S256" s="10">
        <f>IF(AND(P256="TN",R256="TN"),N256+N(O256),IF(G256&amp;""="1",N(K256)*N256,(N256+N(O256))*N(K256)))</f>
        <v/>
      </c>
      <c r="T256" s="10">
        <f>IF(Q256="","",Q256-S256)</f>
        <v/>
      </c>
    </row>
    <row r="257">
      <c r="A257" s="7">
        <f>CONCATENATE(C257,E257,F257,I257)</f>
        <v/>
      </c>
      <c r="B257" s="7">
        <f>CONCATENATE(C257,E257,I257)</f>
        <v/>
      </c>
      <c r="C257" s="8" t="n">
        <v>900007250</v>
      </c>
      <c r="D257" s="7">
        <f>IFERROR(VLOOKUP(C257,TRAOPE!$G:$H,2,0),"")</f>
        <v/>
      </c>
      <c r="E257" s="8" t="inlineStr">
        <is>
          <t>DW55</t>
        </is>
      </c>
      <c r="F257" s="8" t="inlineStr">
        <is>
          <t>ER68</t>
        </is>
      </c>
      <c r="G257" s="8">
        <f>IFERROR(VLOOKUP(A257,Flete!$A:$E,5,0),"")</f>
        <v/>
      </c>
      <c r="H257" s="7">
        <f>IFERROR(VLOOKUP(F257,TRAOPE!$AA:$AB,2,0),"")</f>
        <v/>
      </c>
      <c r="I257" s="7" t="n">
        <v>10000826</v>
      </c>
      <c r="J257" s="7">
        <f>IFERROR(VLOOKUP(I257,Materiales!$A:$H,8,0),"")</f>
        <v/>
      </c>
      <c r="K257" s="9">
        <f>IFERROR(VLOOKUP(I257,Materiales!$A:$G,7,0),"")</f>
        <v/>
      </c>
      <c r="L257" s="8" t="inlineStr">
        <is>
          <t>20220501</t>
        </is>
      </c>
      <c r="M257" s="8" t="inlineStr">
        <is>
          <t>20240716</t>
        </is>
      </c>
      <c r="N257" s="10" t="n">
        <v>110.34</v>
      </c>
      <c r="O257" s="10">
        <f>IFERROR(VLOOKUP(A257,Flete!$A:$J,10,0),"")</f>
        <v/>
      </c>
      <c r="P257" s="8" t="inlineStr">
        <is>
          <t>TN</t>
        </is>
      </c>
      <c r="Q257" s="10">
        <f>IFERROR(IFERROR(VLOOKUP(A257,TRAOPE!$A:$U,21,0),VLOOKUP(B257,TRAOPE!$A:$U,21,0)),"")</f>
        <v/>
      </c>
      <c r="R257" s="8">
        <f>IFERROR(IFERROR(VLOOKUP(A257,TRAOPE!$A:$W,23,0),VLOOKUP(B257,TRAOPE!$A:$W,23,0)),"")</f>
        <v/>
      </c>
      <c r="S257" s="10">
        <f>IF(AND(P257="TN",R257="TN"),N257+N(O257),IF(G257&amp;""="1",N(K257)*N257,(N257+N(O257))*N(K257)))</f>
        <v/>
      </c>
      <c r="T257" s="10">
        <f>IF(Q257="","",Q257-S257)</f>
        <v/>
      </c>
    </row>
    <row r="258">
      <c r="A258" s="7">
        <f>CONCATENATE(C258,E258,F258,I258)</f>
        <v/>
      </c>
      <c r="B258" s="7">
        <f>CONCATENATE(C258,E258,I258)</f>
        <v/>
      </c>
      <c r="C258" s="8" t="n">
        <v>900007303</v>
      </c>
      <c r="D258" s="7">
        <f>IFERROR(VLOOKUP(C258,TRAOPE!$G:$H,2,0),"")</f>
        <v/>
      </c>
      <c r="E258" s="8" t="inlineStr">
        <is>
          <t>DW55</t>
        </is>
      </c>
      <c r="F258" s="8" t="inlineStr">
        <is>
          <t>D325</t>
        </is>
      </c>
      <c r="G258" s="8">
        <f>IFERROR(VLOOKUP(A258,Flete!$A:$E,5,0),"")</f>
        <v/>
      </c>
      <c r="H258" s="7">
        <f>IFERROR(VLOOKUP(F258,TRAOPE!$AA:$AB,2,0),"")</f>
        <v/>
      </c>
      <c r="I258" s="7" t="n">
        <v>10213318</v>
      </c>
      <c r="J258" s="7">
        <f>IFERROR(VLOOKUP(I258,Materiales!$A:$H,8,0),"")</f>
        <v/>
      </c>
      <c r="K258" s="9">
        <f>IFERROR(VLOOKUP(I258,Materiales!$A:$G,7,0),"")</f>
        <v/>
      </c>
      <c r="L258" s="8" t="inlineStr">
        <is>
          <t>20220516</t>
        </is>
      </c>
      <c r="M258" s="8" t="inlineStr">
        <is>
          <t>20240320</t>
        </is>
      </c>
      <c r="N258" s="10" t="n">
        <v>460.57</v>
      </c>
      <c r="O258" s="10">
        <f>IFERROR(VLOOKUP(A258,Flete!$A:$J,10,0),"")</f>
        <v/>
      </c>
      <c r="P258" s="8" t="inlineStr">
        <is>
          <t>TN</t>
        </is>
      </c>
      <c r="Q258" s="10">
        <f>IFERROR(IFERROR(VLOOKUP(A258,TRAOPE!$A:$U,21,0),VLOOKUP(B258,TRAOPE!$A:$U,21,0)),"")</f>
        <v/>
      </c>
      <c r="R258" s="8">
        <f>IFERROR(IFERROR(VLOOKUP(A258,TRAOPE!$A:$W,23,0),VLOOKUP(B258,TRAOPE!$A:$W,23,0)),"")</f>
        <v/>
      </c>
      <c r="S258" s="10">
        <f>IF(AND(P258="TN",R258="TN"),N258+N(O258),IF(G258&amp;""="1",N(K258)*N258,(N258+N(O258))*N(K258)))</f>
        <v/>
      </c>
      <c r="T258" s="10">
        <f>IF(Q258="","",Q258-S258)</f>
        <v/>
      </c>
    </row>
    <row r="259">
      <c r="A259" s="7">
        <f>CONCATENATE(C259,E259,F259,I259)</f>
        <v/>
      </c>
      <c r="B259" s="7">
        <f>CONCATENATE(C259,E259,I259)</f>
        <v/>
      </c>
      <c r="C259" s="8" t="n">
        <v>900007303</v>
      </c>
      <c r="D259" s="7">
        <f>IFERROR(VLOOKUP(C259,TRAOPE!$G:$H,2,0),"")</f>
        <v/>
      </c>
      <c r="E259" s="8" t="inlineStr">
        <is>
          <t>DW55</t>
        </is>
      </c>
      <c r="F259" s="8" t="inlineStr">
        <is>
          <t>D348</t>
        </is>
      </c>
      <c r="G259" s="8">
        <f>IFERROR(VLOOKUP(A259,Flete!$A:$E,5,0),"")</f>
        <v/>
      </c>
      <c r="H259" s="7">
        <f>IFERROR(VLOOKUP(F259,TRAOPE!$AA:$AB,2,0),"")</f>
        <v/>
      </c>
      <c r="I259" s="7" t="n">
        <v>10213318</v>
      </c>
      <c r="J259" s="7">
        <f>IFERROR(VLOOKUP(I259,Materiales!$A:$H,8,0),"")</f>
        <v/>
      </c>
      <c r="K259" s="9">
        <f>IFERROR(VLOOKUP(I259,Materiales!$A:$G,7,0),"")</f>
        <v/>
      </c>
      <c r="L259" s="8" t="inlineStr">
        <is>
          <t>20220516</t>
        </is>
      </c>
      <c r="M259" s="8" t="inlineStr">
        <is>
          <t>20240320</t>
        </is>
      </c>
      <c r="N259" s="10" t="n">
        <v>460.57</v>
      </c>
      <c r="O259" s="10">
        <f>IFERROR(VLOOKUP(A259,Flete!$A:$J,10,0),"")</f>
        <v/>
      </c>
      <c r="P259" s="8" t="inlineStr">
        <is>
          <t>TN</t>
        </is>
      </c>
      <c r="Q259" s="10">
        <f>IFERROR(IFERROR(VLOOKUP(A259,TRAOPE!$A:$U,21,0),VLOOKUP(B259,TRAOPE!$A:$U,21,0)),"")</f>
        <v/>
      </c>
      <c r="R259" s="8">
        <f>IFERROR(IFERROR(VLOOKUP(A259,TRAOPE!$A:$W,23,0),VLOOKUP(B259,TRAOPE!$A:$W,23,0)),"")</f>
        <v/>
      </c>
      <c r="S259" s="10">
        <f>IF(AND(P259="TN",R259="TN"),N259+N(O259),IF(G259&amp;""="1",N(K259)*N259,(N259+N(O259))*N(K259)))</f>
        <v/>
      </c>
      <c r="T259" s="10">
        <f>IF(Q259="","",Q259-S259)</f>
        <v/>
      </c>
    </row>
    <row r="260">
      <c r="A260" s="7">
        <f>CONCATENATE(C260,E260,F260,I260)</f>
        <v/>
      </c>
      <c r="B260" s="7">
        <f>CONCATENATE(C260,E260,I260)</f>
        <v/>
      </c>
      <c r="C260" s="8" t="n">
        <v>900007304</v>
      </c>
      <c r="D260" s="7">
        <f>IFERROR(VLOOKUP(C260,TRAOPE!$G:$H,2,0),"")</f>
        <v/>
      </c>
      <c r="E260" s="8" t="inlineStr">
        <is>
          <t>DW55</t>
        </is>
      </c>
      <c r="F260" s="8" t="inlineStr">
        <is>
          <t>D284</t>
        </is>
      </c>
      <c r="G260" s="8">
        <f>IFERROR(VLOOKUP(A260,Flete!$A:$E,5,0),"")</f>
        <v/>
      </c>
      <c r="H260" s="7">
        <f>IFERROR(VLOOKUP(F260,TRAOPE!$AA:$AB,2,0),"")</f>
        <v/>
      </c>
      <c r="I260" s="7" t="n">
        <v>10000372</v>
      </c>
      <c r="J260" s="7">
        <f>IFERROR(VLOOKUP(I260,Materiales!$A:$H,8,0),"")</f>
        <v/>
      </c>
      <c r="K260" s="9">
        <f>IFERROR(VLOOKUP(I260,Materiales!$A:$G,7,0),"")</f>
        <v/>
      </c>
      <c r="L260" s="8" t="inlineStr">
        <is>
          <t>20220504</t>
        </is>
      </c>
      <c r="M260" s="8" t="inlineStr">
        <is>
          <t>20251031</t>
        </is>
      </c>
      <c r="N260" s="10" t="n">
        <v>200.28</v>
      </c>
      <c r="O260" s="10">
        <f>IFERROR(VLOOKUP(A260,Flete!$A:$J,10,0),"")</f>
        <v/>
      </c>
      <c r="P260" s="8" t="inlineStr">
        <is>
          <t>TN</t>
        </is>
      </c>
      <c r="Q260" s="10">
        <f>IFERROR(IFERROR(VLOOKUP(A260,TRAOPE!$A:$U,21,0),VLOOKUP(B260,TRAOPE!$A:$U,21,0)),"")</f>
        <v/>
      </c>
      <c r="R260" s="8">
        <f>IFERROR(IFERROR(VLOOKUP(A260,TRAOPE!$A:$W,23,0),VLOOKUP(B260,TRAOPE!$A:$W,23,0)),"")</f>
        <v/>
      </c>
      <c r="S260" s="10">
        <f>IF(AND(P260="TN",R260="TN"),N260+N(O260),IF(G260&amp;""="1",N(K260)*N260,(N260+N(O260))*N(K260)))</f>
        <v/>
      </c>
      <c r="T260" s="10">
        <f>IF(Q260="","",Q260-S260)</f>
        <v/>
      </c>
    </row>
    <row r="261">
      <c r="A261" s="7">
        <f>CONCATENATE(C261,E261,F261,I261)</f>
        <v/>
      </c>
      <c r="B261" s="7">
        <f>CONCATENATE(C261,E261,I261)</f>
        <v/>
      </c>
      <c r="C261" s="8" t="n">
        <v>900007304</v>
      </c>
      <c r="D261" s="7">
        <f>IFERROR(VLOOKUP(C261,TRAOPE!$G:$H,2,0),"")</f>
        <v/>
      </c>
      <c r="E261" s="8" t="inlineStr">
        <is>
          <t>DW55</t>
        </is>
      </c>
      <c r="F261" s="8" t="inlineStr">
        <is>
          <t>D284</t>
        </is>
      </c>
      <c r="G261" s="8">
        <f>IFERROR(VLOOKUP(A261,Flete!$A:$E,5,0),"")</f>
        <v/>
      </c>
      <c r="H261" s="7">
        <f>IFERROR(VLOOKUP(F261,TRAOPE!$AA:$AB,2,0),"")</f>
        <v/>
      </c>
      <c r="I261" s="7" t="n">
        <v>10000373</v>
      </c>
      <c r="J261" s="7">
        <f>IFERROR(VLOOKUP(I261,Materiales!$A:$H,8,0),"")</f>
        <v/>
      </c>
      <c r="K261" s="9">
        <f>IFERROR(VLOOKUP(I261,Materiales!$A:$G,7,0),"")</f>
        <v/>
      </c>
      <c r="L261" s="8" t="inlineStr">
        <is>
          <t>20250428</t>
        </is>
      </c>
      <c r="M261" s="8" t="inlineStr">
        <is>
          <t>20251031</t>
        </is>
      </c>
      <c r="N261" s="10" t="n">
        <v>286.74</v>
      </c>
      <c r="O261" s="10">
        <f>IFERROR(VLOOKUP(A261,Flete!$A:$J,10,0),"")</f>
        <v/>
      </c>
      <c r="P261" s="8" t="inlineStr">
        <is>
          <t>TN</t>
        </is>
      </c>
      <c r="Q261" s="10">
        <f>IFERROR(IFERROR(VLOOKUP(A261,TRAOPE!$A:$U,21,0),VLOOKUP(B261,TRAOPE!$A:$U,21,0)),"")</f>
        <v/>
      </c>
      <c r="R261" s="8">
        <f>IFERROR(IFERROR(VLOOKUP(A261,TRAOPE!$A:$W,23,0),VLOOKUP(B261,TRAOPE!$A:$W,23,0)),"")</f>
        <v/>
      </c>
      <c r="S261" s="10">
        <f>IF(AND(P261="TN",R261="TN"),N261+N(O261),IF(G261&amp;""="1",N(K261)*N261,(N261+N(O261))*N(K261)))</f>
        <v/>
      </c>
      <c r="T261" s="10">
        <f>IF(Q261="","",Q261-S261)</f>
        <v/>
      </c>
    </row>
    <row r="262">
      <c r="A262" s="7">
        <f>CONCATENATE(C262,E262,F262,I262)</f>
        <v/>
      </c>
      <c r="B262" s="7">
        <f>CONCATENATE(C262,E262,I262)</f>
        <v/>
      </c>
      <c r="C262" s="8" t="n">
        <v>900007304</v>
      </c>
      <c r="D262" s="7">
        <f>IFERROR(VLOOKUP(C262,TRAOPE!$G:$H,2,0),"")</f>
        <v/>
      </c>
      <c r="E262" s="8" t="inlineStr">
        <is>
          <t>DW55</t>
        </is>
      </c>
      <c r="F262" s="8" t="inlineStr">
        <is>
          <t>D284</t>
        </is>
      </c>
      <c r="G262" s="8">
        <f>IFERROR(VLOOKUP(A262,Flete!$A:$E,5,0),"")</f>
        <v/>
      </c>
      <c r="H262" s="7">
        <f>IFERROR(VLOOKUP(F262,TRAOPE!$AA:$AB,2,0),"")</f>
        <v/>
      </c>
      <c r="I262" s="7" t="n">
        <v>10218414</v>
      </c>
      <c r="J262" s="7">
        <f>IFERROR(VLOOKUP(I262,Materiales!$A:$H,8,0),"")</f>
        <v/>
      </c>
      <c r="K262" s="9">
        <f>IFERROR(VLOOKUP(I262,Materiales!$A:$G,7,0),"")</f>
        <v/>
      </c>
      <c r="L262" s="8" t="inlineStr">
        <is>
          <t>20220705</t>
        </is>
      </c>
      <c r="M262" s="8" t="inlineStr">
        <is>
          <t>20240930</t>
        </is>
      </c>
      <c r="N262" s="10" t="n">
        <v>217.82</v>
      </c>
      <c r="O262" s="10">
        <f>IFERROR(VLOOKUP(A262,Flete!$A:$J,10,0),"")</f>
        <v/>
      </c>
      <c r="P262" s="8" t="inlineStr">
        <is>
          <t>TN</t>
        </is>
      </c>
      <c r="Q262" s="10">
        <f>IFERROR(IFERROR(VLOOKUP(A262,TRAOPE!$A:$U,21,0),VLOOKUP(B262,TRAOPE!$A:$U,21,0)),"")</f>
        <v/>
      </c>
      <c r="R262" s="8">
        <f>IFERROR(IFERROR(VLOOKUP(A262,TRAOPE!$A:$W,23,0),VLOOKUP(B262,TRAOPE!$A:$W,23,0)),"")</f>
        <v/>
      </c>
      <c r="S262" s="10">
        <f>IF(AND(P262="TN",R262="TN"),N262+N(O262),IF(G262&amp;""="1",N(K262)*N262,(N262+N(O262))*N(K262)))</f>
        <v/>
      </c>
      <c r="T262" s="10">
        <f>IF(Q262="","",Q262-S262)</f>
        <v/>
      </c>
    </row>
    <row r="263">
      <c r="A263" s="7">
        <f>CONCATENATE(C263,E263,F263,I263)</f>
        <v/>
      </c>
      <c r="B263" s="7">
        <f>CONCATENATE(C263,E263,I263)</f>
        <v/>
      </c>
      <c r="C263" s="8" t="n">
        <v>900007304</v>
      </c>
      <c r="D263" s="7">
        <f>IFERROR(VLOOKUP(C263,TRAOPE!$G:$H,2,0),"")</f>
        <v/>
      </c>
      <c r="E263" s="8" t="inlineStr">
        <is>
          <t>DW55</t>
        </is>
      </c>
      <c r="F263" s="8" t="inlineStr">
        <is>
          <t>D309</t>
        </is>
      </c>
      <c r="G263" s="8">
        <f>IFERROR(VLOOKUP(A263,Flete!$A:$E,5,0),"")</f>
        <v/>
      </c>
      <c r="H263" s="7">
        <f>IFERROR(VLOOKUP(F263,TRAOPE!$AA:$AB,2,0),"")</f>
        <v/>
      </c>
      <c r="I263" s="7" t="n">
        <v>10000372</v>
      </c>
      <c r="J263" s="7">
        <f>IFERROR(VLOOKUP(I263,Materiales!$A:$H,8,0),"")</f>
        <v/>
      </c>
      <c r="K263" s="9">
        <f>IFERROR(VLOOKUP(I263,Materiales!$A:$G,7,0),"")</f>
        <v/>
      </c>
      <c r="L263" s="8" t="inlineStr">
        <is>
          <t>20220504</t>
        </is>
      </c>
      <c r="M263" s="8" t="inlineStr">
        <is>
          <t>20251031</t>
        </is>
      </c>
      <c r="N263" s="10" t="n">
        <v>200.28</v>
      </c>
      <c r="O263" s="10">
        <f>IFERROR(VLOOKUP(A263,Flete!$A:$J,10,0),"")</f>
        <v/>
      </c>
      <c r="P263" s="8" t="inlineStr">
        <is>
          <t>TN</t>
        </is>
      </c>
      <c r="Q263" s="10">
        <f>IFERROR(IFERROR(VLOOKUP(A263,TRAOPE!$A:$U,21,0),VLOOKUP(B263,TRAOPE!$A:$U,21,0)),"")</f>
        <v/>
      </c>
      <c r="R263" s="8">
        <f>IFERROR(IFERROR(VLOOKUP(A263,TRAOPE!$A:$W,23,0),VLOOKUP(B263,TRAOPE!$A:$W,23,0)),"")</f>
        <v/>
      </c>
      <c r="S263" s="10">
        <f>IF(AND(P263="TN",R263="TN"),N263+N(O263),IF(G263&amp;""="1",N(K263)*N263,(N263+N(O263))*N(K263)))</f>
        <v/>
      </c>
      <c r="T263" s="10">
        <f>IF(Q263="","",Q263-S263)</f>
        <v/>
      </c>
    </row>
    <row r="264">
      <c r="A264" s="7">
        <f>CONCATENATE(C264,E264,F264,I264)</f>
        <v/>
      </c>
      <c r="B264" s="7">
        <f>CONCATENATE(C264,E264,I264)</f>
        <v/>
      </c>
      <c r="C264" s="8" t="n">
        <v>900007304</v>
      </c>
      <c r="D264" s="7">
        <f>IFERROR(VLOOKUP(C264,TRAOPE!$G:$H,2,0),"")</f>
        <v/>
      </c>
      <c r="E264" s="8" t="inlineStr">
        <is>
          <t>DW55</t>
        </is>
      </c>
      <c r="F264" s="8" t="inlineStr">
        <is>
          <t>D309</t>
        </is>
      </c>
      <c r="G264" s="8">
        <f>IFERROR(VLOOKUP(A264,Flete!$A:$E,5,0),"")</f>
        <v/>
      </c>
      <c r="H264" s="7">
        <f>IFERROR(VLOOKUP(F264,TRAOPE!$AA:$AB,2,0),"")</f>
        <v/>
      </c>
      <c r="I264" s="7" t="n">
        <v>10000373</v>
      </c>
      <c r="J264" s="7">
        <f>IFERROR(VLOOKUP(I264,Materiales!$A:$H,8,0),"")</f>
        <v/>
      </c>
      <c r="K264" s="9">
        <f>IFERROR(VLOOKUP(I264,Materiales!$A:$G,7,0),"")</f>
        <v/>
      </c>
      <c r="L264" s="8" t="inlineStr">
        <is>
          <t>20250428</t>
        </is>
      </c>
      <c r="M264" s="8" t="inlineStr">
        <is>
          <t>20251031</t>
        </is>
      </c>
      <c r="N264" s="10" t="n">
        <v>286.74</v>
      </c>
      <c r="O264" s="10">
        <f>IFERROR(VLOOKUP(A264,Flete!$A:$J,10,0),"")</f>
        <v/>
      </c>
      <c r="P264" s="8" t="inlineStr">
        <is>
          <t>TN</t>
        </is>
      </c>
      <c r="Q264" s="10">
        <f>IFERROR(IFERROR(VLOOKUP(A264,TRAOPE!$A:$U,21,0),VLOOKUP(B264,TRAOPE!$A:$U,21,0)),"")</f>
        <v/>
      </c>
      <c r="R264" s="8">
        <f>IFERROR(IFERROR(VLOOKUP(A264,TRAOPE!$A:$W,23,0),VLOOKUP(B264,TRAOPE!$A:$W,23,0)),"")</f>
        <v/>
      </c>
      <c r="S264" s="10">
        <f>IF(AND(P264="TN",R264="TN"),N264+N(O264),IF(G264&amp;""="1",N(K264)*N264,(N264+N(O264))*N(K264)))</f>
        <v/>
      </c>
      <c r="T264" s="10">
        <f>IF(Q264="","",Q264-S264)</f>
        <v/>
      </c>
    </row>
    <row r="265">
      <c r="A265" s="7">
        <f>CONCATENATE(C265,E265,F265,I265)</f>
        <v/>
      </c>
      <c r="B265" s="7">
        <f>CONCATENATE(C265,E265,I265)</f>
        <v/>
      </c>
      <c r="C265" s="8" t="n">
        <v>900007304</v>
      </c>
      <c r="D265" s="7">
        <f>IFERROR(VLOOKUP(C265,TRAOPE!$G:$H,2,0),"")</f>
        <v/>
      </c>
      <c r="E265" s="8" t="inlineStr">
        <is>
          <t>DW55</t>
        </is>
      </c>
      <c r="F265" s="8" t="inlineStr">
        <is>
          <t>D309</t>
        </is>
      </c>
      <c r="G265" s="8">
        <f>IFERROR(VLOOKUP(A265,Flete!$A:$E,5,0),"")</f>
        <v/>
      </c>
      <c r="H265" s="7">
        <f>IFERROR(VLOOKUP(F265,TRAOPE!$AA:$AB,2,0),"")</f>
        <v/>
      </c>
      <c r="I265" s="7" t="n">
        <v>10218414</v>
      </c>
      <c r="J265" s="7">
        <f>IFERROR(VLOOKUP(I265,Materiales!$A:$H,8,0),"")</f>
        <v/>
      </c>
      <c r="K265" s="9">
        <f>IFERROR(VLOOKUP(I265,Materiales!$A:$G,7,0),"")</f>
        <v/>
      </c>
      <c r="L265" s="8" t="inlineStr">
        <is>
          <t>20220705</t>
        </is>
      </c>
      <c r="M265" s="8" t="inlineStr">
        <is>
          <t>20240930</t>
        </is>
      </c>
      <c r="N265" s="10" t="n">
        <v>217.82</v>
      </c>
      <c r="O265" s="10">
        <f>IFERROR(VLOOKUP(A265,Flete!$A:$J,10,0),"")</f>
        <v/>
      </c>
      <c r="P265" s="8" t="inlineStr">
        <is>
          <t>TN</t>
        </is>
      </c>
      <c r="Q265" s="10">
        <f>IFERROR(IFERROR(VLOOKUP(A265,TRAOPE!$A:$U,21,0),VLOOKUP(B265,TRAOPE!$A:$U,21,0)),"")</f>
        <v/>
      </c>
      <c r="R265" s="8">
        <f>IFERROR(IFERROR(VLOOKUP(A265,TRAOPE!$A:$W,23,0),VLOOKUP(B265,TRAOPE!$A:$W,23,0)),"")</f>
        <v/>
      </c>
      <c r="S265" s="10">
        <f>IF(AND(P265="TN",R265="TN"),N265+N(O265),IF(G265&amp;""="1",N(K265)*N265,(N265+N(O265))*N(K265)))</f>
        <v/>
      </c>
      <c r="T265" s="10">
        <f>IF(Q265="","",Q265-S265)</f>
        <v/>
      </c>
    </row>
    <row r="266">
      <c r="A266" s="7">
        <f>CONCATENATE(C266,E266,F266,I266)</f>
        <v/>
      </c>
      <c r="B266" s="7">
        <f>CONCATENATE(C266,E266,I266)</f>
        <v/>
      </c>
      <c r="C266" s="8" t="n">
        <v>900007304</v>
      </c>
      <c r="D266" s="7">
        <f>IFERROR(VLOOKUP(C266,TRAOPE!$G:$H,2,0),"")</f>
        <v/>
      </c>
      <c r="E266" s="8" t="inlineStr">
        <is>
          <t>DW55</t>
        </is>
      </c>
      <c r="F266" s="8" t="inlineStr">
        <is>
          <t>D325</t>
        </is>
      </c>
      <c r="G266" s="8">
        <f>IFERROR(VLOOKUP(A266,Flete!$A:$E,5,0),"")</f>
        <v/>
      </c>
      <c r="H266" s="7">
        <f>IFERROR(VLOOKUP(F266,TRAOPE!$AA:$AB,2,0),"")</f>
        <v/>
      </c>
      <c r="I266" s="7" t="n">
        <v>10000373</v>
      </c>
      <c r="J266" s="7">
        <f>IFERROR(VLOOKUP(I266,Materiales!$A:$H,8,0),"")</f>
        <v/>
      </c>
      <c r="K266" s="9">
        <f>IFERROR(VLOOKUP(I266,Materiales!$A:$G,7,0),"")</f>
        <v/>
      </c>
      <c r="L266" s="8" t="inlineStr">
        <is>
          <t>20250428</t>
        </is>
      </c>
      <c r="M266" s="8" t="inlineStr">
        <is>
          <t>20251031</t>
        </is>
      </c>
      <c r="N266" s="10" t="n">
        <v>358.42</v>
      </c>
      <c r="O266" s="10">
        <f>IFERROR(VLOOKUP(A266,Flete!$A:$J,10,0),"")</f>
        <v/>
      </c>
      <c r="P266" s="8" t="inlineStr">
        <is>
          <t>TN</t>
        </is>
      </c>
      <c r="Q266" s="10">
        <f>IFERROR(IFERROR(VLOOKUP(A266,TRAOPE!$A:$U,21,0),VLOOKUP(B266,TRAOPE!$A:$U,21,0)),"")</f>
        <v/>
      </c>
      <c r="R266" s="8">
        <f>IFERROR(IFERROR(VLOOKUP(A266,TRAOPE!$A:$W,23,0),VLOOKUP(B266,TRAOPE!$A:$W,23,0)),"")</f>
        <v/>
      </c>
      <c r="S266" s="10">
        <f>IF(AND(P266="TN",R266="TN"),N266+N(O266),IF(G266&amp;""="1",N(K266)*N266,(N266+N(O266))*N(K266)))</f>
        <v/>
      </c>
      <c r="T266" s="10">
        <f>IF(Q266="","",Q266-S266)</f>
        <v/>
      </c>
    </row>
    <row r="267">
      <c r="A267" s="7">
        <f>CONCATENATE(C267,E267,F267,I267)</f>
        <v/>
      </c>
      <c r="B267" s="7">
        <f>CONCATENATE(C267,E267,I267)</f>
        <v/>
      </c>
      <c r="C267" s="8" t="n">
        <v>900007304</v>
      </c>
      <c r="D267" s="7">
        <f>IFERROR(VLOOKUP(C267,TRAOPE!$G:$H,2,0),"")</f>
        <v/>
      </c>
      <c r="E267" s="8" t="inlineStr">
        <is>
          <t>DW55</t>
        </is>
      </c>
      <c r="F267" s="8" t="inlineStr">
        <is>
          <t>D325</t>
        </is>
      </c>
      <c r="G267" s="8">
        <f>IFERROR(VLOOKUP(A267,Flete!$A:$E,5,0),"")</f>
        <v/>
      </c>
      <c r="H267" s="7">
        <f>IFERROR(VLOOKUP(F267,TRAOPE!$AA:$AB,2,0),"")</f>
        <v/>
      </c>
      <c r="I267" s="7" t="n">
        <v>10000673</v>
      </c>
      <c r="J267" s="7">
        <f>IFERROR(VLOOKUP(I267,Materiales!$A:$H,8,0),"")</f>
        <v/>
      </c>
      <c r="K267" s="9">
        <f>IFERROR(VLOOKUP(I267,Materiales!$A:$G,7,0),"")</f>
        <v/>
      </c>
      <c r="L267" s="8" t="inlineStr">
        <is>
          <t>20220705</t>
        </is>
      </c>
      <c r="M267" s="8" t="inlineStr">
        <is>
          <t>20240930</t>
        </is>
      </c>
      <c r="N267" s="10" t="n">
        <v>472.73</v>
      </c>
      <c r="O267" s="10">
        <f>IFERROR(VLOOKUP(A267,Flete!$A:$J,10,0),"")</f>
        <v/>
      </c>
      <c r="P267" s="8" t="inlineStr">
        <is>
          <t>TN</t>
        </is>
      </c>
      <c r="Q267" s="10">
        <f>IFERROR(IFERROR(VLOOKUP(A267,TRAOPE!$A:$U,21,0),VLOOKUP(B267,TRAOPE!$A:$U,21,0)),"")</f>
        <v/>
      </c>
      <c r="R267" s="8">
        <f>IFERROR(IFERROR(VLOOKUP(A267,TRAOPE!$A:$W,23,0),VLOOKUP(B267,TRAOPE!$A:$W,23,0)),"")</f>
        <v/>
      </c>
      <c r="S267" s="10">
        <f>IF(AND(P267="TN",R267="TN"),N267+N(O267),IF(G267&amp;""="1",N(K267)*N267,(N267+N(O267))*N(K267)))</f>
        <v/>
      </c>
      <c r="T267" s="10">
        <f>IF(Q267="","",Q267-S267)</f>
        <v/>
      </c>
    </row>
    <row r="268">
      <c r="A268" s="7">
        <f>CONCATENATE(C268,E268,F268,I268)</f>
        <v/>
      </c>
      <c r="B268" s="7">
        <f>CONCATENATE(C268,E268,I268)</f>
        <v/>
      </c>
      <c r="C268" s="8" t="n">
        <v>900007304</v>
      </c>
      <c r="D268" s="7">
        <f>IFERROR(VLOOKUP(C268,TRAOPE!$G:$H,2,0),"")</f>
        <v/>
      </c>
      <c r="E268" s="8" t="inlineStr">
        <is>
          <t>DW55</t>
        </is>
      </c>
      <c r="F268" s="8" t="inlineStr">
        <is>
          <t>D325</t>
        </is>
      </c>
      <c r="G268" s="8">
        <f>IFERROR(VLOOKUP(A268,Flete!$A:$E,5,0),"")</f>
        <v/>
      </c>
      <c r="H268" s="7">
        <f>IFERROR(VLOOKUP(F268,TRAOPE!$AA:$AB,2,0),"")</f>
        <v/>
      </c>
      <c r="I268" s="7" t="n">
        <v>10213318</v>
      </c>
      <c r="J268" s="7">
        <f>IFERROR(VLOOKUP(I268,Materiales!$A:$H,8,0),"")</f>
        <v/>
      </c>
      <c r="K268" s="9">
        <f>IFERROR(VLOOKUP(I268,Materiales!$A:$G,7,0),"")</f>
        <v/>
      </c>
      <c r="L268" s="8" t="inlineStr">
        <is>
          <t>20220705</t>
        </is>
      </c>
      <c r="M268" s="8" t="inlineStr">
        <is>
          <t>20240930</t>
        </is>
      </c>
      <c r="N268" s="10" t="n">
        <v>319.47</v>
      </c>
      <c r="O268" s="10">
        <f>IFERROR(VLOOKUP(A268,Flete!$A:$J,10,0),"")</f>
        <v/>
      </c>
      <c r="P268" s="8" t="inlineStr">
        <is>
          <t>TN</t>
        </is>
      </c>
      <c r="Q268" s="10">
        <f>IFERROR(IFERROR(VLOOKUP(A268,TRAOPE!$A:$U,21,0),VLOOKUP(B268,TRAOPE!$A:$U,21,0)),"")</f>
        <v/>
      </c>
      <c r="R268" s="8">
        <f>IFERROR(IFERROR(VLOOKUP(A268,TRAOPE!$A:$W,23,0),VLOOKUP(B268,TRAOPE!$A:$W,23,0)),"")</f>
        <v/>
      </c>
      <c r="S268" s="10">
        <f>IF(AND(P268="TN",R268="TN"),N268+N(O268),IF(G268&amp;""="1",N(K268)*N268,(N268+N(O268))*N(K268)))</f>
        <v/>
      </c>
      <c r="T268" s="10">
        <f>IF(Q268="","",Q268-S268)</f>
        <v/>
      </c>
    </row>
    <row r="269">
      <c r="A269" s="7">
        <f>CONCATENATE(C269,E269,F269,I269)</f>
        <v/>
      </c>
      <c r="B269" s="7">
        <f>CONCATENATE(C269,E269,I269)</f>
        <v/>
      </c>
      <c r="C269" s="8" t="n">
        <v>900007304</v>
      </c>
      <c r="D269" s="7">
        <f>IFERROR(VLOOKUP(C269,TRAOPE!$G:$H,2,0),"")</f>
        <v/>
      </c>
      <c r="E269" s="8" t="inlineStr">
        <is>
          <t>DW55</t>
        </is>
      </c>
      <c r="F269" s="8" t="inlineStr">
        <is>
          <t>D342</t>
        </is>
      </c>
      <c r="G269" s="8">
        <f>IFERROR(VLOOKUP(A269,Flete!$A:$E,5,0),"")</f>
        <v/>
      </c>
      <c r="H269" s="7">
        <f>IFERROR(VLOOKUP(F269,TRAOPE!$AA:$AB,2,0),"")</f>
        <v/>
      </c>
      <c r="I269" s="7" t="n">
        <v>10000372</v>
      </c>
      <c r="J269" s="7">
        <f>IFERROR(VLOOKUP(I269,Materiales!$A:$H,8,0),"")</f>
        <v/>
      </c>
      <c r="K269" s="9">
        <f>IFERROR(VLOOKUP(I269,Materiales!$A:$G,7,0),"")</f>
        <v/>
      </c>
      <c r="L269" s="8" t="inlineStr">
        <is>
          <t>20220504</t>
        </is>
      </c>
      <c r="M269" s="8" t="inlineStr">
        <is>
          <t>20251031</t>
        </is>
      </c>
      <c r="N269" s="10" t="n">
        <v>200.28</v>
      </c>
      <c r="O269" s="10">
        <f>IFERROR(VLOOKUP(A269,Flete!$A:$J,10,0),"")</f>
        <v/>
      </c>
      <c r="P269" s="8" t="inlineStr">
        <is>
          <t>TN</t>
        </is>
      </c>
      <c r="Q269" s="10">
        <f>IFERROR(IFERROR(VLOOKUP(A269,TRAOPE!$A:$U,21,0),VLOOKUP(B269,TRAOPE!$A:$U,21,0)),"")</f>
        <v/>
      </c>
      <c r="R269" s="8">
        <f>IFERROR(IFERROR(VLOOKUP(A269,TRAOPE!$A:$W,23,0),VLOOKUP(B269,TRAOPE!$A:$W,23,0)),"")</f>
        <v/>
      </c>
      <c r="S269" s="10">
        <f>IF(AND(P269="TN",R269="TN"),N269+N(O269),IF(G269&amp;""="1",N(K269)*N269,(N269+N(O269))*N(K269)))</f>
        <v/>
      </c>
      <c r="T269" s="10">
        <f>IF(Q269="","",Q269-S269)</f>
        <v/>
      </c>
    </row>
    <row r="270">
      <c r="A270" s="7">
        <f>CONCATENATE(C270,E270,F270,I270)</f>
        <v/>
      </c>
      <c r="B270" s="7">
        <f>CONCATENATE(C270,E270,I270)</f>
        <v/>
      </c>
      <c r="C270" s="8" t="n">
        <v>900007304</v>
      </c>
      <c r="D270" s="7">
        <f>IFERROR(VLOOKUP(C270,TRAOPE!$G:$H,2,0),"")</f>
        <v/>
      </c>
      <c r="E270" s="8" t="inlineStr">
        <is>
          <t>DW55</t>
        </is>
      </c>
      <c r="F270" s="8" t="inlineStr">
        <is>
          <t>D342</t>
        </is>
      </c>
      <c r="G270" s="8">
        <f>IFERROR(VLOOKUP(A270,Flete!$A:$E,5,0),"")</f>
        <v/>
      </c>
      <c r="H270" s="7">
        <f>IFERROR(VLOOKUP(F270,TRAOPE!$AA:$AB,2,0),"")</f>
        <v/>
      </c>
      <c r="I270" s="7" t="n">
        <v>10000373</v>
      </c>
      <c r="J270" s="7">
        <f>IFERROR(VLOOKUP(I270,Materiales!$A:$H,8,0),"")</f>
        <v/>
      </c>
      <c r="K270" s="9">
        <f>IFERROR(VLOOKUP(I270,Materiales!$A:$G,7,0),"")</f>
        <v/>
      </c>
      <c r="L270" s="8" t="inlineStr">
        <is>
          <t>20250428</t>
        </is>
      </c>
      <c r="M270" s="8" t="inlineStr">
        <is>
          <t>20251031</t>
        </is>
      </c>
      <c r="N270" s="10" t="n">
        <v>286.74</v>
      </c>
      <c r="O270" s="10">
        <f>IFERROR(VLOOKUP(A270,Flete!$A:$J,10,0),"")</f>
        <v/>
      </c>
      <c r="P270" s="8" t="inlineStr">
        <is>
          <t>TN</t>
        </is>
      </c>
      <c r="Q270" s="10">
        <f>IFERROR(IFERROR(VLOOKUP(A270,TRAOPE!$A:$U,21,0),VLOOKUP(B270,TRAOPE!$A:$U,21,0)),"")</f>
        <v/>
      </c>
      <c r="R270" s="8">
        <f>IFERROR(IFERROR(VLOOKUP(A270,TRAOPE!$A:$W,23,0),VLOOKUP(B270,TRAOPE!$A:$W,23,0)),"")</f>
        <v/>
      </c>
      <c r="S270" s="10">
        <f>IF(AND(P270="TN",R270="TN"),N270+N(O270),IF(G270&amp;""="1",N(K270)*N270,(N270+N(O270))*N(K270)))</f>
        <v/>
      </c>
      <c r="T270" s="10">
        <f>IF(Q270="","",Q270-S270)</f>
        <v/>
      </c>
    </row>
    <row r="271">
      <c r="A271" s="7">
        <f>CONCATENATE(C271,E271,F271,I271)</f>
        <v/>
      </c>
      <c r="B271" s="7">
        <f>CONCATENATE(C271,E271,I271)</f>
        <v/>
      </c>
      <c r="C271" s="8" t="n">
        <v>900007304</v>
      </c>
      <c r="D271" s="7">
        <f>IFERROR(VLOOKUP(C271,TRAOPE!$G:$H,2,0),"")</f>
        <v/>
      </c>
      <c r="E271" s="8" t="inlineStr">
        <is>
          <t>DW55</t>
        </is>
      </c>
      <c r="F271" s="8" t="inlineStr">
        <is>
          <t>D342</t>
        </is>
      </c>
      <c r="G271" s="8">
        <f>IFERROR(VLOOKUP(A271,Flete!$A:$E,5,0),"")</f>
        <v/>
      </c>
      <c r="H271" s="7">
        <f>IFERROR(VLOOKUP(F271,TRAOPE!$AA:$AB,2,0),"")</f>
        <v/>
      </c>
      <c r="I271" s="7" t="n">
        <v>10218414</v>
      </c>
      <c r="J271" s="7">
        <f>IFERROR(VLOOKUP(I271,Materiales!$A:$H,8,0),"")</f>
        <v/>
      </c>
      <c r="K271" s="9">
        <f>IFERROR(VLOOKUP(I271,Materiales!$A:$G,7,0),"")</f>
        <v/>
      </c>
      <c r="L271" s="8" t="inlineStr">
        <is>
          <t>20220705</t>
        </is>
      </c>
      <c r="M271" s="8" t="inlineStr">
        <is>
          <t>20240930</t>
        </is>
      </c>
      <c r="N271" s="10" t="n">
        <v>217.82</v>
      </c>
      <c r="O271" s="10">
        <f>IFERROR(VLOOKUP(A271,Flete!$A:$J,10,0),"")</f>
        <v/>
      </c>
      <c r="P271" s="8" t="inlineStr">
        <is>
          <t>TN</t>
        </is>
      </c>
      <c r="Q271" s="10">
        <f>IFERROR(IFERROR(VLOOKUP(A271,TRAOPE!$A:$U,21,0),VLOOKUP(B271,TRAOPE!$A:$U,21,0)),"")</f>
        <v/>
      </c>
      <c r="R271" s="8">
        <f>IFERROR(IFERROR(VLOOKUP(A271,TRAOPE!$A:$W,23,0),VLOOKUP(B271,TRAOPE!$A:$W,23,0)),"")</f>
        <v/>
      </c>
      <c r="S271" s="10">
        <f>IF(AND(P271="TN",R271="TN"),N271+N(O271),IF(G271&amp;""="1",N(K271)*N271,(N271+N(O271))*N(K271)))</f>
        <v/>
      </c>
      <c r="T271" s="10">
        <f>IF(Q271="","",Q271-S271)</f>
        <v/>
      </c>
    </row>
    <row r="272">
      <c r="A272" s="7">
        <f>CONCATENATE(C272,E272,F272,I272)</f>
        <v/>
      </c>
      <c r="B272" s="7">
        <f>CONCATENATE(C272,E272,I272)</f>
        <v/>
      </c>
      <c r="C272" s="8" t="n">
        <v>900007304</v>
      </c>
      <c r="D272" s="7">
        <f>IFERROR(VLOOKUP(C272,TRAOPE!$G:$H,2,0),"")</f>
        <v/>
      </c>
      <c r="E272" s="8" t="inlineStr">
        <is>
          <t>DW55</t>
        </is>
      </c>
      <c r="F272" s="8" t="inlineStr">
        <is>
          <t>D348</t>
        </is>
      </c>
      <c r="G272" s="8">
        <f>IFERROR(VLOOKUP(A272,Flete!$A:$E,5,0),"")</f>
        <v/>
      </c>
      <c r="H272" s="7">
        <f>IFERROR(VLOOKUP(F272,TRAOPE!$AA:$AB,2,0),"")</f>
        <v/>
      </c>
      <c r="I272" s="7" t="n">
        <v>10000373</v>
      </c>
      <c r="J272" s="7">
        <f>IFERROR(VLOOKUP(I272,Materiales!$A:$H,8,0),"")</f>
        <v/>
      </c>
      <c r="K272" s="9">
        <f>IFERROR(VLOOKUP(I272,Materiales!$A:$G,7,0),"")</f>
        <v/>
      </c>
      <c r="L272" s="8" t="inlineStr">
        <is>
          <t>20250428</t>
        </is>
      </c>
      <c r="M272" s="8" t="inlineStr">
        <is>
          <t>20251031</t>
        </is>
      </c>
      <c r="N272" s="10" t="n">
        <v>358.42</v>
      </c>
      <c r="O272" s="10">
        <f>IFERROR(VLOOKUP(A272,Flete!$A:$J,10,0),"")</f>
        <v/>
      </c>
      <c r="P272" s="8" t="inlineStr">
        <is>
          <t>TN</t>
        </is>
      </c>
      <c r="Q272" s="10">
        <f>IFERROR(IFERROR(VLOOKUP(A272,TRAOPE!$A:$U,21,0),VLOOKUP(B272,TRAOPE!$A:$U,21,0)),"")</f>
        <v/>
      </c>
      <c r="R272" s="8">
        <f>IFERROR(IFERROR(VLOOKUP(A272,TRAOPE!$A:$W,23,0),VLOOKUP(B272,TRAOPE!$A:$W,23,0)),"")</f>
        <v/>
      </c>
      <c r="S272" s="10">
        <f>IF(AND(P272="TN",R272="TN"),N272+N(O272),IF(G272&amp;""="1",N(K272)*N272,(N272+N(O272))*N(K272)))</f>
        <v/>
      </c>
      <c r="T272" s="10">
        <f>IF(Q272="","",Q272-S272)</f>
        <v/>
      </c>
    </row>
    <row r="273">
      <c r="A273" s="7">
        <f>CONCATENATE(C273,E273,F273,I273)</f>
        <v/>
      </c>
      <c r="B273" s="7">
        <f>CONCATENATE(C273,E273,I273)</f>
        <v/>
      </c>
      <c r="C273" s="8" t="n">
        <v>900007304</v>
      </c>
      <c r="D273" s="7">
        <f>IFERROR(VLOOKUP(C273,TRAOPE!$G:$H,2,0),"")</f>
        <v/>
      </c>
      <c r="E273" s="8" t="inlineStr">
        <is>
          <t>DW55</t>
        </is>
      </c>
      <c r="F273" s="8" t="inlineStr">
        <is>
          <t>D348</t>
        </is>
      </c>
      <c r="G273" s="8">
        <f>IFERROR(VLOOKUP(A273,Flete!$A:$E,5,0),"")</f>
        <v/>
      </c>
      <c r="H273" s="7">
        <f>IFERROR(VLOOKUP(F273,TRAOPE!$AA:$AB,2,0),"")</f>
        <v/>
      </c>
      <c r="I273" s="7" t="n">
        <v>10000673</v>
      </c>
      <c r="J273" s="7">
        <f>IFERROR(VLOOKUP(I273,Materiales!$A:$H,8,0),"")</f>
        <v/>
      </c>
      <c r="K273" s="9">
        <f>IFERROR(VLOOKUP(I273,Materiales!$A:$G,7,0),"")</f>
        <v/>
      </c>
      <c r="L273" s="8" t="inlineStr">
        <is>
          <t>20220705</t>
        </is>
      </c>
      <c r="M273" s="8" t="inlineStr">
        <is>
          <t>20240930</t>
        </is>
      </c>
      <c r="N273" s="10" t="n">
        <v>472.73</v>
      </c>
      <c r="O273" s="10">
        <f>IFERROR(VLOOKUP(A273,Flete!$A:$J,10,0),"")</f>
        <v/>
      </c>
      <c r="P273" s="8" t="inlineStr">
        <is>
          <t>TN</t>
        </is>
      </c>
      <c r="Q273" s="10">
        <f>IFERROR(IFERROR(VLOOKUP(A273,TRAOPE!$A:$U,21,0),VLOOKUP(B273,TRAOPE!$A:$U,21,0)),"")</f>
        <v/>
      </c>
      <c r="R273" s="8">
        <f>IFERROR(IFERROR(VLOOKUP(A273,TRAOPE!$A:$W,23,0),VLOOKUP(B273,TRAOPE!$A:$W,23,0)),"")</f>
        <v/>
      </c>
      <c r="S273" s="10">
        <f>IF(AND(P273="TN",R273="TN"),N273+N(O273),IF(G273&amp;""="1",N(K273)*N273,(N273+N(O273))*N(K273)))</f>
        <v/>
      </c>
      <c r="T273" s="10">
        <f>IF(Q273="","",Q273-S273)</f>
        <v/>
      </c>
    </row>
    <row r="274">
      <c r="A274" s="7">
        <f>CONCATENATE(C274,E274,F274,I274)</f>
        <v/>
      </c>
      <c r="B274" s="7">
        <f>CONCATENATE(C274,E274,I274)</f>
        <v/>
      </c>
      <c r="C274" s="8" t="n">
        <v>900007304</v>
      </c>
      <c r="D274" s="7">
        <f>IFERROR(VLOOKUP(C274,TRAOPE!$G:$H,2,0),"")</f>
        <v/>
      </c>
      <c r="E274" s="8" t="inlineStr">
        <is>
          <t>DW55</t>
        </is>
      </c>
      <c r="F274" s="8" t="inlineStr">
        <is>
          <t>D348</t>
        </is>
      </c>
      <c r="G274" s="8">
        <f>IFERROR(VLOOKUP(A274,Flete!$A:$E,5,0),"")</f>
        <v/>
      </c>
      <c r="H274" s="7">
        <f>IFERROR(VLOOKUP(F274,TRAOPE!$AA:$AB,2,0),"")</f>
        <v/>
      </c>
      <c r="I274" s="7" t="n">
        <v>10213318</v>
      </c>
      <c r="J274" s="7">
        <f>IFERROR(VLOOKUP(I274,Materiales!$A:$H,8,0),"")</f>
        <v/>
      </c>
      <c r="K274" s="9">
        <f>IFERROR(VLOOKUP(I274,Materiales!$A:$G,7,0),"")</f>
        <v/>
      </c>
      <c r="L274" s="8" t="inlineStr">
        <is>
          <t>20220705</t>
        </is>
      </c>
      <c r="M274" s="8" t="inlineStr">
        <is>
          <t>20240930</t>
        </is>
      </c>
      <c r="N274" s="10" t="n">
        <v>460.57</v>
      </c>
      <c r="O274" s="10">
        <f>IFERROR(VLOOKUP(A274,Flete!$A:$J,10,0),"")</f>
        <v/>
      </c>
      <c r="P274" s="8" t="inlineStr">
        <is>
          <t>TN</t>
        </is>
      </c>
      <c r="Q274" s="10">
        <f>IFERROR(IFERROR(VLOOKUP(A274,TRAOPE!$A:$U,21,0),VLOOKUP(B274,TRAOPE!$A:$U,21,0)),"")</f>
        <v/>
      </c>
      <c r="R274" s="8">
        <f>IFERROR(IFERROR(VLOOKUP(A274,TRAOPE!$A:$W,23,0),VLOOKUP(B274,TRAOPE!$A:$W,23,0)),"")</f>
        <v/>
      </c>
      <c r="S274" s="10">
        <f>IF(AND(P274="TN",R274="TN"),N274+N(O274),IF(G274&amp;""="1",N(K274)*N274,(N274+N(O274))*N(K274)))</f>
        <v/>
      </c>
      <c r="T274" s="10">
        <f>IF(Q274="","",Q274-S274)</f>
        <v/>
      </c>
    </row>
    <row r="275">
      <c r="A275" s="7">
        <f>CONCATENATE(C275,E275,F275,I275)</f>
        <v/>
      </c>
      <c r="B275" s="7">
        <f>CONCATENATE(C275,E275,I275)</f>
        <v/>
      </c>
      <c r="C275" s="8" t="n">
        <v>900007304</v>
      </c>
      <c r="D275" s="7">
        <f>IFERROR(VLOOKUP(C275,TRAOPE!$G:$H,2,0),"")</f>
        <v/>
      </c>
      <c r="E275" s="8" t="inlineStr">
        <is>
          <t>DW55</t>
        </is>
      </c>
      <c r="F275" s="8" t="inlineStr">
        <is>
          <t>D348</t>
        </is>
      </c>
      <c r="G275" s="8">
        <f>IFERROR(VLOOKUP(A275,Flete!$A:$E,5,0),"")</f>
        <v/>
      </c>
      <c r="H275" s="7">
        <f>IFERROR(VLOOKUP(F275,TRAOPE!$AA:$AB,2,0),"")</f>
        <v/>
      </c>
      <c r="I275" s="7" t="n">
        <v>10217663</v>
      </c>
      <c r="J275" s="7">
        <f>IFERROR(VLOOKUP(I275,Materiales!$A:$H,8,0),"")</f>
        <v/>
      </c>
      <c r="K275" s="9">
        <f>IFERROR(VLOOKUP(I275,Materiales!$A:$G,7,0),"")</f>
        <v/>
      </c>
      <c r="L275" s="8" t="inlineStr">
        <is>
          <t>20220705</t>
        </is>
      </c>
      <c r="M275" s="8" t="inlineStr">
        <is>
          <t>20240930</t>
        </is>
      </c>
      <c r="N275" s="10" t="n">
        <v>44.64</v>
      </c>
      <c r="O275" s="10">
        <f>IFERROR(VLOOKUP(A275,Flete!$A:$J,10,0),"")</f>
        <v/>
      </c>
      <c r="P275" s="8" t="inlineStr">
        <is>
          <t>TN</t>
        </is>
      </c>
      <c r="Q275" s="10">
        <f>IFERROR(IFERROR(VLOOKUP(A275,TRAOPE!$A:$U,21,0),VLOOKUP(B275,TRAOPE!$A:$U,21,0)),"")</f>
        <v/>
      </c>
      <c r="R275" s="8">
        <f>IFERROR(IFERROR(VLOOKUP(A275,TRAOPE!$A:$W,23,0),VLOOKUP(B275,TRAOPE!$A:$W,23,0)),"")</f>
        <v/>
      </c>
      <c r="S275" s="10">
        <f>IF(AND(P275="TN",R275="TN"),N275+N(O275),IF(G275&amp;""="1",N(K275)*N275,(N275+N(O275))*N(K275)))</f>
        <v/>
      </c>
      <c r="T275" s="10">
        <f>IF(Q275="","",Q275-S275)</f>
        <v/>
      </c>
    </row>
    <row r="276">
      <c r="A276" s="7">
        <f>CONCATENATE(C276,E276,F276,I276)</f>
        <v/>
      </c>
      <c r="B276" s="7">
        <f>CONCATENATE(C276,E276,I276)</f>
        <v/>
      </c>
      <c r="C276" s="8" t="n">
        <v>900007304</v>
      </c>
      <c r="D276" s="7">
        <f>IFERROR(VLOOKUP(C276,TRAOPE!$G:$H,2,0),"")</f>
        <v/>
      </c>
      <c r="E276" s="8" t="inlineStr">
        <is>
          <t>DW55</t>
        </is>
      </c>
      <c r="F276" s="8" t="inlineStr">
        <is>
          <t>D348</t>
        </is>
      </c>
      <c r="G276" s="8">
        <f>IFERROR(VLOOKUP(A276,Flete!$A:$E,5,0),"")</f>
        <v/>
      </c>
      <c r="H276" s="7">
        <f>IFERROR(VLOOKUP(F276,TRAOPE!$AA:$AB,2,0),"")</f>
        <v/>
      </c>
      <c r="I276" s="7" t="n">
        <v>10218414</v>
      </c>
      <c r="J276" s="7">
        <f>IFERROR(VLOOKUP(I276,Materiales!$A:$H,8,0),"")</f>
        <v/>
      </c>
      <c r="K276" s="9">
        <f>IFERROR(VLOOKUP(I276,Materiales!$A:$G,7,0),"")</f>
        <v/>
      </c>
      <c r="L276" s="8" t="inlineStr">
        <is>
          <t>20220705</t>
        </is>
      </c>
      <c r="M276" s="8" t="inlineStr">
        <is>
          <t>20240930</t>
        </is>
      </c>
      <c r="N276" s="10" t="n">
        <v>217.82</v>
      </c>
      <c r="O276" s="10">
        <f>IFERROR(VLOOKUP(A276,Flete!$A:$J,10,0),"")</f>
        <v/>
      </c>
      <c r="P276" s="8" t="inlineStr">
        <is>
          <t>TN</t>
        </is>
      </c>
      <c r="Q276" s="10">
        <f>IFERROR(IFERROR(VLOOKUP(A276,TRAOPE!$A:$U,21,0),VLOOKUP(B276,TRAOPE!$A:$U,21,0)),"")</f>
        <v/>
      </c>
      <c r="R276" s="8">
        <f>IFERROR(IFERROR(VLOOKUP(A276,TRAOPE!$A:$W,23,0),VLOOKUP(B276,TRAOPE!$A:$W,23,0)),"")</f>
        <v/>
      </c>
      <c r="S276" s="10">
        <f>IF(AND(P276="TN",R276="TN"),N276+N(O276),IF(G276&amp;""="1",N(K276)*N276,(N276+N(O276))*N(K276)))</f>
        <v/>
      </c>
      <c r="T276" s="10">
        <f>IF(Q276="","",Q276-S276)</f>
        <v/>
      </c>
    </row>
    <row r="277">
      <c r="A277" s="7">
        <f>CONCATENATE(C277,E277,F277,I277)</f>
        <v/>
      </c>
      <c r="B277" s="7">
        <f>CONCATENATE(C277,E277,I277)</f>
        <v/>
      </c>
      <c r="C277" s="8" t="n">
        <v>900007341</v>
      </c>
      <c r="D277" s="7">
        <f>IFERROR(VLOOKUP(C277,TRAOPE!$G:$H,2,0),"")</f>
        <v/>
      </c>
      <c r="E277" s="8" t="inlineStr">
        <is>
          <t>DW55</t>
        </is>
      </c>
      <c r="F277" s="8" t="inlineStr">
        <is>
          <t>D284</t>
        </is>
      </c>
      <c r="G277" s="8">
        <f>IFERROR(VLOOKUP(A277,Flete!$A:$E,5,0),"")</f>
        <v/>
      </c>
      <c r="H277" s="7">
        <f>IFERROR(VLOOKUP(F277,TRAOPE!$AA:$AB,2,0),"")</f>
        <v/>
      </c>
      <c r="I277" s="7" t="n">
        <v>10000373</v>
      </c>
      <c r="J277" s="7">
        <f>IFERROR(VLOOKUP(I277,Materiales!$A:$H,8,0),"")</f>
        <v/>
      </c>
      <c r="K277" s="9">
        <f>IFERROR(VLOOKUP(I277,Materiales!$A:$G,7,0),"")</f>
        <v/>
      </c>
      <c r="L277" s="8" t="inlineStr">
        <is>
          <t>20230307</t>
        </is>
      </c>
      <c r="M277" s="8" t="inlineStr">
        <is>
          <t>20230316</t>
        </is>
      </c>
      <c r="N277" s="10" t="n">
        <v>286.74</v>
      </c>
      <c r="O277" s="10">
        <f>IFERROR(VLOOKUP(A277,Flete!$A:$J,10,0),"")</f>
        <v/>
      </c>
      <c r="P277" s="8" t="inlineStr">
        <is>
          <t>TN</t>
        </is>
      </c>
      <c r="Q277" s="10">
        <f>IFERROR(IFERROR(VLOOKUP(A277,TRAOPE!$A:$U,21,0),VLOOKUP(B277,TRAOPE!$A:$U,21,0)),"")</f>
        <v/>
      </c>
      <c r="R277" s="8">
        <f>IFERROR(IFERROR(VLOOKUP(A277,TRAOPE!$A:$W,23,0),VLOOKUP(B277,TRAOPE!$A:$W,23,0)),"")</f>
        <v/>
      </c>
      <c r="S277" s="10">
        <f>IF(AND(P277="TN",R277="TN"),N277+N(O277),IF(G277&amp;""="1",N(K277)*N277,(N277+N(O277))*N(K277)))</f>
        <v/>
      </c>
      <c r="T277" s="10">
        <f>IF(Q277="","",Q277-S277)</f>
        <v/>
      </c>
    </row>
    <row r="278">
      <c r="A278" s="7">
        <f>CONCATENATE(C278,E278,F278,I278)</f>
        <v/>
      </c>
      <c r="B278" s="7">
        <f>CONCATENATE(C278,E278,I278)</f>
        <v/>
      </c>
      <c r="C278" s="8" t="n">
        <v>900007341</v>
      </c>
      <c r="D278" s="7">
        <f>IFERROR(VLOOKUP(C278,TRAOPE!$G:$H,2,0),"")</f>
        <v/>
      </c>
      <c r="E278" s="8" t="inlineStr">
        <is>
          <t>DW55</t>
        </is>
      </c>
      <c r="F278" s="8" t="inlineStr">
        <is>
          <t>D309</t>
        </is>
      </c>
      <c r="G278" s="8">
        <f>IFERROR(VLOOKUP(A278,Flete!$A:$E,5,0),"")</f>
        <v/>
      </c>
      <c r="H278" s="7">
        <f>IFERROR(VLOOKUP(F278,TRAOPE!$AA:$AB,2,0),"")</f>
        <v/>
      </c>
      <c r="I278" s="7" t="n">
        <v>10000373</v>
      </c>
      <c r="J278" s="7">
        <f>IFERROR(VLOOKUP(I278,Materiales!$A:$H,8,0),"")</f>
        <v/>
      </c>
      <c r="K278" s="9">
        <f>IFERROR(VLOOKUP(I278,Materiales!$A:$G,7,0),"")</f>
        <v/>
      </c>
      <c r="L278" s="8" t="inlineStr">
        <is>
          <t>20230307</t>
        </is>
      </c>
      <c r="M278" s="8" t="inlineStr">
        <is>
          <t>20230316</t>
        </is>
      </c>
      <c r="N278" s="10" t="n">
        <v>286.74</v>
      </c>
      <c r="O278" s="10">
        <f>IFERROR(VLOOKUP(A278,Flete!$A:$J,10,0),"")</f>
        <v/>
      </c>
      <c r="P278" s="8" t="inlineStr">
        <is>
          <t>TN</t>
        </is>
      </c>
      <c r="Q278" s="10">
        <f>IFERROR(IFERROR(VLOOKUP(A278,TRAOPE!$A:$U,21,0),VLOOKUP(B278,TRAOPE!$A:$U,21,0)),"")</f>
        <v/>
      </c>
      <c r="R278" s="8">
        <f>IFERROR(IFERROR(VLOOKUP(A278,TRAOPE!$A:$W,23,0),VLOOKUP(B278,TRAOPE!$A:$W,23,0)),"")</f>
        <v/>
      </c>
      <c r="S278" s="10">
        <f>IF(AND(P278="TN",R278="TN"),N278+N(O278),IF(G278&amp;""="1",N(K278)*N278,(N278+N(O278))*N(K278)))</f>
        <v/>
      </c>
      <c r="T278" s="10">
        <f>IF(Q278="","",Q278-S278)</f>
        <v/>
      </c>
    </row>
    <row r="279">
      <c r="A279" s="7">
        <f>CONCATENATE(C279,E279,F279,I279)</f>
        <v/>
      </c>
      <c r="B279" s="7">
        <f>CONCATENATE(C279,E279,I279)</f>
        <v/>
      </c>
      <c r="C279" s="8" t="n">
        <v>900007341</v>
      </c>
      <c r="D279" s="7">
        <f>IFERROR(VLOOKUP(C279,TRAOPE!$G:$H,2,0),"")</f>
        <v/>
      </c>
      <c r="E279" s="8" t="inlineStr">
        <is>
          <t>DW55</t>
        </is>
      </c>
      <c r="F279" s="8" t="inlineStr">
        <is>
          <t>D342</t>
        </is>
      </c>
      <c r="G279" s="8">
        <f>IFERROR(VLOOKUP(A279,Flete!$A:$E,5,0),"")</f>
        <v/>
      </c>
      <c r="H279" s="7">
        <f>IFERROR(VLOOKUP(F279,TRAOPE!$AA:$AB,2,0),"")</f>
        <v/>
      </c>
      <c r="I279" s="7" t="n">
        <v>10000373</v>
      </c>
      <c r="J279" s="7">
        <f>IFERROR(VLOOKUP(I279,Materiales!$A:$H,8,0),"")</f>
        <v/>
      </c>
      <c r="K279" s="9">
        <f>IFERROR(VLOOKUP(I279,Materiales!$A:$G,7,0),"")</f>
        <v/>
      </c>
      <c r="L279" s="8" t="inlineStr">
        <is>
          <t>20230307</t>
        </is>
      </c>
      <c r="M279" s="8" t="inlineStr">
        <is>
          <t>20230316</t>
        </is>
      </c>
      <c r="N279" s="10" t="n">
        <v>286.74</v>
      </c>
      <c r="O279" s="10">
        <f>IFERROR(VLOOKUP(A279,Flete!$A:$J,10,0),"")</f>
        <v/>
      </c>
      <c r="P279" s="8" t="inlineStr">
        <is>
          <t>TN</t>
        </is>
      </c>
      <c r="Q279" s="10">
        <f>IFERROR(IFERROR(VLOOKUP(A279,TRAOPE!$A:$U,21,0),VLOOKUP(B279,TRAOPE!$A:$U,21,0)),"")</f>
        <v/>
      </c>
      <c r="R279" s="8">
        <f>IFERROR(IFERROR(VLOOKUP(A279,TRAOPE!$A:$W,23,0),VLOOKUP(B279,TRAOPE!$A:$W,23,0)),"")</f>
        <v/>
      </c>
      <c r="S279" s="10">
        <f>IF(AND(P279="TN",R279="TN"),N279+N(O279),IF(G279&amp;""="1",N(K279)*N279,(N279+N(O279))*N(K279)))</f>
        <v/>
      </c>
      <c r="T279" s="10">
        <f>IF(Q279="","",Q279-S279)</f>
        <v/>
      </c>
    </row>
    <row r="280">
      <c r="A280" s="7">
        <f>CONCATENATE(C280,E280,F280,I280)</f>
        <v/>
      </c>
      <c r="B280" s="7">
        <f>CONCATENATE(C280,E280,I280)</f>
        <v/>
      </c>
      <c r="C280" s="8" t="n">
        <v>900007378</v>
      </c>
      <c r="D280" s="7">
        <f>IFERROR(VLOOKUP(C280,TRAOPE!$G:$H,2,0),"")</f>
        <v/>
      </c>
      <c r="E280" s="8" t="inlineStr">
        <is>
          <t>DW55</t>
        </is>
      </c>
      <c r="F280" s="8" t="inlineStr">
        <is>
          <t>D325</t>
        </is>
      </c>
      <c r="G280" s="8">
        <f>IFERROR(VLOOKUP(A280,Flete!$A:$E,5,0),"")</f>
        <v/>
      </c>
      <c r="H280" s="7">
        <f>IFERROR(VLOOKUP(F280,TRAOPE!$AA:$AB,2,0),"")</f>
        <v/>
      </c>
      <c r="I280" s="7" t="n">
        <v>10079650</v>
      </c>
      <c r="J280" s="7">
        <f>IFERROR(VLOOKUP(I280,Materiales!$A:$H,8,0),"")</f>
        <v/>
      </c>
      <c r="K280" s="9">
        <f>IFERROR(VLOOKUP(I280,Materiales!$A:$G,7,0),"")</f>
        <v/>
      </c>
      <c r="L280" s="8" t="inlineStr">
        <is>
          <t>20220516</t>
        </is>
      </c>
      <c r="M280" s="8" t="inlineStr">
        <is>
          <t>20240320</t>
        </is>
      </c>
      <c r="N280" s="10" t="n">
        <v>131.22</v>
      </c>
      <c r="O280" s="10">
        <f>IFERROR(VLOOKUP(A280,Flete!$A:$J,10,0),"")</f>
        <v/>
      </c>
      <c r="P280" s="8" t="inlineStr">
        <is>
          <t>TN</t>
        </is>
      </c>
      <c r="Q280" s="10">
        <f>IFERROR(IFERROR(VLOOKUP(A280,TRAOPE!$A:$U,21,0),VLOOKUP(B280,TRAOPE!$A:$U,21,0)),"")</f>
        <v/>
      </c>
      <c r="R280" s="8">
        <f>IFERROR(IFERROR(VLOOKUP(A280,TRAOPE!$A:$W,23,0),VLOOKUP(B280,TRAOPE!$A:$W,23,0)),"")</f>
        <v/>
      </c>
      <c r="S280" s="10">
        <f>IF(AND(P280="TN",R280="TN"),N280+N(O280),IF(G280&amp;""="1",N(K280)*N280,(N280+N(O280))*N(K280)))</f>
        <v/>
      </c>
      <c r="T280" s="10">
        <f>IF(Q280="","",Q280-S280)</f>
        <v/>
      </c>
    </row>
    <row r="281">
      <c r="A281" s="7">
        <f>CONCATENATE(C281,E281,F281,I281)</f>
        <v/>
      </c>
      <c r="B281" s="7">
        <f>CONCATENATE(C281,E281,I281)</f>
        <v/>
      </c>
      <c r="C281" s="8" t="n">
        <v>900007378</v>
      </c>
      <c r="D281" s="7">
        <f>IFERROR(VLOOKUP(C281,TRAOPE!$G:$H,2,0),"")</f>
        <v/>
      </c>
      <c r="E281" s="8" t="inlineStr">
        <is>
          <t>DW55</t>
        </is>
      </c>
      <c r="F281" s="8" t="inlineStr">
        <is>
          <t>D348</t>
        </is>
      </c>
      <c r="G281" s="8">
        <f>IFERROR(VLOOKUP(A281,Flete!$A:$E,5,0),"")</f>
        <v/>
      </c>
      <c r="H281" s="7">
        <f>IFERROR(VLOOKUP(F281,TRAOPE!$AA:$AB,2,0),"")</f>
        <v/>
      </c>
      <c r="I281" s="7" t="n">
        <v>10079650</v>
      </c>
      <c r="J281" s="7">
        <f>IFERROR(VLOOKUP(I281,Materiales!$A:$H,8,0),"")</f>
        <v/>
      </c>
      <c r="K281" s="9">
        <f>IFERROR(VLOOKUP(I281,Materiales!$A:$G,7,0),"")</f>
        <v/>
      </c>
      <c r="L281" s="8" t="inlineStr">
        <is>
          <t>20220516</t>
        </is>
      </c>
      <c r="M281" s="8" t="inlineStr">
        <is>
          <t>20240320</t>
        </is>
      </c>
      <c r="N281" s="10" t="n">
        <v>138.12</v>
      </c>
      <c r="O281" s="10">
        <f>IFERROR(VLOOKUP(A281,Flete!$A:$J,10,0),"")</f>
        <v/>
      </c>
      <c r="P281" s="8" t="inlineStr">
        <is>
          <t>TN</t>
        </is>
      </c>
      <c r="Q281" s="10">
        <f>IFERROR(IFERROR(VLOOKUP(A281,TRAOPE!$A:$U,21,0),VLOOKUP(B281,TRAOPE!$A:$U,21,0)),"")</f>
        <v/>
      </c>
      <c r="R281" s="8">
        <f>IFERROR(IFERROR(VLOOKUP(A281,TRAOPE!$A:$W,23,0),VLOOKUP(B281,TRAOPE!$A:$W,23,0)),"")</f>
        <v/>
      </c>
      <c r="S281" s="10">
        <f>IF(AND(P281="TN",R281="TN"),N281+N(O281),IF(G281&amp;""="1",N(K281)*N281,(N281+N(O281))*N(K281)))</f>
        <v/>
      </c>
      <c r="T281" s="10">
        <f>IF(Q281="","",Q281-S281)</f>
        <v/>
      </c>
    </row>
    <row r="282">
      <c r="A282" s="7">
        <f>CONCATENATE(C282,E282,F282,I282)</f>
        <v/>
      </c>
      <c r="B282" s="7">
        <f>CONCATENATE(C282,E282,I282)</f>
        <v/>
      </c>
      <c r="C282" s="8" t="n">
        <v>900007378</v>
      </c>
      <c r="D282" s="7">
        <f>IFERROR(VLOOKUP(C282,TRAOPE!$G:$H,2,0),"")</f>
        <v/>
      </c>
      <c r="E282" s="8" t="inlineStr">
        <is>
          <t>DW55</t>
        </is>
      </c>
      <c r="F282" s="8" t="inlineStr">
        <is>
          <t>ER67</t>
        </is>
      </c>
      <c r="G282" s="8">
        <f>IFERROR(VLOOKUP(A282,Flete!$A:$E,5,0),"")</f>
        <v/>
      </c>
      <c r="H282" s="7">
        <f>IFERROR(VLOOKUP(F282,TRAOPE!$AA:$AB,2,0),"")</f>
        <v/>
      </c>
      <c r="I282" s="7" t="n">
        <v>10000372</v>
      </c>
      <c r="J282" s="7">
        <f>IFERROR(VLOOKUP(I282,Materiales!$A:$H,8,0),"")</f>
        <v/>
      </c>
      <c r="K282" s="9">
        <f>IFERROR(VLOOKUP(I282,Materiales!$A:$G,7,0),"")</f>
        <v/>
      </c>
      <c r="L282" s="8" t="inlineStr">
        <is>
          <t>20220504</t>
        </is>
      </c>
      <c r="M282" s="8" t="inlineStr">
        <is>
          <t>20230127</t>
        </is>
      </c>
      <c r="N282" s="10" t="n">
        <v>155.99</v>
      </c>
      <c r="O282" s="10">
        <f>IFERROR(VLOOKUP(A282,Flete!$A:$J,10,0),"")</f>
        <v/>
      </c>
      <c r="P282" s="8" t="inlineStr">
        <is>
          <t>TN</t>
        </is>
      </c>
      <c r="Q282" s="10">
        <f>IFERROR(IFERROR(VLOOKUP(A282,TRAOPE!$A:$U,21,0),VLOOKUP(B282,TRAOPE!$A:$U,21,0)),"")</f>
        <v/>
      </c>
      <c r="R282" s="8">
        <f>IFERROR(IFERROR(VLOOKUP(A282,TRAOPE!$A:$W,23,0),VLOOKUP(B282,TRAOPE!$A:$W,23,0)),"")</f>
        <v/>
      </c>
      <c r="S282" s="10">
        <f>IF(AND(P282="TN",R282="TN"),N282+N(O282),IF(G282&amp;""="1",N(K282)*N282,(N282+N(O282))*N(K282)))</f>
        <v/>
      </c>
      <c r="T282" s="10">
        <f>IF(Q282="","",Q282-S282)</f>
        <v/>
      </c>
    </row>
    <row r="283">
      <c r="A283" s="7">
        <f>CONCATENATE(C283,E283,F283,I283)</f>
        <v/>
      </c>
      <c r="B283" s="7">
        <f>CONCATENATE(C283,E283,I283)</f>
        <v/>
      </c>
      <c r="C283" s="8" t="n">
        <v>900007378</v>
      </c>
      <c r="D283" s="7">
        <f>IFERROR(VLOOKUP(C283,TRAOPE!$G:$H,2,0),"")</f>
        <v/>
      </c>
      <c r="E283" s="8" t="inlineStr">
        <is>
          <t>DW55</t>
        </is>
      </c>
      <c r="F283" s="8" t="inlineStr">
        <is>
          <t>ER68</t>
        </is>
      </c>
      <c r="G283" s="8">
        <f>IFERROR(VLOOKUP(A283,Flete!$A:$E,5,0),"")</f>
        <v/>
      </c>
      <c r="H283" s="7">
        <f>IFERROR(VLOOKUP(F283,TRAOPE!$AA:$AB,2,0),"")</f>
        <v/>
      </c>
      <c r="I283" s="7" t="n">
        <v>10000372</v>
      </c>
      <c r="J283" s="7">
        <f>IFERROR(VLOOKUP(I283,Materiales!$A:$H,8,0),"")</f>
        <v/>
      </c>
      <c r="K283" s="9">
        <f>IFERROR(VLOOKUP(I283,Materiales!$A:$G,7,0),"")</f>
        <v/>
      </c>
      <c r="L283" s="8" t="inlineStr">
        <is>
          <t>20220516</t>
        </is>
      </c>
      <c r="M283" s="8" t="inlineStr">
        <is>
          <t>20240319</t>
        </is>
      </c>
      <c r="N283" s="10" t="n">
        <v>148.19</v>
      </c>
      <c r="O283" s="10">
        <f>IFERROR(VLOOKUP(A283,Flete!$A:$J,10,0),"")</f>
        <v/>
      </c>
      <c r="P283" s="8" t="inlineStr">
        <is>
          <t>TN</t>
        </is>
      </c>
      <c r="Q283" s="10">
        <f>IFERROR(IFERROR(VLOOKUP(A283,TRAOPE!$A:$U,21,0),VLOOKUP(B283,TRAOPE!$A:$U,21,0)),"")</f>
        <v/>
      </c>
      <c r="R283" s="8">
        <f>IFERROR(IFERROR(VLOOKUP(A283,TRAOPE!$A:$W,23,0),VLOOKUP(B283,TRAOPE!$A:$W,23,0)),"")</f>
        <v/>
      </c>
      <c r="S283" s="10">
        <f>IF(AND(P283="TN",R283="TN"),N283+N(O283),IF(G283&amp;""="1",N(K283)*N283,(N283+N(O283))*N(K283)))</f>
        <v/>
      </c>
      <c r="T283" s="10">
        <f>IF(Q283="","",Q283-S283)</f>
        <v/>
      </c>
    </row>
    <row r="284">
      <c r="A284" s="7">
        <f>CONCATENATE(C284,E284,F284,I284)</f>
        <v/>
      </c>
      <c r="B284" s="7">
        <f>CONCATENATE(C284,E284,I284)</f>
        <v/>
      </c>
      <c r="C284" s="8" t="n">
        <v>900007399</v>
      </c>
      <c r="D284" s="7">
        <f>IFERROR(VLOOKUP(C284,TRAOPE!$G:$H,2,0),"")</f>
        <v/>
      </c>
      <c r="E284" s="8" t="inlineStr">
        <is>
          <t>DW55</t>
        </is>
      </c>
      <c r="F284" s="8" t="inlineStr">
        <is>
          <t>D348</t>
        </is>
      </c>
      <c r="G284" s="8">
        <f>IFERROR(VLOOKUP(A284,Flete!$A:$E,5,0),"")</f>
        <v/>
      </c>
      <c r="H284" s="7">
        <f>IFERROR(VLOOKUP(F284,TRAOPE!$AA:$AB,2,0),"")</f>
        <v/>
      </c>
      <c r="I284" s="7" t="n">
        <v>10079650</v>
      </c>
      <c r="J284" s="7">
        <f>IFERROR(VLOOKUP(I284,Materiales!$A:$H,8,0),"")</f>
        <v/>
      </c>
      <c r="K284" s="9">
        <f>IFERROR(VLOOKUP(I284,Materiales!$A:$G,7,0),"")</f>
        <v/>
      </c>
      <c r="L284" s="8" t="inlineStr">
        <is>
          <t>20240122</t>
        </is>
      </c>
      <c r="M284" s="8" t="inlineStr">
        <is>
          <t>20241015</t>
        </is>
      </c>
      <c r="N284" s="10" t="n">
        <v>138.12</v>
      </c>
      <c r="O284" s="10">
        <f>IFERROR(VLOOKUP(A284,Flete!$A:$J,10,0),"")</f>
        <v/>
      </c>
      <c r="P284" s="8" t="inlineStr">
        <is>
          <t>TN</t>
        </is>
      </c>
      <c r="Q284" s="10">
        <f>IFERROR(IFERROR(VLOOKUP(A284,TRAOPE!$A:$U,21,0),VLOOKUP(B284,TRAOPE!$A:$U,21,0)),"")</f>
        <v/>
      </c>
      <c r="R284" s="8">
        <f>IFERROR(IFERROR(VLOOKUP(A284,TRAOPE!$A:$W,23,0),VLOOKUP(B284,TRAOPE!$A:$W,23,0)),"")</f>
        <v/>
      </c>
      <c r="S284" s="10">
        <f>IF(AND(P284="TN",R284="TN"),N284+N(O284),IF(G284&amp;""="1",N(K284)*N284,(N284+N(O284))*N(K284)))</f>
        <v/>
      </c>
      <c r="T284" s="10">
        <f>IF(Q284="","",Q284-S284)</f>
        <v/>
      </c>
    </row>
    <row r="285">
      <c r="A285" s="7">
        <f>CONCATENATE(C285,E285,F285,I285)</f>
        <v/>
      </c>
      <c r="B285" s="7">
        <f>CONCATENATE(C285,E285,I285)</f>
        <v/>
      </c>
      <c r="C285" s="8" t="n">
        <v>900007412</v>
      </c>
      <c r="D285" s="7">
        <f>IFERROR(VLOOKUP(C285,TRAOPE!$G:$H,2,0),"")</f>
        <v/>
      </c>
      <c r="E285" s="8" t="inlineStr">
        <is>
          <t>DW55</t>
        </is>
      </c>
      <c r="F285" s="8" t="inlineStr">
        <is>
          <t>D348</t>
        </is>
      </c>
      <c r="G285" s="8">
        <f>IFERROR(VLOOKUP(A285,Flete!$A:$E,5,0),"")</f>
        <v/>
      </c>
      <c r="H285" s="7">
        <f>IFERROR(VLOOKUP(F285,TRAOPE!$AA:$AB,2,0),"")</f>
        <v/>
      </c>
      <c r="I285" s="7" t="n">
        <v>10079650</v>
      </c>
      <c r="J285" s="7">
        <f>IFERROR(VLOOKUP(I285,Materiales!$A:$H,8,0),"")</f>
        <v/>
      </c>
      <c r="K285" s="9">
        <f>IFERROR(VLOOKUP(I285,Materiales!$A:$G,7,0),"")</f>
        <v/>
      </c>
      <c r="L285" s="8" t="inlineStr">
        <is>
          <t>20220516</t>
        </is>
      </c>
      <c r="M285" s="8" t="inlineStr">
        <is>
          <t>20240716</t>
        </is>
      </c>
      <c r="N285" s="10" t="n">
        <v>138.12</v>
      </c>
      <c r="O285" s="10">
        <f>IFERROR(VLOOKUP(A285,Flete!$A:$J,10,0),"")</f>
        <v/>
      </c>
      <c r="P285" s="8" t="inlineStr">
        <is>
          <t>TN</t>
        </is>
      </c>
      <c r="Q285" s="10">
        <f>IFERROR(IFERROR(VLOOKUP(A285,TRAOPE!$A:$U,21,0),VLOOKUP(B285,TRAOPE!$A:$U,21,0)),"")</f>
        <v/>
      </c>
      <c r="R285" s="8">
        <f>IFERROR(IFERROR(VLOOKUP(A285,TRAOPE!$A:$W,23,0),VLOOKUP(B285,TRAOPE!$A:$W,23,0)),"")</f>
        <v/>
      </c>
      <c r="S285" s="10">
        <f>IF(AND(P285="TN",R285="TN"),N285+N(O285),IF(G285&amp;""="1",N(K285)*N285,(N285+N(O285))*N(K285)))</f>
        <v/>
      </c>
      <c r="T285" s="10">
        <f>IF(Q285="","",Q285-S285)</f>
        <v/>
      </c>
    </row>
    <row r="286">
      <c r="A286" s="7">
        <f>CONCATENATE(C286,E286,F286,I286)</f>
        <v/>
      </c>
      <c r="B286" s="7">
        <f>CONCATENATE(C286,E286,I286)</f>
        <v/>
      </c>
      <c r="C286" s="8" t="n">
        <v>900007484</v>
      </c>
      <c r="D286" s="7">
        <f>IFERROR(VLOOKUP(C286,TRAOPE!$G:$H,2,0),"")</f>
        <v/>
      </c>
      <c r="E286" s="8" t="inlineStr">
        <is>
          <t>DW55</t>
        </is>
      </c>
      <c r="F286" s="8" t="inlineStr">
        <is>
          <t>D284</t>
        </is>
      </c>
      <c r="G286" s="8">
        <f>IFERROR(VLOOKUP(A286,Flete!$A:$E,5,0),"")</f>
        <v/>
      </c>
      <c r="H286" s="7">
        <f>IFERROR(VLOOKUP(F286,TRAOPE!$AA:$AB,2,0),"")</f>
        <v/>
      </c>
      <c r="I286" s="7" t="n">
        <v>10000372</v>
      </c>
      <c r="J286" s="7">
        <f>IFERROR(VLOOKUP(I286,Materiales!$A:$H,8,0),"")</f>
        <v/>
      </c>
      <c r="K286" s="9">
        <f>IFERROR(VLOOKUP(I286,Materiales!$A:$G,7,0),"")</f>
        <v/>
      </c>
      <c r="L286" s="8" t="inlineStr">
        <is>
          <t>20250428</t>
        </is>
      </c>
      <c r="M286" s="8" t="inlineStr">
        <is>
          <t>20251031</t>
        </is>
      </c>
      <c r="N286" s="10" t="n">
        <v>138.12</v>
      </c>
      <c r="O286" s="10">
        <f>IFERROR(VLOOKUP(A286,Flete!$A:$J,10,0),"")</f>
        <v/>
      </c>
      <c r="P286" s="8" t="inlineStr">
        <is>
          <t>TN</t>
        </is>
      </c>
      <c r="Q286" s="10">
        <f>IFERROR(IFERROR(VLOOKUP(A286,TRAOPE!$A:$U,21,0),VLOOKUP(B286,TRAOPE!$A:$U,21,0)),"")</f>
        <v/>
      </c>
      <c r="R286" s="8">
        <f>IFERROR(IFERROR(VLOOKUP(A286,TRAOPE!$A:$W,23,0),VLOOKUP(B286,TRAOPE!$A:$W,23,0)),"")</f>
        <v/>
      </c>
      <c r="S286" s="10">
        <f>IF(AND(P286="TN",R286="TN"),N286+N(O286),IF(G286&amp;""="1",N(K286)*N286,(N286+N(O286))*N(K286)))</f>
        <v/>
      </c>
      <c r="T286" s="10">
        <f>IF(Q286="","",Q286-S286)</f>
        <v/>
      </c>
    </row>
    <row r="287">
      <c r="A287" s="7">
        <f>CONCATENATE(C287,E287,F287,I287)</f>
        <v/>
      </c>
      <c r="B287" s="7">
        <f>CONCATENATE(C287,E287,I287)</f>
        <v/>
      </c>
      <c r="C287" s="8" t="n">
        <v>900007484</v>
      </c>
      <c r="D287" s="7">
        <f>IFERROR(VLOOKUP(C287,TRAOPE!$G:$H,2,0),"")</f>
        <v/>
      </c>
      <c r="E287" s="8" t="inlineStr">
        <is>
          <t>DW55</t>
        </is>
      </c>
      <c r="F287" s="8" t="inlineStr">
        <is>
          <t>D309</t>
        </is>
      </c>
      <c r="G287" s="8">
        <f>IFERROR(VLOOKUP(A287,Flete!$A:$E,5,0),"")</f>
        <v/>
      </c>
      <c r="H287" s="7">
        <f>IFERROR(VLOOKUP(F287,TRAOPE!$AA:$AB,2,0),"")</f>
        <v/>
      </c>
      <c r="I287" s="7" t="n">
        <v>10000372</v>
      </c>
      <c r="J287" s="7">
        <f>IFERROR(VLOOKUP(I287,Materiales!$A:$H,8,0),"")</f>
        <v/>
      </c>
      <c r="K287" s="9">
        <f>IFERROR(VLOOKUP(I287,Materiales!$A:$G,7,0),"")</f>
        <v/>
      </c>
      <c r="L287" s="8" t="inlineStr">
        <is>
          <t>20250428</t>
        </is>
      </c>
      <c r="M287" s="8" t="inlineStr">
        <is>
          <t>20251031</t>
        </is>
      </c>
      <c r="N287" s="10" t="n">
        <v>138.12</v>
      </c>
      <c r="O287" s="10">
        <f>IFERROR(VLOOKUP(A287,Flete!$A:$J,10,0),"")</f>
        <v/>
      </c>
      <c r="P287" s="8" t="inlineStr">
        <is>
          <t>TN</t>
        </is>
      </c>
      <c r="Q287" s="10">
        <f>IFERROR(IFERROR(VLOOKUP(A287,TRAOPE!$A:$U,21,0),VLOOKUP(B287,TRAOPE!$A:$U,21,0)),"")</f>
        <v/>
      </c>
      <c r="R287" s="8">
        <f>IFERROR(IFERROR(VLOOKUP(A287,TRAOPE!$A:$W,23,0),VLOOKUP(B287,TRAOPE!$A:$W,23,0)),"")</f>
        <v/>
      </c>
      <c r="S287" s="10">
        <f>IF(AND(P287="TN",R287="TN"),N287+N(O287),IF(G287&amp;""="1",N(K287)*N287,(N287+N(O287))*N(K287)))</f>
        <v/>
      </c>
      <c r="T287" s="10">
        <f>IF(Q287="","",Q287-S287)</f>
        <v/>
      </c>
    </row>
    <row r="288">
      <c r="A288" s="7">
        <f>CONCATENATE(C288,E288,F288,I288)</f>
        <v/>
      </c>
      <c r="B288" s="7">
        <f>CONCATENATE(C288,E288,I288)</f>
        <v/>
      </c>
      <c r="C288" s="8" t="n">
        <v>900007484</v>
      </c>
      <c r="D288" s="7">
        <f>IFERROR(VLOOKUP(C288,TRAOPE!$G:$H,2,0),"")</f>
        <v/>
      </c>
      <c r="E288" s="8" t="inlineStr">
        <is>
          <t>DW55</t>
        </is>
      </c>
      <c r="F288" s="8" t="inlineStr">
        <is>
          <t>D325</t>
        </is>
      </c>
      <c r="G288" s="8">
        <f>IFERROR(VLOOKUP(A288,Flete!$A:$E,5,0),"")</f>
        <v/>
      </c>
      <c r="H288" s="7">
        <f>IFERROR(VLOOKUP(F288,TRAOPE!$AA:$AB,2,0),"")</f>
        <v/>
      </c>
      <c r="I288" s="7" t="n">
        <v>10217663</v>
      </c>
      <c r="J288" s="7">
        <f>IFERROR(VLOOKUP(I288,Materiales!$A:$H,8,0),"")</f>
        <v/>
      </c>
      <c r="K288" s="9">
        <f>IFERROR(VLOOKUP(I288,Materiales!$A:$G,7,0),"")</f>
        <v/>
      </c>
      <c r="L288" s="8" t="inlineStr">
        <is>
          <t>20250428</t>
        </is>
      </c>
      <c r="M288" s="8" t="inlineStr">
        <is>
          <t>20251031</t>
        </is>
      </c>
      <c r="N288" s="10" t="n">
        <v>54.95</v>
      </c>
      <c r="O288" s="10">
        <f>IFERROR(VLOOKUP(A288,Flete!$A:$J,10,0),"")</f>
        <v/>
      </c>
      <c r="P288" s="8" t="inlineStr">
        <is>
          <t>TN</t>
        </is>
      </c>
      <c r="Q288" s="10">
        <f>IFERROR(IFERROR(VLOOKUP(A288,TRAOPE!$A:$U,21,0),VLOOKUP(B288,TRAOPE!$A:$U,21,0)),"")</f>
        <v/>
      </c>
      <c r="R288" s="8">
        <f>IFERROR(IFERROR(VLOOKUP(A288,TRAOPE!$A:$W,23,0),VLOOKUP(B288,TRAOPE!$A:$W,23,0)),"")</f>
        <v/>
      </c>
      <c r="S288" s="10">
        <f>IF(AND(P288="TN",R288="TN"),N288+N(O288),IF(G288&amp;""="1",N(K288)*N288,(N288+N(O288))*N(K288)))</f>
        <v/>
      </c>
      <c r="T288" s="10">
        <f>IF(Q288="","",Q288-S288)</f>
        <v/>
      </c>
    </row>
    <row r="289">
      <c r="A289" s="7">
        <f>CONCATENATE(C289,E289,F289,I289)</f>
        <v/>
      </c>
      <c r="B289" s="7">
        <f>CONCATENATE(C289,E289,I289)</f>
        <v/>
      </c>
      <c r="C289" s="8" t="n">
        <v>900007484</v>
      </c>
      <c r="D289" s="7">
        <f>IFERROR(VLOOKUP(C289,TRAOPE!$G:$H,2,0),"")</f>
        <v/>
      </c>
      <c r="E289" s="8" t="inlineStr">
        <is>
          <t>DW55</t>
        </is>
      </c>
      <c r="F289" s="8" t="inlineStr">
        <is>
          <t>D342</t>
        </is>
      </c>
      <c r="G289" s="8">
        <f>IFERROR(VLOOKUP(A289,Flete!$A:$E,5,0),"")</f>
        <v/>
      </c>
      <c r="H289" s="7">
        <f>IFERROR(VLOOKUP(F289,TRAOPE!$AA:$AB,2,0),"")</f>
        <v/>
      </c>
      <c r="I289" s="7" t="n">
        <v>10000372</v>
      </c>
      <c r="J289" s="7">
        <f>IFERROR(VLOOKUP(I289,Materiales!$A:$H,8,0),"")</f>
        <v/>
      </c>
      <c r="K289" s="9">
        <f>IFERROR(VLOOKUP(I289,Materiales!$A:$G,7,0),"")</f>
        <v/>
      </c>
      <c r="L289" s="8" t="inlineStr">
        <is>
          <t>20220504</t>
        </is>
      </c>
      <c r="M289" s="8" t="inlineStr">
        <is>
          <t>20251031</t>
        </is>
      </c>
      <c r="N289" s="10" t="n">
        <v>138.12</v>
      </c>
      <c r="O289" s="10">
        <f>IFERROR(VLOOKUP(A289,Flete!$A:$J,10,0),"")</f>
        <v/>
      </c>
      <c r="P289" s="8" t="inlineStr">
        <is>
          <t>TN</t>
        </is>
      </c>
      <c r="Q289" s="10">
        <f>IFERROR(IFERROR(VLOOKUP(A289,TRAOPE!$A:$U,21,0),VLOOKUP(B289,TRAOPE!$A:$U,21,0)),"")</f>
        <v/>
      </c>
      <c r="R289" s="8">
        <f>IFERROR(IFERROR(VLOOKUP(A289,TRAOPE!$A:$W,23,0),VLOOKUP(B289,TRAOPE!$A:$W,23,0)),"")</f>
        <v/>
      </c>
      <c r="S289" s="10">
        <f>IF(AND(P289="TN",R289="TN"),N289+N(O289),IF(G289&amp;""="1",N(K289)*N289,(N289+N(O289))*N(K289)))</f>
        <v/>
      </c>
      <c r="T289" s="10">
        <f>IF(Q289="","",Q289-S289)</f>
        <v/>
      </c>
    </row>
    <row r="290">
      <c r="A290" s="7">
        <f>CONCATENATE(C290,E290,F290,I290)</f>
        <v/>
      </c>
      <c r="B290" s="7">
        <f>CONCATENATE(C290,E290,I290)</f>
        <v/>
      </c>
      <c r="C290" s="8" t="n">
        <v>900007484</v>
      </c>
      <c r="D290" s="7">
        <f>IFERROR(VLOOKUP(C290,TRAOPE!$G:$H,2,0),"")</f>
        <v/>
      </c>
      <c r="E290" s="8" t="inlineStr">
        <is>
          <t>DW55</t>
        </is>
      </c>
      <c r="F290" s="8" t="inlineStr">
        <is>
          <t>D348</t>
        </is>
      </c>
      <c r="G290" s="8">
        <f>IFERROR(VLOOKUP(A290,Flete!$A:$E,5,0),"")</f>
        <v/>
      </c>
      <c r="H290" s="7">
        <f>IFERROR(VLOOKUP(F290,TRAOPE!$AA:$AB,2,0),"")</f>
        <v/>
      </c>
      <c r="I290" s="7" t="n">
        <v>10000372</v>
      </c>
      <c r="J290" s="7">
        <f>IFERROR(VLOOKUP(I290,Materiales!$A:$H,8,0),"")</f>
        <v/>
      </c>
      <c r="K290" s="9">
        <f>IFERROR(VLOOKUP(I290,Materiales!$A:$G,7,0),"")</f>
        <v/>
      </c>
      <c r="L290" s="8" t="inlineStr">
        <is>
          <t>20250428</t>
        </is>
      </c>
      <c r="M290" s="8" t="inlineStr">
        <is>
          <t>20251031</t>
        </is>
      </c>
      <c r="N290" s="10" t="n">
        <v>158.84</v>
      </c>
      <c r="O290" s="10">
        <f>IFERROR(VLOOKUP(A290,Flete!$A:$J,10,0),"")</f>
        <v/>
      </c>
      <c r="P290" s="8" t="inlineStr">
        <is>
          <t>TN</t>
        </is>
      </c>
      <c r="Q290" s="10">
        <f>IFERROR(IFERROR(VLOOKUP(A290,TRAOPE!$A:$U,21,0),VLOOKUP(B290,TRAOPE!$A:$U,21,0)),"")</f>
        <v/>
      </c>
      <c r="R290" s="8">
        <f>IFERROR(IFERROR(VLOOKUP(A290,TRAOPE!$A:$W,23,0),VLOOKUP(B290,TRAOPE!$A:$W,23,0)),"")</f>
        <v/>
      </c>
      <c r="S290" s="10">
        <f>IF(AND(P290="TN",R290="TN"),N290+N(O290),IF(G290&amp;""="1",N(K290)*N290,(N290+N(O290))*N(K290)))</f>
        <v/>
      </c>
      <c r="T290" s="10">
        <f>IF(Q290="","",Q290-S290)</f>
        <v/>
      </c>
    </row>
    <row r="291">
      <c r="A291" s="7">
        <f>CONCATENATE(C291,E291,F291,I291)</f>
        <v/>
      </c>
      <c r="B291" s="7">
        <f>CONCATENATE(C291,E291,I291)</f>
        <v/>
      </c>
      <c r="C291" s="8" t="n">
        <v>900007484</v>
      </c>
      <c r="D291" s="7">
        <f>IFERROR(VLOOKUP(C291,TRAOPE!$G:$H,2,0),"")</f>
        <v/>
      </c>
      <c r="E291" s="8" t="inlineStr">
        <is>
          <t>DW55</t>
        </is>
      </c>
      <c r="F291" s="8" t="inlineStr">
        <is>
          <t>D348</t>
        </is>
      </c>
      <c r="G291" s="8">
        <f>IFERROR(VLOOKUP(A291,Flete!$A:$E,5,0),"")</f>
        <v/>
      </c>
      <c r="H291" s="7">
        <f>IFERROR(VLOOKUP(F291,TRAOPE!$AA:$AB,2,0),"")</f>
        <v/>
      </c>
      <c r="I291" s="7" t="n">
        <v>10000373</v>
      </c>
      <c r="J291" s="7">
        <f>IFERROR(VLOOKUP(I291,Materiales!$A:$H,8,0),"")</f>
        <v/>
      </c>
      <c r="K291" s="9">
        <f>IFERROR(VLOOKUP(I291,Materiales!$A:$G,7,0),"")</f>
        <v/>
      </c>
      <c r="L291" s="8" t="inlineStr">
        <is>
          <t>20230426</t>
        </is>
      </c>
      <c r="M291" s="8" t="inlineStr">
        <is>
          <t>20240930</t>
        </is>
      </c>
      <c r="N291" s="10" t="n">
        <v>358.42</v>
      </c>
      <c r="O291" s="10">
        <f>IFERROR(VLOOKUP(A291,Flete!$A:$J,10,0),"")</f>
        <v/>
      </c>
      <c r="P291" s="8" t="inlineStr">
        <is>
          <t>TN</t>
        </is>
      </c>
      <c r="Q291" s="10">
        <f>IFERROR(IFERROR(VLOOKUP(A291,TRAOPE!$A:$U,21,0),VLOOKUP(B291,TRAOPE!$A:$U,21,0)),"")</f>
        <v/>
      </c>
      <c r="R291" s="8">
        <f>IFERROR(IFERROR(VLOOKUP(A291,TRAOPE!$A:$W,23,0),VLOOKUP(B291,TRAOPE!$A:$W,23,0)),"")</f>
        <v/>
      </c>
      <c r="S291" s="10">
        <f>IF(AND(P291="TN",R291="TN"),N291+N(O291),IF(G291&amp;""="1",N(K291)*N291,(N291+N(O291))*N(K291)))</f>
        <v/>
      </c>
      <c r="T291" s="10">
        <f>IF(Q291="","",Q291-S291)</f>
        <v/>
      </c>
    </row>
    <row r="292">
      <c r="A292" s="7">
        <f>CONCATENATE(C292,E292,F292,I292)</f>
        <v/>
      </c>
      <c r="B292" s="7">
        <f>CONCATENATE(C292,E292,I292)</f>
        <v/>
      </c>
      <c r="C292" s="8" t="n">
        <v>900007484</v>
      </c>
      <c r="D292" s="7">
        <f>IFERROR(VLOOKUP(C292,TRAOPE!$G:$H,2,0),"")</f>
        <v/>
      </c>
      <c r="E292" s="8" t="inlineStr">
        <is>
          <t>DW55</t>
        </is>
      </c>
      <c r="F292" s="8" t="inlineStr">
        <is>
          <t>D348</t>
        </is>
      </c>
      <c r="G292" s="8">
        <f>IFERROR(VLOOKUP(A292,Flete!$A:$E,5,0),"")</f>
        <v/>
      </c>
      <c r="H292" s="7">
        <f>IFERROR(VLOOKUP(F292,TRAOPE!$AA:$AB,2,0),"")</f>
        <v/>
      </c>
      <c r="I292" s="7" t="n">
        <v>10023592</v>
      </c>
      <c r="J292" s="7">
        <f>IFERROR(VLOOKUP(I292,Materiales!$A:$H,8,0),"")</f>
        <v/>
      </c>
      <c r="K292" s="9">
        <f>IFERROR(VLOOKUP(I292,Materiales!$A:$G,7,0),"")</f>
        <v/>
      </c>
      <c r="L292" s="8" t="inlineStr">
        <is>
          <t>20250428</t>
        </is>
      </c>
      <c r="M292" s="8" t="inlineStr">
        <is>
          <t>20251031</t>
        </is>
      </c>
      <c r="N292" s="10" t="n">
        <v>118</v>
      </c>
      <c r="O292" s="10">
        <f>IFERROR(VLOOKUP(A292,Flete!$A:$J,10,0),"")</f>
        <v/>
      </c>
      <c r="P292" s="8" t="inlineStr">
        <is>
          <t>TN</t>
        </is>
      </c>
      <c r="Q292" s="10">
        <f>IFERROR(IFERROR(VLOOKUP(A292,TRAOPE!$A:$U,21,0),VLOOKUP(B292,TRAOPE!$A:$U,21,0)),"")</f>
        <v/>
      </c>
      <c r="R292" s="8">
        <f>IFERROR(IFERROR(VLOOKUP(A292,TRAOPE!$A:$W,23,0),VLOOKUP(B292,TRAOPE!$A:$W,23,0)),"")</f>
        <v/>
      </c>
      <c r="S292" s="10">
        <f>IF(AND(P292="TN",R292="TN"),N292+N(O292),IF(G292&amp;""="1",N(K292)*N292,(N292+N(O292))*N(K292)))</f>
        <v/>
      </c>
      <c r="T292" s="10">
        <f>IF(Q292="","",Q292-S292)</f>
        <v/>
      </c>
    </row>
    <row r="293">
      <c r="A293" s="7">
        <f>CONCATENATE(C293,E293,F293,I293)</f>
        <v/>
      </c>
      <c r="B293" s="7">
        <f>CONCATENATE(C293,E293,I293)</f>
        <v/>
      </c>
      <c r="C293" s="8" t="n">
        <v>900007484</v>
      </c>
      <c r="D293" s="7">
        <f>IFERROR(VLOOKUP(C293,TRAOPE!$G:$H,2,0),"")</f>
        <v/>
      </c>
      <c r="E293" s="8" t="inlineStr">
        <is>
          <t>DW55</t>
        </is>
      </c>
      <c r="F293" s="8" t="inlineStr">
        <is>
          <t>D348</t>
        </is>
      </c>
      <c r="G293" s="8">
        <f>IFERROR(VLOOKUP(A293,Flete!$A:$E,5,0),"")</f>
        <v/>
      </c>
      <c r="H293" s="7">
        <f>IFERROR(VLOOKUP(F293,TRAOPE!$AA:$AB,2,0),"")</f>
        <v/>
      </c>
      <c r="I293" s="7" t="n">
        <v>10079650</v>
      </c>
      <c r="J293" s="7">
        <f>IFERROR(VLOOKUP(I293,Materiales!$A:$H,8,0),"")</f>
        <v/>
      </c>
      <c r="K293" s="9">
        <f>IFERROR(VLOOKUP(I293,Materiales!$A:$G,7,0),"")</f>
        <v/>
      </c>
      <c r="L293" s="8" t="inlineStr">
        <is>
          <t>20230111</t>
        </is>
      </c>
      <c r="M293" s="8" t="inlineStr">
        <is>
          <t>20240712</t>
        </is>
      </c>
      <c r="N293" s="10" t="n">
        <v>158.84</v>
      </c>
      <c r="O293" s="10">
        <f>IFERROR(VLOOKUP(A293,Flete!$A:$J,10,0),"")</f>
        <v/>
      </c>
      <c r="P293" s="8" t="inlineStr">
        <is>
          <t>TN</t>
        </is>
      </c>
      <c r="Q293" s="10">
        <f>IFERROR(IFERROR(VLOOKUP(A293,TRAOPE!$A:$U,21,0),VLOOKUP(B293,TRAOPE!$A:$U,21,0)),"")</f>
        <v/>
      </c>
      <c r="R293" s="8">
        <f>IFERROR(IFERROR(VLOOKUP(A293,TRAOPE!$A:$W,23,0),VLOOKUP(B293,TRAOPE!$A:$W,23,0)),"")</f>
        <v/>
      </c>
      <c r="S293" s="10">
        <f>IF(AND(P293="TN",R293="TN"),N293+N(O293),IF(G293&amp;""="1",N(K293)*N293,(N293+N(O293))*N(K293)))</f>
        <v/>
      </c>
      <c r="T293" s="10">
        <f>IF(Q293="","",Q293-S293)</f>
        <v/>
      </c>
    </row>
    <row r="294">
      <c r="A294" s="7">
        <f>CONCATENATE(C294,E294,F294,I294)</f>
        <v/>
      </c>
      <c r="B294" s="7">
        <f>CONCATENATE(C294,E294,I294)</f>
        <v/>
      </c>
      <c r="C294" s="8" t="n">
        <v>900007484</v>
      </c>
      <c r="D294" s="7">
        <f>IFERROR(VLOOKUP(C294,TRAOPE!$G:$H,2,0),"")</f>
        <v/>
      </c>
      <c r="E294" s="8" t="inlineStr">
        <is>
          <t>DW55</t>
        </is>
      </c>
      <c r="F294" s="8" t="inlineStr">
        <is>
          <t>D348</t>
        </is>
      </c>
      <c r="G294" s="8">
        <f>IFERROR(VLOOKUP(A294,Flete!$A:$E,5,0),"")</f>
        <v/>
      </c>
      <c r="H294" s="7">
        <f>IFERROR(VLOOKUP(F294,TRAOPE!$AA:$AB,2,0),"")</f>
        <v/>
      </c>
      <c r="I294" s="7" t="n">
        <v>10217663</v>
      </c>
      <c r="J294" s="7">
        <f>IFERROR(VLOOKUP(I294,Materiales!$A:$H,8,0),"")</f>
        <v/>
      </c>
      <c r="K294" s="9">
        <f>IFERROR(VLOOKUP(I294,Materiales!$A:$G,7,0),"")</f>
        <v/>
      </c>
      <c r="L294" s="8" t="inlineStr">
        <is>
          <t>20250428</t>
        </is>
      </c>
      <c r="M294" s="8" t="inlineStr">
        <is>
          <t>20251031</t>
        </is>
      </c>
      <c r="N294" s="10" t="n">
        <v>48.08</v>
      </c>
      <c r="O294" s="10">
        <f>IFERROR(VLOOKUP(A294,Flete!$A:$J,10,0),"")</f>
        <v/>
      </c>
      <c r="P294" s="8" t="inlineStr">
        <is>
          <t>TN</t>
        </is>
      </c>
      <c r="Q294" s="10">
        <f>IFERROR(IFERROR(VLOOKUP(A294,TRAOPE!$A:$U,21,0),VLOOKUP(B294,TRAOPE!$A:$U,21,0)),"")</f>
        <v/>
      </c>
      <c r="R294" s="8">
        <f>IFERROR(IFERROR(VLOOKUP(A294,TRAOPE!$A:$W,23,0),VLOOKUP(B294,TRAOPE!$A:$W,23,0)),"")</f>
        <v/>
      </c>
      <c r="S294" s="10">
        <f>IF(AND(P294="TN",R294="TN"),N294+N(O294),IF(G294&amp;""="1",N(K294)*N294,(N294+N(O294))*N(K294)))</f>
        <v/>
      </c>
      <c r="T294" s="10">
        <f>IF(Q294="","",Q294-S294)</f>
        <v/>
      </c>
    </row>
    <row r="295">
      <c r="A295" s="7">
        <f>CONCATENATE(C295,E295,F295,I295)</f>
        <v/>
      </c>
      <c r="B295" s="7">
        <f>CONCATENATE(C295,E295,I295)</f>
        <v/>
      </c>
      <c r="C295" s="8" t="n">
        <v>900007532</v>
      </c>
      <c r="D295" s="7">
        <f>IFERROR(VLOOKUP(C295,TRAOPE!$G:$H,2,0),"")</f>
        <v/>
      </c>
      <c r="E295" s="8" t="inlineStr">
        <is>
          <t>DW55</t>
        </is>
      </c>
      <c r="F295" s="8" t="inlineStr">
        <is>
          <t>D284</t>
        </is>
      </c>
      <c r="G295" s="8">
        <f>IFERROR(VLOOKUP(A295,Flete!$A:$E,5,0),"")</f>
        <v/>
      </c>
      <c r="H295" s="7">
        <f>IFERROR(VLOOKUP(F295,TRAOPE!$AA:$AB,2,0),"")</f>
        <v/>
      </c>
      <c r="I295" s="7" t="n">
        <v>10000541</v>
      </c>
      <c r="J295" s="7">
        <f>IFERROR(VLOOKUP(I295,Materiales!$A:$H,8,0),"")</f>
        <v/>
      </c>
      <c r="K295" s="9">
        <f>IFERROR(VLOOKUP(I295,Materiales!$A:$G,7,0),"")</f>
        <v/>
      </c>
      <c r="L295" s="8" t="inlineStr">
        <is>
          <t>20220829</t>
        </is>
      </c>
      <c r="M295" s="8" t="inlineStr">
        <is>
          <t>20240716</t>
        </is>
      </c>
      <c r="N295" s="10" t="n">
        <v>117.8</v>
      </c>
      <c r="O295" s="10">
        <f>IFERROR(VLOOKUP(A295,Flete!$A:$J,10,0),"")</f>
        <v/>
      </c>
      <c r="P295" s="8" t="inlineStr">
        <is>
          <t>TN</t>
        </is>
      </c>
      <c r="Q295" s="10">
        <f>IFERROR(IFERROR(VLOOKUP(A295,TRAOPE!$A:$U,21,0),VLOOKUP(B295,TRAOPE!$A:$U,21,0)),"")</f>
        <v/>
      </c>
      <c r="R295" s="8">
        <f>IFERROR(IFERROR(VLOOKUP(A295,TRAOPE!$A:$W,23,0),VLOOKUP(B295,TRAOPE!$A:$W,23,0)),"")</f>
        <v/>
      </c>
      <c r="S295" s="10">
        <f>IF(AND(P295="TN",R295="TN"),N295+N(O295),IF(G295&amp;""="1",N(K295)*N295,(N295+N(O295))*N(K295)))</f>
        <v/>
      </c>
      <c r="T295" s="10">
        <f>IF(Q295="","",Q295-S295)</f>
        <v/>
      </c>
    </row>
    <row r="296">
      <c r="A296" s="7">
        <f>CONCATENATE(C296,E296,F296,I296)</f>
        <v/>
      </c>
      <c r="B296" s="7">
        <f>CONCATENATE(C296,E296,I296)</f>
        <v/>
      </c>
      <c r="C296" s="8" t="n">
        <v>900007532</v>
      </c>
      <c r="D296" s="7">
        <f>IFERROR(VLOOKUP(C296,TRAOPE!$G:$H,2,0),"")</f>
        <v/>
      </c>
      <c r="E296" s="8" t="inlineStr">
        <is>
          <t>DW55</t>
        </is>
      </c>
      <c r="F296" s="8" t="inlineStr">
        <is>
          <t>D342</t>
        </is>
      </c>
      <c r="G296" s="8">
        <f>IFERROR(VLOOKUP(A296,Flete!$A:$E,5,0),"")</f>
        <v/>
      </c>
      <c r="H296" s="7">
        <f>IFERROR(VLOOKUP(F296,TRAOPE!$AA:$AB,2,0),"")</f>
        <v/>
      </c>
      <c r="I296" s="7" t="n">
        <v>10000541</v>
      </c>
      <c r="J296" s="7">
        <f>IFERROR(VLOOKUP(I296,Materiales!$A:$H,8,0),"")</f>
        <v/>
      </c>
      <c r="K296" s="9">
        <f>IFERROR(VLOOKUP(I296,Materiales!$A:$G,7,0),"")</f>
        <v/>
      </c>
      <c r="L296" s="8" t="inlineStr">
        <is>
          <t>20221203</t>
        </is>
      </c>
      <c r="M296" s="8" t="inlineStr">
        <is>
          <t>20240716</t>
        </is>
      </c>
      <c r="N296" s="10" t="n">
        <v>84.81999999999999</v>
      </c>
      <c r="O296" s="10">
        <f>IFERROR(VLOOKUP(A296,Flete!$A:$J,10,0),"")</f>
        <v/>
      </c>
      <c r="P296" s="8" t="inlineStr">
        <is>
          <t>TN</t>
        </is>
      </c>
      <c r="Q296" s="10">
        <f>IFERROR(IFERROR(VLOOKUP(A296,TRAOPE!$A:$U,21,0),VLOOKUP(B296,TRAOPE!$A:$U,21,0)),"")</f>
        <v/>
      </c>
      <c r="R296" s="8">
        <f>IFERROR(IFERROR(VLOOKUP(A296,TRAOPE!$A:$W,23,0),VLOOKUP(B296,TRAOPE!$A:$W,23,0)),"")</f>
        <v/>
      </c>
      <c r="S296" s="10">
        <f>IF(AND(P296="TN",R296="TN"),N296+N(O296),IF(G296&amp;""="1",N(K296)*N296,(N296+N(O296))*N(K296)))</f>
        <v/>
      </c>
      <c r="T296" s="10">
        <f>IF(Q296="","",Q296-S296)</f>
        <v/>
      </c>
    </row>
    <row r="297">
      <c r="A297" s="7">
        <f>CONCATENATE(C297,E297,F297,I297)</f>
        <v/>
      </c>
      <c r="B297" s="7">
        <f>CONCATENATE(C297,E297,I297)</f>
        <v/>
      </c>
      <c r="C297" s="8" t="n">
        <v>900007532</v>
      </c>
      <c r="D297" s="7">
        <f>IFERROR(VLOOKUP(C297,TRAOPE!$G:$H,2,0),"")</f>
        <v/>
      </c>
      <c r="E297" s="8" t="inlineStr">
        <is>
          <t>DW55</t>
        </is>
      </c>
      <c r="F297" s="8" t="inlineStr">
        <is>
          <t>D348</t>
        </is>
      </c>
      <c r="G297" s="8">
        <f>IFERROR(VLOOKUP(A297,Flete!$A:$E,5,0),"")</f>
        <v/>
      </c>
      <c r="H297" s="7">
        <f>IFERROR(VLOOKUP(F297,TRAOPE!$AA:$AB,2,0),"")</f>
        <v/>
      </c>
      <c r="I297" s="7" t="n">
        <v>10000372</v>
      </c>
      <c r="J297" s="7">
        <f>IFERROR(VLOOKUP(I297,Materiales!$A:$H,8,0),"")</f>
        <v/>
      </c>
      <c r="K297" s="9">
        <f>IFERROR(VLOOKUP(I297,Materiales!$A:$G,7,0),"")</f>
        <v/>
      </c>
      <c r="L297" s="8" t="inlineStr">
        <is>
          <t>20221226</t>
        </is>
      </c>
      <c r="M297" s="8" t="inlineStr">
        <is>
          <t>20240716</t>
        </is>
      </c>
      <c r="N297" s="10" t="n">
        <v>210.64</v>
      </c>
      <c r="O297" s="10">
        <f>IFERROR(VLOOKUP(A297,Flete!$A:$J,10,0),"")</f>
        <v/>
      </c>
      <c r="P297" s="8" t="inlineStr">
        <is>
          <t>TN</t>
        </is>
      </c>
      <c r="Q297" s="10">
        <f>IFERROR(IFERROR(VLOOKUP(A297,TRAOPE!$A:$U,21,0),VLOOKUP(B297,TRAOPE!$A:$U,21,0)),"")</f>
        <v/>
      </c>
      <c r="R297" s="8">
        <f>IFERROR(IFERROR(VLOOKUP(A297,TRAOPE!$A:$W,23,0),VLOOKUP(B297,TRAOPE!$A:$W,23,0)),"")</f>
        <v/>
      </c>
      <c r="S297" s="10">
        <f>IF(AND(P297="TN",R297="TN"),N297+N(O297),IF(G297&amp;""="1",N(K297)*N297,(N297+N(O297))*N(K297)))</f>
        <v/>
      </c>
      <c r="T297" s="10">
        <f>IF(Q297="","",Q297-S297)</f>
        <v/>
      </c>
    </row>
    <row r="298">
      <c r="A298" s="7">
        <f>CONCATENATE(C298,E298,F298,I298)</f>
        <v/>
      </c>
      <c r="B298" s="7">
        <f>CONCATENATE(C298,E298,I298)</f>
        <v/>
      </c>
      <c r="C298" s="8" t="n">
        <v>900007532</v>
      </c>
      <c r="D298" s="7">
        <f>IFERROR(VLOOKUP(C298,TRAOPE!$G:$H,2,0),"")</f>
        <v/>
      </c>
      <c r="E298" s="8" t="inlineStr">
        <is>
          <t>DW55</t>
        </is>
      </c>
      <c r="F298" s="8" t="inlineStr">
        <is>
          <t>D348</t>
        </is>
      </c>
      <c r="G298" s="8">
        <f>IFERROR(VLOOKUP(A298,Flete!$A:$E,5,0),"")</f>
        <v/>
      </c>
      <c r="H298" s="7">
        <f>IFERROR(VLOOKUP(F298,TRAOPE!$AA:$AB,2,0),"")</f>
        <v/>
      </c>
      <c r="I298" s="7" t="n">
        <v>10000561</v>
      </c>
      <c r="J298" s="7">
        <f>IFERROR(VLOOKUP(I298,Materiales!$A:$H,8,0),"")</f>
        <v/>
      </c>
      <c r="K298" s="9">
        <f>IFERROR(VLOOKUP(I298,Materiales!$A:$G,7,0),"")</f>
        <v/>
      </c>
      <c r="L298" s="8" t="inlineStr">
        <is>
          <t>20230110</t>
        </is>
      </c>
      <c r="M298" s="8" t="inlineStr">
        <is>
          <t>20230113</t>
        </is>
      </c>
      <c r="N298" s="10" t="n">
        <v>213.29</v>
      </c>
      <c r="O298" s="10">
        <f>IFERROR(VLOOKUP(A298,Flete!$A:$J,10,0),"")</f>
        <v/>
      </c>
      <c r="P298" s="8" t="inlineStr">
        <is>
          <t>TN</t>
        </is>
      </c>
      <c r="Q298" s="10">
        <f>IFERROR(IFERROR(VLOOKUP(A298,TRAOPE!$A:$U,21,0),VLOOKUP(B298,TRAOPE!$A:$U,21,0)),"")</f>
        <v/>
      </c>
      <c r="R298" s="8">
        <f>IFERROR(IFERROR(VLOOKUP(A298,TRAOPE!$A:$W,23,0),VLOOKUP(B298,TRAOPE!$A:$W,23,0)),"")</f>
        <v/>
      </c>
      <c r="S298" s="10">
        <f>IF(AND(P298="TN",R298="TN"),N298+N(O298),IF(G298&amp;""="1",N(K298)*N298,(N298+N(O298))*N(K298)))</f>
        <v/>
      </c>
      <c r="T298" s="10">
        <f>IF(Q298="","",Q298-S298)</f>
        <v/>
      </c>
    </row>
    <row r="299">
      <c r="A299" s="7">
        <f>CONCATENATE(C299,E299,F299,I299)</f>
        <v/>
      </c>
      <c r="B299" s="7">
        <f>CONCATENATE(C299,E299,I299)</f>
        <v/>
      </c>
      <c r="C299" s="8" t="n">
        <v>900007532</v>
      </c>
      <c r="D299" s="7">
        <f>IFERROR(VLOOKUP(C299,TRAOPE!$G:$H,2,0),"")</f>
        <v/>
      </c>
      <c r="E299" s="8" t="inlineStr">
        <is>
          <t>DW55</t>
        </is>
      </c>
      <c r="F299" s="8" t="inlineStr">
        <is>
          <t>D348</t>
        </is>
      </c>
      <c r="G299" s="8">
        <f>IFERROR(VLOOKUP(A299,Flete!$A:$E,5,0),"")</f>
        <v/>
      </c>
      <c r="H299" s="7">
        <f>IFERROR(VLOOKUP(F299,TRAOPE!$AA:$AB,2,0),"")</f>
        <v/>
      </c>
      <c r="I299" s="7" t="n">
        <v>10079650</v>
      </c>
      <c r="J299" s="7">
        <f>IFERROR(VLOOKUP(I299,Materiales!$A:$H,8,0),"")</f>
        <v/>
      </c>
      <c r="K299" s="9">
        <f>IFERROR(VLOOKUP(I299,Materiales!$A:$G,7,0),"")</f>
        <v/>
      </c>
      <c r="L299" s="8" t="inlineStr">
        <is>
          <t>20220829</t>
        </is>
      </c>
      <c r="M299" s="8" t="inlineStr">
        <is>
          <t>20240716</t>
        </is>
      </c>
      <c r="N299" s="10" t="n">
        <v>41.44</v>
      </c>
      <c r="O299" s="10">
        <f>IFERROR(VLOOKUP(A299,Flete!$A:$J,10,0),"")</f>
        <v/>
      </c>
      <c r="P299" s="8" t="inlineStr">
        <is>
          <t>TN</t>
        </is>
      </c>
      <c r="Q299" s="10">
        <f>IFERROR(IFERROR(VLOOKUP(A299,TRAOPE!$A:$U,21,0),VLOOKUP(B299,TRAOPE!$A:$U,21,0)),"")</f>
        <v/>
      </c>
      <c r="R299" s="8">
        <f>IFERROR(IFERROR(VLOOKUP(A299,TRAOPE!$A:$W,23,0),VLOOKUP(B299,TRAOPE!$A:$W,23,0)),"")</f>
        <v/>
      </c>
      <c r="S299" s="10">
        <f>IF(AND(P299="TN",R299="TN"),N299+N(O299),IF(G299&amp;""="1",N(K299)*N299,(N299+N(O299))*N(K299)))</f>
        <v/>
      </c>
      <c r="T299" s="10">
        <f>IF(Q299="","",Q299-S299)</f>
        <v/>
      </c>
    </row>
    <row r="300">
      <c r="A300" s="7">
        <f>CONCATENATE(C300,E300,F300,I300)</f>
        <v/>
      </c>
      <c r="B300" s="7">
        <f>CONCATENATE(C300,E300,I300)</f>
        <v/>
      </c>
      <c r="C300" s="8" t="n">
        <v>900007532</v>
      </c>
      <c r="D300" s="7">
        <f>IFERROR(VLOOKUP(C300,TRAOPE!$G:$H,2,0),"")</f>
        <v/>
      </c>
      <c r="E300" s="8" t="inlineStr">
        <is>
          <t>DW55</t>
        </is>
      </c>
      <c r="F300" s="8" t="inlineStr">
        <is>
          <t>ER67</t>
        </is>
      </c>
      <c r="G300" s="8">
        <f>IFERROR(VLOOKUP(A300,Flete!$A:$E,5,0),"")</f>
        <v/>
      </c>
      <c r="H300" s="7">
        <f>IFERROR(VLOOKUP(F300,TRAOPE!$AA:$AB,2,0),"")</f>
        <v/>
      </c>
      <c r="I300" s="7" t="n">
        <v>10210260</v>
      </c>
      <c r="J300" s="7">
        <f>IFERROR(VLOOKUP(I300,Materiales!$A:$H,8,0),"")</f>
        <v/>
      </c>
      <c r="K300" s="9">
        <f>IFERROR(VLOOKUP(I300,Materiales!$A:$G,7,0),"")</f>
        <v/>
      </c>
      <c r="L300" s="8" t="inlineStr">
        <is>
          <t>20220504</t>
        </is>
      </c>
      <c r="M300" s="8" t="inlineStr">
        <is>
          <t>20230127</t>
        </is>
      </c>
      <c r="N300" s="10" t="n">
        <v>127.44</v>
      </c>
      <c r="O300" s="10">
        <f>IFERROR(VLOOKUP(A300,Flete!$A:$J,10,0),"")</f>
        <v/>
      </c>
      <c r="P300" s="8" t="inlineStr">
        <is>
          <t>TN</t>
        </is>
      </c>
      <c r="Q300" s="10">
        <f>IFERROR(IFERROR(VLOOKUP(A300,TRAOPE!$A:$U,21,0),VLOOKUP(B300,TRAOPE!$A:$U,21,0)),"")</f>
        <v/>
      </c>
      <c r="R300" s="8">
        <f>IFERROR(IFERROR(VLOOKUP(A300,TRAOPE!$A:$W,23,0),VLOOKUP(B300,TRAOPE!$A:$W,23,0)),"")</f>
        <v/>
      </c>
      <c r="S300" s="10">
        <f>IF(AND(P300="TN",R300="TN"),N300+N(O300),IF(G300&amp;""="1",N(K300)*N300,(N300+N(O300))*N(K300)))</f>
        <v/>
      </c>
      <c r="T300" s="10">
        <f>IF(Q300="","",Q300-S300)</f>
        <v/>
      </c>
    </row>
    <row r="301">
      <c r="A301" s="7">
        <f>CONCATENATE(C301,E301,F301,I301)</f>
        <v/>
      </c>
      <c r="B301" s="7">
        <f>CONCATENATE(C301,E301,I301)</f>
        <v/>
      </c>
      <c r="C301" s="8" t="n">
        <v>900007532</v>
      </c>
      <c r="D301" s="7">
        <f>IFERROR(VLOOKUP(C301,TRAOPE!$G:$H,2,0),"")</f>
        <v/>
      </c>
      <c r="E301" s="8" t="inlineStr">
        <is>
          <t>DW55</t>
        </is>
      </c>
      <c r="F301" s="8" t="inlineStr">
        <is>
          <t>ER68</t>
        </is>
      </c>
      <c r="G301" s="8">
        <f>IFERROR(VLOOKUP(A301,Flete!$A:$E,5,0),"")</f>
        <v/>
      </c>
      <c r="H301" s="7">
        <f>IFERROR(VLOOKUP(F301,TRAOPE!$AA:$AB,2,0),"")</f>
        <v/>
      </c>
      <c r="I301" s="7" t="n">
        <v>10000372</v>
      </c>
      <c r="J301" s="7">
        <f>IFERROR(VLOOKUP(I301,Materiales!$A:$H,8,0),"")</f>
        <v/>
      </c>
      <c r="K301" s="9">
        <f>IFERROR(VLOOKUP(I301,Materiales!$A:$G,7,0),"")</f>
        <v/>
      </c>
      <c r="L301" s="8" t="inlineStr">
        <is>
          <t>20230110</t>
        </is>
      </c>
      <c r="M301" s="8" t="inlineStr">
        <is>
          <t>20230113</t>
        </is>
      </c>
      <c r="N301" s="10" t="n">
        <v>210.64</v>
      </c>
      <c r="O301" s="10">
        <f>IFERROR(VLOOKUP(A301,Flete!$A:$J,10,0),"")</f>
        <v/>
      </c>
      <c r="P301" s="8" t="inlineStr">
        <is>
          <t>TN</t>
        </is>
      </c>
      <c r="Q301" s="10">
        <f>IFERROR(IFERROR(VLOOKUP(A301,TRAOPE!$A:$U,21,0),VLOOKUP(B301,TRAOPE!$A:$U,21,0)),"")</f>
        <v/>
      </c>
      <c r="R301" s="8">
        <f>IFERROR(IFERROR(VLOOKUP(A301,TRAOPE!$A:$W,23,0),VLOOKUP(B301,TRAOPE!$A:$W,23,0)),"")</f>
        <v/>
      </c>
      <c r="S301" s="10">
        <f>IF(AND(P301="TN",R301="TN"),N301+N(O301),IF(G301&amp;""="1",N(K301)*N301,(N301+N(O301))*N(K301)))</f>
        <v/>
      </c>
      <c r="T301" s="10">
        <f>IF(Q301="","",Q301-S301)</f>
        <v/>
      </c>
    </row>
    <row r="302">
      <c r="A302" s="7">
        <f>CONCATENATE(C302,E302,F302,I302)</f>
        <v/>
      </c>
      <c r="B302" s="7">
        <f>CONCATENATE(C302,E302,I302)</f>
        <v/>
      </c>
      <c r="C302" s="8" t="n">
        <v>900007532</v>
      </c>
      <c r="D302" s="7">
        <f>IFERROR(VLOOKUP(C302,TRAOPE!$G:$H,2,0),"")</f>
        <v/>
      </c>
      <c r="E302" s="8" t="inlineStr">
        <is>
          <t>DW55</t>
        </is>
      </c>
      <c r="F302" s="8" t="inlineStr">
        <is>
          <t>ER68</t>
        </is>
      </c>
      <c r="G302" s="8">
        <f>IFERROR(VLOOKUP(A302,Flete!$A:$E,5,0),"")</f>
        <v/>
      </c>
      <c r="H302" s="7">
        <f>IFERROR(VLOOKUP(F302,TRAOPE!$AA:$AB,2,0),"")</f>
        <v/>
      </c>
      <c r="I302" s="7" t="n">
        <v>10210260</v>
      </c>
      <c r="J302" s="7">
        <f>IFERROR(VLOOKUP(I302,Materiales!$A:$H,8,0),"")</f>
        <v/>
      </c>
      <c r="K302" s="9">
        <f>IFERROR(VLOOKUP(I302,Materiales!$A:$G,7,0),"")</f>
        <v/>
      </c>
      <c r="L302" s="8" t="inlineStr">
        <is>
          <t>20220501</t>
        </is>
      </c>
      <c r="M302" s="8" t="inlineStr">
        <is>
          <t>20240716</t>
        </is>
      </c>
      <c r="N302" s="10" t="n">
        <v>204.56</v>
      </c>
      <c r="O302" s="10">
        <f>IFERROR(VLOOKUP(A302,Flete!$A:$J,10,0),"")</f>
        <v/>
      </c>
      <c r="P302" s="8" t="inlineStr">
        <is>
          <t>TN</t>
        </is>
      </c>
      <c r="Q302" s="10">
        <f>IFERROR(IFERROR(VLOOKUP(A302,TRAOPE!$A:$U,21,0),VLOOKUP(B302,TRAOPE!$A:$U,21,0)),"")</f>
        <v/>
      </c>
      <c r="R302" s="8">
        <f>IFERROR(IFERROR(VLOOKUP(A302,TRAOPE!$A:$W,23,0),VLOOKUP(B302,TRAOPE!$A:$W,23,0)),"")</f>
        <v/>
      </c>
      <c r="S302" s="10">
        <f>IF(AND(P302="TN",R302="TN"),N302+N(O302),IF(G302&amp;""="1",N(K302)*N302,(N302+N(O302))*N(K302)))</f>
        <v/>
      </c>
      <c r="T302" s="10">
        <f>IF(Q302="","",Q302-S302)</f>
        <v/>
      </c>
    </row>
    <row r="303">
      <c r="A303" s="7">
        <f>CONCATENATE(C303,E303,F303,I303)</f>
        <v/>
      </c>
      <c r="B303" s="7">
        <f>CONCATENATE(C303,E303,I303)</f>
        <v/>
      </c>
      <c r="C303" s="8" t="n">
        <v>900007555</v>
      </c>
      <c r="D303" s="7">
        <f>IFERROR(VLOOKUP(C303,TRAOPE!$G:$H,2,0),"")</f>
        <v/>
      </c>
      <c r="E303" s="8" t="inlineStr">
        <is>
          <t>DW55</t>
        </is>
      </c>
      <c r="F303" s="8" t="inlineStr">
        <is>
          <t>D348</t>
        </is>
      </c>
      <c r="G303" s="8">
        <f>IFERROR(VLOOKUP(A303,Flete!$A:$E,5,0),"")</f>
        <v/>
      </c>
      <c r="H303" s="7">
        <f>IFERROR(VLOOKUP(F303,TRAOPE!$AA:$AB,2,0),"")</f>
        <v/>
      </c>
      <c r="I303" s="7" t="n">
        <v>10000673</v>
      </c>
      <c r="J303" s="7">
        <f>IFERROR(VLOOKUP(I303,Materiales!$A:$H,8,0),"")</f>
        <v/>
      </c>
      <c r="K303" s="9">
        <f>IFERROR(VLOOKUP(I303,Materiales!$A:$G,7,0),"")</f>
        <v/>
      </c>
      <c r="L303" s="8" t="inlineStr">
        <is>
          <t>20220713</t>
        </is>
      </c>
      <c r="M303" s="8" t="inlineStr">
        <is>
          <t>20240717</t>
        </is>
      </c>
      <c r="N303" s="10" t="n">
        <v>254.55</v>
      </c>
      <c r="O303" s="10">
        <f>IFERROR(VLOOKUP(A303,Flete!$A:$J,10,0),"")</f>
        <v/>
      </c>
      <c r="P303" s="8" t="inlineStr">
        <is>
          <t>TN</t>
        </is>
      </c>
      <c r="Q303" s="10">
        <f>IFERROR(IFERROR(VLOOKUP(A303,TRAOPE!$A:$U,21,0),VLOOKUP(B303,TRAOPE!$A:$U,21,0)),"")</f>
        <v/>
      </c>
      <c r="R303" s="8">
        <f>IFERROR(IFERROR(VLOOKUP(A303,TRAOPE!$A:$W,23,0),VLOOKUP(B303,TRAOPE!$A:$W,23,0)),"")</f>
        <v/>
      </c>
      <c r="S303" s="10">
        <f>IF(AND(P303="TN",R303="TN"),N303+N(O303),IF(G303&amp;""="1",N(K303)*N303,(N303+N(O303))*N(K303)))</f>
        <v/>
      </c>
      <c r="T303" s="10">
        <f>IF(Q303="","",Q303-S303)</f>
        <v/>
      </c>
    </row>
    <row r="304">
      <c r="A304" s="7">
        <f>CONCATENATE(C304,E304,F304,I304)</f>
        <v/>
      </c>
      <c r="B304" s="7">
        <f>CONCATENATE(C304,E304,I304)</f>
        <v/>
      </c>
      <c r="C304" s="8" t="n">
        <v>900007555</v>
      </c>
      <c r="D304" s="7">
        <f>IFERROR(VLOOKUP(C304,TRAOPE!$G:$H,2,0),"")</f>
        <v/>
      </c>
      <c r="E304" s="8" t="inlineStr">
        <is>
          <t>DW55</t>
        </is>
      </c>
      <c r="F304" s="8" t="inlineStr">
        <is>
          <t>D348</t>
        </is>
      </c>
      <c r="G304" s="8">
        <f>IFERROR(VLOOKUP(A304,Flete!$A:$E,5,0),"")</f>
        <v/>
      </c>
      <c r="H304" s="7">
        <f>IFERROR(VLOOKUP(F304,TRAOPE!$AA:$AB,2,0),"")</f>
        <v/>
      </c>
      <c r="I304" s="7" t="n">
        <v>10213318</v>
      </c>
      <c r="J304" s="7">
        <f>IFERROR(VLOOKUP(I304,Materiales!$A:$H,8,0),"")</f>
        <v/>
      </c>
      <c r="K304" s="9">
        <f>IFERROR(VLOOKUP(I304,Materiales!$A:$G,7,0),"")</f>
        <v/>
      </c>
      <c r="L304" s="8" t="inlineStr">
        <is>
          <t>20220713</t>
        </is>
      </c>
      <c r="M304" s="8" t="inlineStr">
        <is>
          <t>20240717</t>
        </is>
      </c>
      <c r="N304" s="10" t="n">
        <v>418.7</v>
      </c>
      <c r="O304" s="10">
        <f>IFERROR(VLOOKUP(A304,Flete!$A:$J,10,0),"")</f>
        <v/>
      </c>
      <c r="P304" s="8" t="inlineStr">
        <is>
          <t>TN</t>
        </is>
      </c>
      <c r="Q304" s="10">
        <f>IFERROR(IFERROR(VLOOKUP(A304,TRAOPE!$A:$U,21,0),VLOOKUP(B304,TRAOPE!$A:$U,21,0)),"")</f>
        <v/>
      </c>
      <c r="R304" s="8">
        <f>IFERROR(IFERROR(VLOOKUP(A304,TRAOPE!$A:$W,23,0),VLOOKUP(B304,TRAOPE!$A:$W,23,0)),"")</f>
        <v/>
      </c>
      <c r="S304" s="10">
        <f>IF(AND(P304="TN",R304="TN"),N304+N(O304),IF(G304&amp;""="1",N(K304)*N304,(N304+N(O304))*N(K304)))</f>
        <v/>
      </c>
      <c r="T304" s="10">
        <f>IF(Q304="","",Q304-S304)</f>
        <v/>
      </c>
    </row>
    <row r="305">
      <c r="A305" s="7">
        <f>CONCATENATE(C305,E305,F305,I305)</f>
        <v/>
      </c>
      <c r="B305" s="7">
        <f>CONCATENATE(C305,E305,I305)</f>
        <v/>
      </c>
      <c r="C305" s="8" t="n">
        <v>900007555</v>
      </c>
      <c r="D305" s="7">
        <f>IFERROR(VLOOKUP(C305,TRAOPE!$G:$H,2,0),"")</f>
        <v/>
      </c>
      <c r="E305" s="8" t="inlineStr">
        <is>
          <t>DW55</t>
        </is>
      </c>
      <c r="F305" s="8" t="inlineStr">
        <is>
          <t>ER67</t>
        </is>
      </c>
      <c r="G305" s="8">
        <f>IFERROR(VLOOKUP(A305,Flete!$A:$E,5,0),"")</f>
        <v/>
      </c>
      <c r="H305" s="7">
        <f>IFERROR(VLOOKUP(F305,TRAOPE!$AA:$AB,2,0),"")</f>
        <v/>
      </c>
      <c r="I305" s="7" t="n">
        <v>10000372</v>
      </c>
      <c r="J305" s="7">
        <f>IFERROR(VLOOKUP(I305,Materiales!$A:$H,8,0),"")</f>
        <v/>
      </c>
      <c r="K305" s="9">
        <f>IFERROR(VLOOKUP(I305,Materiales!$A:$G,7,0),"")</f>
        <v/>
      </c>
      <c r="L305" s="8" t="inlineStr">
        <is>
          <t>20220504</t>
        </is>
      </c>
      <c r="M305" s="8" t="inlineStr">
        <is>
          <t>20230127</t>
        </is>
      </c>
      <c r="N305" s="10" t="n">
        <v>177.45</v>
      </c>
      <c r="O305" s="10">
        <f>IFERROR(VLOOKUP(A305,Flete!$A:$J,10,0),"")</f>
        <v/>
      </c>
      <c r="P305" s="8" t="inlineStr">
        <is>
          <t>TN</t>
        </is>
      </c>
      <c r="Q305" s="10">
        <f>IFERROR(IFERROR(VLOOKUP(A305,TRAOPE!$A:$U,21,0),VLOOKUP(B305,TRAOPE!$A:$U,21,0)),"")</f>
        <v/>
      </c>
      <c r="R305" s="8">
        <f>IFERROR(IFERROR(VLOOKUP(A305,TRAOPE!$A:$W,23,0),VLOOKUP(B305,TRAOPE!$A:$W,23,0)),"")</f>
        <v/>
      </c>
      <c r="S305" s="10">
        <f>IF(AND(P305="TN",R305="TN"),N305+N(O305),IF(G305&amp;""="1",N(K305)*N305,(N305+N(O305))*N(K305)))</f>
        <v/>
      </c>
      <c r="T305" s="10">
        <f>IF(Q305="","",Q305-S305)</f>
        <v/>
      </c>
    </row>
    <row r="306">
      <c r="A306" s="7">
        <f>CONCATENATE(C306,E306,F306,I306)</f>
        <v/>
      </c>
      <c r="B306" s="7">
        <f>CONCATENATE(C306,E306,I306)</f>
        <v/>
      </c>
      <c r="C306" s="8" t="n">
        <v>900007555</v>
      </c>
      <c r="D306" s="7">
        <f>IFERROR(VLOOKUP(C306,TRAOPE!$G:$H,2,0),"")</f>
        <v/>
      </c>
      <c r="E306" s="8" t="inlineStr">
        <is>
          <t>DW55</t>
        </is>
      </c>
      <c r="F306" s="8" t="inlineStr">
        <is>
          <t>ER68</t>
        </is>
      </c>
      <c r="G306" s="8">
        <f>IFERROR(VLOOKUP(A306,Flete!$A:$E,5,0),"")</f>
        <v/>
      </c>
      <c r="H306" s="7">
        <f>IFERROR(VLOOKUP(F306,TRAOPE!$AA:$AB,2,0),"")</f>
        <v/>
      </c>
      <c r="I306" s="7" t="n">
        <v>10000372</v>
      </c>
      <c r="J306" s="7">
        <f>IFERROR(VLOOKUP(I306,Materiales!$A:$H,8,0),"")</f>
        <v/>
      </c>
      <c r="K306" s="9">
        <f>IFERROR(VLOOKUP(I306,Materiales!$A:$G,7,0),"")</f>
        <v/>
      </c>
      <c r="L306" s="8" t="inlineStr">
        <is>
          <t>20220329</t>
        </is>
      </c>
      <c r="M306" s="8" t="inlineStr">
        <is>
          <t>20240717</t>
        </is>
      </c>
      <c r="N306" s="10" t="n">
        <v>165.75</v>
      </c>
      <c r="O306" s="10">
        <f>IFERROR(VLOOKUP(A306,Flete!$A:$J,10,0),"")</f>
        <v/>
      </c>
      <c r="P306" s="8" t="inlineStr">
        <is>
          <t>TN</t>
        </is>
      </c>
      <c r="Q306" s="10">
        <f>IFERROR(IFERROR(VLOOKUP(A306,TRAOPE!$A:$U,21,0),VLOOKUP(B306,TRAOPE!$A:$U,21,0)),"")</f>
        <v/>
      </c>
      <c r="R306" s="8">
        <f>IFERROR(IFERROR(VLOOKUP(A306,TRAOPE!$A:$W,23,0),VLOOKUP(B306,TRAOPE!$A:$W,23,0)),"")</f>
        <v/>
      </c>
      <c r="S306" s="10">
        <f>IF(AND(P306="TN",R306="TN"),N306+N(O306),IF(G306&amp;""="1",N(K306)*N306,(N306+N(O306))*N(K306)))</f>
        <v/>
      </c>
      <c r="T306" s="10">
        <f>IF(Q306="","",Q306-S306)</f>
        <v/>
      </c>
    </row>
    <row r="307">
      <c r="A307" s="7">
        <f>CONCATENATE(C307,E307,F307,I307)</f>
        <v/>
      </c>
      <c r="B307" s="7">
        <f>CONCATENATE(C307,E307,I307)</f>
        <v/>
      </c>
      <c r="C307" s="8" t="n">
        <v>900007556</v>
      </c>
      <c r="D307" s="7">
        <f>IFERROR(VLOOKUP(C307,TRAOPE!$G:$H,2,0),"")</f>
        <v/>
      </c>
      <c r="E307" s="8" t="inlineStr">
        <is>
          <t>DW55</t>
        </is>
      </c>
      <c r="F307" s="8" t="inlineStr">
        <is>
          <t>ER68</t>
        </is>
      </c>
      <c r="G307" s="8">
        <f>IFERROR(VLOOKUP(A307,Flete!$A:$E,5,0),"")</f>
        <v/>
      </c>
      <c r="H307" s="7">
        <f>IFERROR(VLOOKUP(F307,TRAOPE!$AA:$AB,2,0),"")</f>
        <v/>
      </c>
      <c r="I307" s="7" t="n">
        <v>10189800</v>
      </c>
      <c r="J307" s="7">
        <f>IFERROR(VLOOKUP(I307,Materiales!$A:$H,8,0),"")</f>
        <v/>
      </c>
      <c r="K307" s="9">
        <f>IFERROR(VLOOKUP(I307,Materiales!$A:$G,7,0),"")</f>
        <v/>
      </c>
      <c r="L307" s="8" t="inlineStr">
        <is>
          <t>20220501</t>
        </is>
      </c>
      <c r="M307" s="8" t="inlineStr">
        <is>
          <t>20240717</t>
        </is>
      </c>
      <c r="N307" s="10" t="n">
        <v>184.62</v>
      </c>
      <c r="O307" s="10">
        <f>IFERROR(VLOOKUP(A307,Flete!$A:$J,10,0),"")</f>
        <v/>
      </c>
      <c r="P307" s="8" t="inlineStr">
        <is>
          <t>TN</t>
        </is>
      </c>
      <c r="Q307" s="10">
        <f>IFERROR(IFERROR(VLOOKUP(A307,TRAOPE!$A:$U,21,0),VLOOKUP(B307,TRAOPE!$A:$U,21,0)),"")</f>
        <v/>
      </c>
      <c r="R307" s="8">
        <f>IFERROR(IFERROR(VLOOKUP(A307,TRAOPE!$A:$W,23,0),VLOOKUP(B307,TRAOPE!$A:$W,23,0)),"")</f>
        <v/>
      </c>
      <c r="S307" s="10">
        <f>IF(AND(P307="TN",R307="TN"),N307+N(O307),IF(G307&amp;""="1",N(K307)*N307,(N307+N(O307))*N(K307)))</f>
        <v/>
      </c>
      <c r="T307" s="10">
        <f>IF(Q307="","",Q307-S307)</f>
        <v/>
      </c>
    </row>
    <row r="308">
      <c r="A308" s="7">
        <f>CONCATENATE(C308,E308,F308,I308)</f>
        <v/>
      </c>
      <c r="B308" s="7">
        <f>CONCATENATE(C308,E308,I308)</f>
        <v/>
      </c>
      <c r="C308" s="8" t="n">
        <v>900007557</v>
      </c>
      <c r="D308" s="7">
        <f>IFERROR(VLOOKUP(C308,TRAOPE!$G:$H,2,0),"")</f>
        <v/>
      </c>
      <c r="E308" s="8" t="inlineStr">
        <is>
          <t>DW55</t>
        </is>
      </c>
      <c r="F308" s="8" t="inlineStr">
        <is>
          <t>ER67</t>
        </is>
      </c>
      <c r="G308" s="8">
        <f>IFERROR(VLOOKUP(A308,Flete!$A:$E,5,0),"")</f>
        <v/>
      </c>
      <c r="H308" s="7">
        <f>IFERROR(VLOOKUP(F308,TRAOPE!$AA:$AB,2,0),"")</f>
        <v/>
      </c>
      <c r="I308" s="7" t="n">
        <v>10189800</v>
      </c>
      <c r="J308" s="7">
        <f>IFERROR(VLOOKUP(I308,Materiales!$A:$H,8,0),"")</f>
        <v/>
      </c>
      <c r="K308" s="9">
        <f>IFERROR(VLOOKUP(I308,Materiales!$A:$G,7,0),"")</f>
        <v/>
      </c>
      <c r="L308" s="8" t="inlineStr">
        <is>
          <t>20220504</t>
        </is>
      </c>
      <c r="M308" s="8" t="inlineStr">
        <is>
          <t>20230127</t>
        </is>
      </c>
      <c r="N308" s="10" t="n">
        <v>194.33</v>
      </c>
      <c r="O308" s="10">
        <f>IFERROR(VLOOKUP(A308,Flete!$A:$J,10,0),"")</f>
        <v/>
      </c>
      <c r="P308" s="8" t="inlineStr">
        <is>
          <t>TN</t>
        </is>
      </c>
      <c r="Q308" s="10">
        <f>IFERROR(IFERROR(VLOOKUP(A308,TRAOPE!$A:$U,21,0),VLOOKUP(B308,TRAOPE!$A:$U,21,0)),"")</f>
        <v/>
      </c>
      <c r="R308" s="8">
        <f>IFERROR(IFERROR(VLOOKUP(A308,TRAOPE!$A:$W,23,0),VLOOKUP(B308,TRAOPE!$A:$W,23,0)),"")</f>
        <v/>
      </c>
      <c r="S308" s="10">
        <f>IF(AND(P308="TN",R308="TN"),N308+N(O308),IF(G308&amp;""="1",N(K308)*N308,(N308+N(O308))*N(K308)))</f>
        <v/>
      </c>
      <c r="T308" s="10">
        <f>IF(Q308="","",Q308-S308)</f>
        <v/>
      </c>
    </row>
    <row r="309">
      <c r="A309" s="7">
        <f>CONCATENATE(C309,E309,F309,I309)</f>
        <v/>
      </c>
      <c r="B309" s="7">
        <f>CONCATENATE(C309,E309,I309)</f>
        <v/>
      </c>
      <c r="C309" s="8" t="n">
        <v>900007557</v>
      </c>
      <c r="D309" s="7">
        <f>IFERROR(VLOOKUP(C309,TRAOPE!$G:$H,2,0),"")</f>
        <v/>
      </c>
      <c r="E309" s="8" t="inlineStr">
        <is>
          <t>DW55</t>
        </is>
      </c>
      <c r="F309" s="8" t="inlineStr">
        <is>
          <t>ER68</t>
        </is>
      </c>
      <c r="G309" s="8">
        <f>IFERROR(VLOOKUP(A309,Flete!$A:$E,5,0),"")</f>
        <v/>
      </c>
      <c r="H309" s="7">
        <f>IFERROR(VLOOKUP(F309,TRAOPE!$AA:$AB,2,0),"")</f>
        <v/>
      </c>
      <c r="I309" s="7" t="n">
        <v>10189800</v>
      </c>
      <c r="J309" s="7">
        <f>IFERROR(VLOOKUP(I309,Materiales!$A:$H,8,0),"")</f>
        <v/>
      </c>
      <c r="K309" s="9">
        <f>IFERROR(VLOOKUP(I309,Materiales!$A:$G,7,0),"")</f>
        <v/>
      </c>
      <c r="L309" s="8" t="inlineStr">
        <is>
          <t>20220501</t>
        </is>
      </c>
      <c r="M309" s="8" t="inlineStr">
        <is>
          <t>20240717</t>
        </is>
      </c>
      <c r="N309" s="10" t="n">
        <v>184.62</v>
      </c>
      <c r="O309" s="10">
        <f>IFERROR(VLOOKUP(A309,Flete!$A:$J,10,0),"")</f>
        <v/>
      </c>
      <c r="P309" s="8" t="inlineStr">
        <is>
          <t>TN</t>
        </is>
      </c>
      <c r="Q309" s="10">
        <f>IFERROR(IFERROR(VLOOKUP(A309,TRAOPE!$A:$U,21,0),VLOOKUP(B309,TRAOPE!$A:$U,21,0)),"")</f>
        <v/>
      </c>
      <c r="R309" s="8">
        <f>IFERROR(IFERROR(VLOOKUP(A309,TRAOPE!$A:$W,23,0),VLOOKUP(B309,TRAOPE!$A:$W,23,0)),"")</f>
        <v/>
      </c>
      <c r="S309" s="10">
        <f>IF(AND(P309="TN",R309="TN"),N309+N(O309),IF(G309&amp;""="1",N(K309)*N309,(N309+N(O309))*N(K309)))</f>
        <v/>
      </c>
      <c r="T309" s="10">
        <f>IF(Q309="","",Q309-S309)</f>
        <v/>
      </c>
    </row>
    <row r="310">
      <c r="A310" s="7">
        <f>CONCATENATE(C310,E310,F310,I310)</f>
        <v/>
      </c>
      <c r="B310" s="7">
        <f>CONCATENATE(C310,E310,I310)</f>
        <v/>
      </c>
      <c r="C310" s="8" t="n">
        <v>900007580</v>
      </c>
      <c r="D310" s="7">
        <f>IFERROR(VLOOKUP(C310,TRAOPE!$G:$H,2,0),"")</f>
        <v/>
      </c>
      <c r="E310" s="8" t="inlineStr">
        <is>
          <t>DW55</t>
        </is>
      </c>
      <c r="F310" s="8" t="inlineStr">
        <is>
          <t>D284</t>
        </is>
      </c>
      <c r="G310" s="8">
        <f>IFERROR(VLOOKUP(A310,Flete!$A:$E,5,0),"")</f>
        <v/>
      </c>
      <c r="H310" s="7">
        <f>IFERROR(VLOOKUP(F310,TRAOPE!$AA:$AB,2,0),"")</f>
        <v/>
      </c>
      <c r="I310" s="7" t="n">
        <v>10217663</v>
      </c>
      <c r="J310" s="7">
        <f>IFERROR(VLOOKUP(I310,Materiales!$A:$H,8,0),"")</f>
        <v/>
      </c>
      <c r="K310" s="9">
        <f>IFERROR(VLOOKUP(I310,Materiales!$A:$G,7,0),"")</f>
        <v/>
      </c>
      <c r="L310" s="8" t="inlineStr">
        <is>
          <t>20260501</t>
        </is>
      </c>
      <c r="M310" s="8" t="inlineStr">
        <is>
          <t>99991231</t>
        </is>
      </c>
      <c r="N310" s="10" t="n">
        <v>51.51</v>
      </c>
      <c r="O310" s="10">
        <f>IFERROR(VLOOKUP(A310,Flete!$A:$J,10,0),"")</f>
        <v/>
      </c>
      <c r="P310" s="8" t="inlineStr">
        <is>
          <t>TN</t>
        </is>
      </c>
      <c r="Q310" s="10">
        <f>IFERROR(IFERROR(VLOOKUP(A310,TRAOPE!$A:$U,21,0),VLOOKUP(B310,TRAOPE!$A:$U,21,0)),"")</f>
        <v/>
      </c>
      <c r="R310" s="8">
        <f>IFERROR(IFERROR(VLOOKUP(A310,TRAOPE!$A:$W,23,0),VLOOKUP(B310,TRAOPE!$A:$W,23,0)),"")</f>
        <v/>
      </c>
      <c r="S310" s="10">
        <f>IF(AND(P310="TN",R310="TN"),N310+N(O310),IF(G310&amp;""="1",N(K310)*N310,(N310+N(O310))*N(K310)))</f>
        <v/>
      </c>
      <c r="T310" s="10">
        <f>IF(Q310="","",Q310-S310)</f>
        <v/>
      </c>
    </row>
    <row r="311">
      <c r="A311" s="7">
        <f>CONCATENATE(C311,E311,F311,I311)</f>
        <v/>
      </c>
      <c r="B311" s="7">
        <f>CONCATENATE(C311,E311,I311)</f>
        <v/>
      </c>
      <c r="C311" s="8" t="n">
        <v>900007580</v>
      </c>
      <c r="D311" s="7">
        <f>IFERROR(VLOOKUP(C311,TRAOPE!$G:$H,2,0),"")</f>
        <v/>
      </c>
      <c r="E311" s="8" t="inlineStr">
        <is>
          <t>DW55</t>
        </is>
      </c>
      <c r="F311" s="8" t="inlineStr">
        <is>
          <t>D304</t>
        </is>
      </c>
      <c r="G311" s="8">
        <f>IFERROR(VLOOKUP(A311,Flete!$A:$E,5,0),"")</f>
        <v/>
      </c>
      <c r="H311" s="7">
        <f>IFERROR(VLOOKUP(F311,TRAOPE!$AA:$AB,2,0),"")</f>
        <v/>
      </c>
      <c r="I311" s="7" t="n">
        <v>10217663</v>
      </c>
      <c r="J311" s="7">
        <f>IFERROR(VLOOKUP(I311,Materiales!$A:$H,8,0),"")</f>
        <v/>
      </c>
      <c r="K311" s="9">
        <f>IFERROR(VLOOKUP(I311,Materiales!$A:$G,7,0),"")</f>
        <v/>
      </c>
      <c r="L311" s="8" t="inlineStr">
        <is>
          <t>20260519</t>
        </is>
      </c>
      <c r="M311" s="8" t="inlineStr">
        <is>
          <t>99991231</t>
        </is>
      </c>
      <c r="N311" s="10" t="n">
        <v>51.51</v>
      </c>
      <c r="O311" s="10">
        <f>IFERROR(VLOOKUP(A311,Flete!$A:$J,10,0),"")</f>
        <v/>
      </c>
      <c r="P311" s="8" t="inlineStr">
        <is>
          <t>TN</t>
        </is>
      </c>
      <c r="Q311" s="10">
        <f>IFERROR(IFERROR(VLOOKUP(A311,TRAOPE!$A:$U,21,0),VLOOKUP(B311,TRAOPE!$A:$U,21,0)),"")</f>
        <v/>
      </c>
      <c r="R311" s="8">
        <f>IFERROR(IFERROR(VLOOKUP(A311,TRAOPE!$A:$W,23,0),VLOOKUP(B311,TRAOPE!$A:$W,23,0)),"")</f>
        <v/>
      </c>
      <c r="S311" s="10">
        <f>IF(AND(P311="TN",R311="TN"),N311+N(O311),IF(G311&amp;""="1",N(K311)*N311,(N311+N(O311))*N(K311)))</f>
        <v/>
      </c>
      <c r="T311" s="10">
        <f>IF(Q311="","",Q311-S311)</f>
        <v/>
      </c>
    </row>
    <row r="312">
      <c r="A312" s="7">
        <f>CONCATENATE(C312,E312,F312,I312)</f>
        <v/>
      </c>
      <c r="B312" s="7">
        <f>CONCATENATE(C312,E312,I312)</f>
        <v/>
      </c>
      <c r="C312" s="8" t="n">
        <v>900007580</v>
      </c>
      <c r="D312" s="7">
        <f>IFERROR(VLOOKUP(C312,TRAOPE!$G:$H,2,0),"")</f>
        <v/>
      </c>
      <c r="E312" s="8" t="inlineStr">
        <is>
          <t>DW55</t>
        </is>
      </c>
      <c r="F312" s="8" t="inlineStr">
        <is>
          <t>D309</t>
        </is>
      </c>
      <c r="G312" s="8">
        <f>IFERROR(VLOOKUP(A312,Flete!$A:$E,5,0),"")</f>
        <v/>
      </c>
      <c r="H312" s="7">
        <f>IFERROR(VLOOKUP(F312,TRAOPE!$AA:$AB,2,0),"")</f>
        <v/>
      </c>
      <c r="I312" s="7" t="n">
        <v>10217663</v>
      </c>
      <c r="J312" s="7">
        <f>IFERROR(VLOOKUP(I312,Materiales!$A:$H,8,0),"")</f>
        <v/>
      </c>
      <c r="K312" s="9">
        <f>IFERROR(VLOOKUP(I312,Materiales!$A:$G,7,0),"")</f>
        <v/>
      </c>
      <c r="L312" s="8" t="inlineStr">
        <is>
          <t>20260501</t>
        </is>
      </c>
      <c r="M312" s="8" t="inlineStr">
        <is>
          <t>99991231</t>
        </is>
      </c>
      <c r="N312" s="10" t="n">
        <v>51.51</v>
      </c>
      <c r="O312" s="10">
        <f>IFERROR(VLOOKUP(A312,Flete!$A:$J,10,0),"")</f>
        <v/>
      </c>
      <c r="P312" s="8" t="inlineStr">
        <is>
          <t>TN</t>
        </is>
      </c>
      <c r="Q312" s="10">
        <f>IFERROR(IFERROR(VLOOKUP(A312,TRAOPE!$A:$U,21,0),VLOOKUP(B312,TRAOPE!$A:$U,21,0)),"")</f>
        <v/>
      </c>
      <c r="R312" s="8">
        <f>IFERROR(IFERROR(VLOOKUP(A312,TRAOPE!$A:$W,23,0),VLOOKUP(B312,TRAOPE!$A:$W,23,0)),"")</f>
        <v/>
      </c>
      <c r="S312" s="10">
        <f>IF(AND(P312="TN",R312="TN"),N312+N(O312),IF(G312&amp;""="1",N(K312)*N312,(N312+N(O312))*N(K312)))</f>
        <v/>
      </c>
      <c r="T312" s="10">
        <f>IF(Q312="","",Q312-S312)</f>
        <v/>
      </c>
    </row>
    <row r="313">
      <c r="A313" s="7">
        <f>CONCATENATE(C313,E313,F313,I313)</f>
        <v/>
      </c>
      <c r="B313" s="7">
        <f>CONCATENATE(C313,E313,I313)</f>
        <v/>
      </c>
      <c r="C313" s="8" t="n">
        <v>900007580</v>
      </c>
      <c r="D313" s="7">
        <f>IFERROR(VLOOKUP(C313,TRAOPE!$G:$H,2,0),"")</f>
        <v/>
      </c>
      <c r="E313" s="8" t="inlineStr">
        <is>
          <t>DW55</t>
        </is>
      </c>
      <c r="F313" s="8" t="inlineStr">
        <is>
          <t>D325</t>
        </is>
      </c>
      <c r="G313" s="8">
        <f>IFERROR(VLOOKUP(A313,Flete!$A:$E,5,0),"")</f>
        <v/>
      </c>
      <c r="H313" s="7">
        <f>IFERROR(VLOOKUP(F313,TRAOPE!$AA:$AB,2,0),"")</f>
        <v/>
      </c>
      <c r="I313" s="7" t="n">
        <v>10217663</v>
      </c>
      <c r="J313" s="7">
        <f>IFERROR(VLOOKUP(I313,Materiales!$A:$H,8,0),"")</f>
        <v/>
      </c>
      <c r="K313" s="9">
        <f>IFERROR(VLOOKUP(I313,Materiales!$A:$G,7,0),"")</f>
        <v/>
      </c>
      <c r="L313" s="8" t="inlineStr">
        <is>
          <t>20260519</t>
        </is>
      </c>
      <c r="M313" s="8" t="inlineStr">
        <is>
          <t>99991231</t>
        </is>
      </c>
      <c r="N313" s="10" t="n">
        <v>51.51</v>
      </c>
      <c r="O313" s="10">
        <f>IFERROR(VLOOKUP(A313,Flete!$A:$J,10,0),"")</f>
        <v/>
      </c>
      <c r="P313" s="8" t="inlineStr">
        <is>
          <t>TN</t>
        </is>
      </c>
      <c r="Q313" s="10">
        <f>IFERROR(IFERROR(VLOOKUP(A313,TRAOPE!$A:$U,21,0),VLOOKUP(B313,TRAOPE!$A:$U,21,0)),"")</f>
        <v/>
      </c>
      <c r="R313" s="8">
        <f>IFERROR(IFERROR(VLOOKUP(A313,TRAOPE!$A:$W,23,0),VLOOKUP(B313,TRAOPE!$A:$W,23,0)),"")</f>
        <v/>
      </c>
      <c r="S313" s="10">
        <f>IF(AND(P313="TN",R313="TN"),N313+N(O313),IF(G313&amp;""="1",N(K313)*N313,(N313+N(O313))*N(K313)))</f>
        <v/>
      </c>
      <c r="T313" s="10">
        <f>IF(Q313="","",Q313-S313)</f>
        <v/>
      </c>
    </row>
    <row r="314">
      <c r="A314" s="7">
        <f>CONCATENATE(C314,E314,F314,I314)</f>
        <v/>
      </c>
      <c r="B314" s="7">
        <f>CONCATENATE(C314,E314,I314)</f>
        <v/>
      </c>
      <c r="C314" s="8" t="n">
        <v>900007580</v>
      </c>
      <c r="D314" s="7">
        <f>IFERROR(VLOOKUP(C314,TRAOPE!$G:$H,2,0),"")</f>
        <v/>
      </c>
      <c r="E314" s="8" t="inlineStr">
        <is>
          <t>DW55</t>
        </is>
      </c>
      <c r="F314" s="8" t="inlineStr">
        <is>
          <t>D342</t>
        </is>
      </c>
      <c r="G314" s="8">
        <f>IFERROR(VLOOKUP(A314,Flete!$A:$E,5,0),"")</f>
        <v/>
      </c>
      <c r="H314" s="7">
        <f>IFERROR(VLOOKUP(F314,TRAOPE!$AA:$AB,2,0),"")</f>
        <v/>
      </c>
      <c r="I314" s="7" t="n">
        <v>10217663</v>
      </c>
      <c r="J314" s="7">
        <f>IFERROR(VLOOKUP(I314,Materiales!$A:$H,8,0),"")</f>
        <v/>
      </c>
      <c r="K314" s="9">
        <f>IFERROR(VLOOKUP(I314,Materiales!$A:$G,7,0),"")</f>
        <v/>
      </c>
      <c r="L314" s="8" t="inlineStr">
        <is>
          <t>20260501</t>
        </is>
      </c>
      <c r="M314" s="8" t="inlineStr">
        <is>
          <t>99991231</t>
        </is>
      </c>
      <c r="N314" s="10" t="n">
        <v>51.51</v>
      </c>
      <c r="O314" s="10">
        <f>IFERROR(VLOOKUP(A314,Flete!$A:$J,10,0),"")</f>
        <v/>
      </c>
      <c r="P314" s="8" t="inlineStr">
        <is>
          <t>TN</t>
        </is>
      </c>
      <c r="Q314" s="10">
        <f>IFERROR(IFERROR(VLOOKUP(A314,TRAOPE!$A:$U,21,0),VLOOKUP(B314,TRAOPE!$A:$U,21,0)),"")</f>
        <v/>
      </c>
      <c r="R314" s="8">
        <f>IFERROR(IFERROR(VLOOKUP(A314,TRAOPE!$A:$W,23,0),VLOOKUP(B314,TRAOPE!$A:$W,23,0)),"")</f>
        <v/>
      </c>
      <c r="S314" s="10">
        <f>IF(AND(P314="TN",R314="TN"),N314+N(O314),IF(G314&amp;""="1",N(K314)*N314,(N314+N(O314))*N(K314)))</f>
        <v/>
      </c>
      <c r="T314" s="10">
        <f>IF(Q314="","",Q314-S314)</f>
        <v/>
      </c>
    </row>
    <row r="315">
      <c r="A315" s="7">
        <f>CONCATENATE(C315,E315,F315,I315)</f>
        <v/>
      </c>
      <c r="B315" s="7">
        <f>CONCATENATE(C315,E315,I315)</f>
        <v/>
      </c>
      <c r="C315" s="8" t="n">
        <v>900007581</v>
      </c>
      <c r="D315" s="7">
        <f>IFERROR(VLOOKUP(C315,TRAOPE!$G:$H,2,0),"")</f>
        <v/>
      </c>
      <c r="E315" s="8" t="inlineStr">
        <is>
          <t>DW55</t>
        </is>
      </c>
      <c r="F315" s="8" t="inlineStr">
        <is>
          <t>D284</t>
        </is>
      </c>
      <c r="G315" s="8">
        <f>IFERROR(VLOOKUP(A315,Flete!$A:$E,5,0),"")</f>
        <v/>
      </c>
      <c r="H315" s="7">
        <f>IFERROR(VLOOKUP(F315,TRAOPE!$AA:$AB,2,0),"")</f>
        <v/>
      </c>
      <c r="I315" s="7" t="n">
        <v>10189800</v>
      </c>
      <c r="J315" s="7">
        <f>IFERROR(VLOOKUP(I315,Materiales!$A:$H,8,0),"")</f>
        <v/>
      </c>
      <c r="K315" s="9">
        <f>IFERROR(VLOOKUP(I315,Materiales!$A:$G,7,0),"")</f>
        <v/>
      </c>
      <c r="L315" s="8" t="inlineStr">
        <is>
          <t>20220616</t>
        </is>
      </c>
      <c r="M315" s="8" t="inlineStr">
        <is>
          <t>20240717</t>
        </is>
      </c>
      <c r="N315" s="10" t="n">
        <v>223.08</v>
      </c>
      <c r="O315" s="10">
        <f>IFERROR(VLOOKUP(A315,Flete!$A:$J,10,0),"")</f>
        <v/>
      </c>
      <c r="P315" s="8" t="inlineStr">
        <is>
          <t>TN</t>
        </is>
      </c>
      <c r="Q315" s="10">
        <f>IFERROR(IFERROR(VLOOKUP(A315,TRAOPE!$A:$U,21,0),VLOOKUP(B315,TRAOPE!$A:$U,21,0)),"")</f>
        <v/>
      </c>
      <c r="R315" s="8">
        <f>IFERROR(IFERROR(VLOOKUP(A315,TRAOPE!$A:$W,23,0),VLOOKUP(B315,TRAOPE!$A:$W,23,0)),"")</f>
        <v/>
      </c>
      <c r="S315" s="10">
        <f>IF(AND(P315="TN",R315="TN"),N315+N(O315),IF(G315&amp;""="1",N(K315)*N315,(N315+N(O315))*N(K315)))</f>
        <v/>
      </c>
      <c r="T315" s="10">
        <f>IF(Q315="","",Q315-S315)</f>
        <v/>
      </c>
    </row>
    <row r="316">
      <c r="A316" s="7">
        <f>CONCATENATE(C316,E316,F316,I316)</f>
        <v/>
      </c>
      <c r="B316" s="7">
        <f>CONCATENATE(C316,E316,I316)</f>
        <v/>
      </c>
      <c r="C316" s="8" t="n">
        <v>900007581</v>
      </c>
      <c r="D316" s="7">
        <f>IFERROR(VLOOKUP(C316,TRAOPE!$G:$H,2,0),"")</f>
        <v/>
      </c>
      <c r="E316" s="8" t="inlineStr">
        <is>
          <t>DW55</t>
        </is>
      </c>
      <c r="F316" s="8" t="inlineStr">
        <is>
          <t>D284</t>
        </is>
      </c>
      <c r="G316" s="8">
        <f>IFERROR(VLOOKUP(A316,Flete!$A:$E,5,0),"")</f>
        <v/>
      </c>
      <c r="H316" s="7">
        <f>IFERROR(VLOOKUP(F316,TRAOPE!$AA:$AB,2,0),"")</f>
        <v/>
      </c>
      <c r="I316" s="7" t="n">
        <v>10217663</v>
      </c>
      <c r="J316" s="7">
        <f>IFERROR(VLOOKUP(I316,Materiales!$A:$H,8,0),"")</f>
        <v/>
      </c>
      <c r="K316" s="9">
        <f>IFERROR(VLOOKUP(I316,Materiales!$A:$G,7,0),"")</f>
        <v/>
      </c>
      <c r="L316" s="8" t="inlineStr">
        <is>
          <t>20260501</t>
        </is>
      </c>
      <c r="M316" s="8" t="inlineStr">
        <is>
          <t>99991231</t>
        </is>
      </c>
      <c r="N316" s="10" t="n">
        <v>51.51</v>
      </c>
      <c r="O316" s="10">
        <f>IFERROR(VLOOKUP(A316,Flete!$A:$J,10,0),"")</f>
        <v/>
      </c>
      <c r="P316" s="8" t="inlineStr">
        <is>
          <t>TN</t>
        </is>
      </c>
      <c r="Q316" s="10">
        <f>IFERROR(IFERROR(VLOOKUP(A316,TRAOPE!$A:$U,21,0),VLOOKUP(B316,TRAOPE!$A:$U,21,0)),"")</f>
        <v/>
      </c>
      <c r="R316" s="8">
        <f>IFERROR(IFERROR(VLOOKUP(A316,TRAOPE!$A:$W,23,0),VLOOKUP(B316,TRAOPE!$A:$W,23,0)),"")</f>
        <v/>
      </c>
      <c r="S316" s="10">
        <f>IF(AND(P316="TN",R316="TN"),N316+N(O316),IF(G316&amp;""="1",N(K316)*N316,(N316+N(O316))*N(K316)))</f>
        <v/>
      </c>
      <c r="T316" s="10">
        <f>IF(Q316="","",Q316-S316)</f>
        <v/>
      </c>
    </row>
    <row r="317">
      <c r="A317" s="7">
        <f>CONCATENATE(C317,E317,F317,I317)</f>
        <v/>
      </c>
      <c r="B317" s="7">
        <f>CONCATENATE(C317,E317,I317)</f>
        <v/>
      </c>
      <c r="C317" s="8" t="n">
        <v>900007581</v>
      </c>
      <c r="D317" s="7">
        <f>IFERROR(VLOOKUP(C317,TRAOPE!$G:$H,2,0),"")</f>
        <v/>
      </c>
      <c r="E317" s="8" t="inlineStr">
        <is>
          <t>DW55</t>
        </is>
      </c>
      <c r="F317" s="8" t="inlineStr">
        <is>
          <t>D309</t>
        </is>
      </c>
      <c r="G317" s="8">
        <f>IFERROR(VLOOKUP(A317,Flete!$A:$E,5,0),"")</f>
        <v/>
      </c>
      <c r="H317" s="7">
        <f>IFERROR(VLOOKUP(F317,TRAOPE!$AA:$AB,2,0),"")</f>
        <v/>
      </c>
      <c r="I317" s="7" t="n">
        <v>10217663</v>
      </c>
      <c r="J317" s="7">
        <f>IFERROR(VLOOKUP(I317,Materiales!$A:$H,8,0),"")</f>
        <v/>
      </c>
      <c r="K317" s="9">
        <f>IFERROR(VLOOKUP(I317,Materiales!$A:$G,7,0),"")</f>
        <v/>
      </c>
      <c r="L317" s="8" t="inlineStr">
        <is>
          <t>20260501</t>
        </is>
      </c>
      <c r="M317" s="8" t="inlineStr">
        <is>
          <t>99991231</t>
        </is>
      </c>
      <c r="N317" s="10" t="n">
        <v>51.51</v>
      </c>
      <c r="O317" s="10">
        <f>IFERROR(VLOOKUP(A317,Flete!$A:$J,10,0),"")</f>
        <v/>
      </c>
      <c r="P317" s="8" t="inlineStr">
        <is>
          <t>TN</t>
        </is>
      </c>
      <c r="Q317" s="10">
        <f>IFERROR(IFERROR(VLOOKUP(A317,TRAOPE!$A:$U,21,0),VLOOKUP(B317,TRAOPE!$A:$U,21,0)),"")</f>
        <v/>
      </c>
      <c r="R317" s="8">
        <f>IFERROR(IFERROR(VLOOKUP(A317,TRAOPE!$A:$W,23,0),VLOOKUP(B317,TRAOPE!$A:$W,23,0)),"")</f>
        <v/>
      </c>
      <c r="S317" s="10">
        <f>IF(AND(P317="TN",R317="TN"),N317+N(O317),IF(G317&amp;""="1",N(K317)*N317,(N317+N(O317))*N(K317)))</f>
        <v/>
      </c>
      <c r="T317" s="10">
        <f>IF(Q317="","",Q317-S317)</f>
        <v/>
      </c>
    </row>
    <row r="318">
      <c r="A318" s="7">
        <f>CONCATENATE(C318,E318,F318,I318)</f>
        <v/>
      </c>
      <c r="B318" s="7">
        <f>CONCATENATE(C318,E318,I318)</f>
        <v/>
      </c>
      <c r="C318" s="8" t="n">
        <v>900007581</v>
      </c>
      <c r="D318" s="7">
        <f>IFERROR(VLOOKUP(C318,TRAOPE!$G:$H,2,0),"")</f>
        <v/>
      </c>
      <c r="E318" s="8" t="inlineStr">
        <is>
          <t>DW55</t>
        </is>
      </c>
      <c r="F318" s="8" t="inlineStr">
        <is>
          <t>D342</t>
        </is>
      </c>
      <c r="G318" s="8">
        <f>IFERROR(VLOOKUP(A318,Flete!$A:$E,5,0),"")</f>
        <v/>
      </c>
      <c r="H318" s="7">
        <f>IFERROR(VLOOKUP(F318,TRAOPE!$AA:$AB,2,0),"")</f>
        <v/>
      </c>
      <c r="I318" s="7" t="n">
        <v>10217663</v>
      </c>
      <c r="J318" s="7">
        <f>IFERROR(VLOOKUP(I318,Materiales!$A:$H,8,0),"")</f>
        <v/>
      </c>
      <c r="K318" s="9">
        <f>IFERROR(VLOOKUP(I318,Materiales!$A:$G,7,0),"")</f>
        <v/>
      </c>
      <c r="L318" s="8" t="inlineStr">
        <is>
          <t>20260501</t>
        </is>
      </c>
      <c r="M318" s="8" t="inlineStr">
        <is>
          <t>99991231</t>
        </is>
      </c>
      <c r="N318" s="10" t="n">
        <v>51.51</v>
      </c>
      <c r="O318" s="10">
        <f>IFERROR(VLOOKUP(A318,Flete!$A:$J,10,0),"")</f>
        <v/>
      </c>
      <c r="P318" s="8" t="inlineStr">
        <is>
          <t>TN</t>
        </is>
      </c>
      <c r="Q318" s="10">
        <f>IFERROR(IFERROR(VLOOKUP(A318,TRAOPE!$A:$U,21,0),VLOOKUP(B318,TRAOPE!$A:$U,21,0)),"")</f>
        <v/>
      </c>
      <c r="R318" s="8">
        <f>IFERROR(IFERROR(VLOOKUP(A318,TRAOPE!$A:$W,23,0),VLOOKUP(B318,TRAOPE!$A:$W,23,0)),"")</f>
        <v/>
      </c>
      <c r="S318" s="10">
        <f>IF(AND(P318="TN",R318="TN"),N318+N(O318),IF(G318&amp;""="1",N(K318)*N318,(N318+N(O318))*N(K318)))</f>
        <v/>
      </c>
      <c r="T318" s="10">
        <f>IF(Q318="","",Q318-S318)</f>
        <v/>
      </c>
    </row>
    <row r="319">
      <c r="A319" s="7">
        <f>CONCATENATE(C319,E319,F319,I319)</f>
        <v/>
      </c>
      <c r="B319" s="7">
        <f>CONCATENATE(C319,E319,I319)</f>
        <v/>
      </c>
      <c r="C319" s="8" t="n">
        <v>900007581</v>
      </c>
      <c r="D319" s="7">
        <f>IFERROR(VLOOKUP(C319,TRAOPE!$G:$H,2,0),"")</f>
        <v/>
      </c>
      <c r="E319" s="8" t="inlineStr">
        <is>
          <t>DW55</t>
        </is>
      </c>
      <c r="F319" s="8" t="inlineStr">
        <is>
          <t>D348</t>
        </is>
      </c>
      <c r="G319" s="8">
        <f>IFERROR(VLOOKUP(A319,Flete!$A:$E,5,0),"")</f>
        <v/>
      </c>
      <c r="H319" s="7">
        <f>IFERROR(VLOOKUP(F319,TRAOPE!$AA:$AB,2,0),"")</f>
        <v/>
      </c>
      <c r="I319" s="7" t="n">
        <v>10000561</v>
      </c>
      <c r="J319" s="7">
        <f>IFERROR(VLOOKUP(I319,Materiales!$A:$H,8,0),"")</f>
        <v/>
      </c>
      <c r="K319" s="9">
        <f>IFERROR(VLOOKUP(I319,Materiales!$A:$G,7,0),"")</f>
        <v/>
      </c>
      <c r="L319" s="8" t="inlineStr">
        <is>
          <t>20220601</t>
        </is>
      </c>
      <c r="M319" s="8" t="inlineStr">
        <is>
          <t>20240717</t>
        </is>
      </c>
      <c r="N319" s="10" t="n">
        <v>209.79</v>
      </c>
      <c r="O319" s="10">
        <f>IFERROR(VLOOKUP(A319,Flete!$A:$J,10,0),"")</f>
        <v/>
      </c>
      <c r="P319" s="8" t="inlineStr">
        <is>
          <t>TN</t>
        </is>
      </c>
      <c r="Q319" s="10">
        <f>IFERROR(IFERROR(VLOOKUP(A319,TRAOPE!$A:$U,21,0),VLOOKUP(B319,TRAOPE!$A:$U,21,0)),"")</f>
        <v/>
      </c>
      <c r="R319" s="8">
        <f>IFERROR(IFERROR(VLOOKUP(A319,TRAOPE!$A:$W,23,0),VLOOKUP(B319,TRAOPE!$A:$W,23,0)),"")</f>
        <v/>
      </c>
      <c r="S319" s="10">
        <f>IF(AND(P319="TN",R319="TN"),N319+N(O319),IF(G319&amp;""="1",N(K319)*N319,(N319+N(O319))*N(K319)))</f>
        <v/>
      </c>
      <c r="T319" s="10">
        <f>IF(Q319="","",Q319-S319)</f>
        <v/>
      </c>
    </row>
    <row r="320">
      <c r="A320" s="7">
        <f>CONCATENATE(C320,E320,F320,I320)</f>
        <v/>
      </c>
      <c r="B320" s="7">
        <f>CONCATENATE(C320,E320,I320)</f>
        <v/>
      </c>
      <c r="C320" s="8" t="n">
        <v>900007581</v>
      </c>
      <c r="D320" s="7">
        <f>IFERROR(VLOOKUP(C320,TRAOPE!$G:$H,2,0),"")</f>
        <v/>
      </c>
      <c r="E320" s="8" t="inlineStr">
        <is>
          <t>DW55</t>
        </is>
      </c>
      <c r="F320" s="8" t="inlineStr">
        <is>
          <t>ER67</t>
        </is>
      </c>
      <c r="G320" s="8">
        <f>IFERROR(VLOOKUP(A320,Flete!$A:$E,5,0),"")</f>
        <v/>
      </c>
      <c r="H320" s="7">
        <f>IFERROR(VLOOKUP(F320,TRAOPE!$AA:$AB,2,0),"")</f>
        <v/>
      </c>
      <c r="I320" s="7" t="n">
        <v>10189800</v>
      </c>
      <c r="J320" s="7">
        <f>IFERROR(VLOOKUP(I320,Materiales!$A:$H,8,0),"")</f>
        <v/>
      </c>
      <c r="K320" s="9">
        <f>IFERROR(VLOOKUP(I320,Materiales!$A:$G,7,0),"")</f>
        <v/>
      </c>
      <c r="L320" s="8" t="inlineStr">
        <is>
          <t>20220504</t>
        </is>
      </c>
      <c r="M320" s="8" t="inlineStr">
        <is>
          <t>20230127</t>
        </is>
      </c>
      <c r="N320" s="10" t="n">
        <v>200.01</v>
      </c>
      <c r="O320" s="10">
        <f>IFERROR(VLOOKUP(A320,Flete!$A:$J,10,0),"")</f>
        <v/>
      </c>
      <c r="P320" s="8" t="inlineStr">
        <is>
          <t>TN</t>
        </is>
      </c>
      <c r="Q320" s="10">
        <f>IFERROR(IFERROR(VLOOKUP(A320,TRAOPE!$A:$U,21,0),VLOOKUP(B320,TRAOPE!$A:$U,21,0)),"")</f>
        <v/>
      </c>
      <c r="R320" s="8">
        <f>IFERROR(IFERROR(VLOOKUP(A320,TRAOPE!$A:$W,23,0),VLOOKUP(B320,TRAOPE!$A:$W,23,0)),"")</f>
        <v/>
      </c>
      <c r="S320" s="10">
        <f>IF(AND(P320="TN",R320="TN"),N320+N(O320),IF(G320&amp;""="1",N(K320)*N320,(N320+N(O320))*N(K320)))</f>
        <v/>
      </c>
      <c r="T320" s="10">
        <f>IF(Q320="","",Q320-S320)</f>
        <v/>
      </c>
    </row>
    <row r="321">
      <c r="A321" s="7">
        <f>CONCATENATE(C321,E321,F321,I321)</f>
        <v/>
      </c>
      <c r="B321" s="7">
        <f>CONCATENATE(C321,E321,I321)</f>
        <v/>
      </c>
      <c r="C321" s="8" t="n">
        <v>900007581</v>
      </c>
      <c r="D321" s="7">
        <f>IFERROR(VLOOKUP(C321,TRAOPE!$G:$H,2,0),"")</f>
        <v/>
      </c>
      <c r="E321" s="8" t="inlineStr">
        <is>
          <t>DW55</t>
        </is>
      </c>
      <c r="F321" s="8" t="inlineStr">
        <is>
          <t>ER67</t>
        </is>
      </c>
      <c r="G321" s="8">
        <f>IFERROR(VLOOKUP(A321,Flete!$A:$E,5,0),"")</f>
        <v/>
      </c>
      <c r="H321" s="7">
        <f>IFERROR(VLOOKUP(F321,TRAOPE!$AA:$AB,2,0),"")</f>
        <v/>
      </c>
      <c r="I321" s="7" t="n">
        <v>10210039</v>
      </c>
      <c r="J321" s="7">
        <f>IFERROR(VLOOKUP(I321,Materiales!$A:$H,8,0),"")</f>
        <v/>
      </c>
      <c r="K321" s="9">
        <f>IFERROR(VLOOKUP(I321,Materiales!$A:$G,7,0),"")</f>
        <v/>
      </c>
      <c r="L321" s="8" t="inlineStr">
        <is>
          <t>20220504</t>
        </is>
      </c>
      <c r="M321" s="8" t="inlineStr">
        <is>
          <t>20230127</t>
        </is>
      </c>
      <c r="N321" s="10" t="n">
        <v>43.77</v>
      </c>
      <c r="O321" s="10">
        <f>IFERROR(VLOOKUP(A321,Flete!$A:$J,10,0),"")</f>
        <v/>
      </c>
      <c r="P321" s="8" t="inlineStr">
        <is>
          <t>TN</t>
        </is>
      </c>
      <c r="Q321" s="10">
        <f>IFERROR(IFERROR(VLOOKUP(A321,TRAOPE!$A:$U,21,0),VLOOKUP(B321,TRAOPE!$A:$U,21,0)),"")</f>
        <v/>
      </c>
      <c r="R321" s="8">
        <f>IFERROR(IFERROR(VLOOKUP(A321,TRAOPE!$A:$W,23,0),VLOOKUP(B321,TRAOPE!$A:$W,23,0)),"")</f>
        <v/>
      </c>
      <c r="S321" s="10">
        <f>IF(AND(P321="TN",R321="TN"),N321+N(O321),IF(G321&amp;""="1",N(K321)*N321,(N321+N(O321))*N(K321)))</f>
        <v/>
      </c>
      <c r="T321" s="10">
        <f>IF(Q321="","",Q321-S321)</f>
        <v/>
      </c>
    </row>
    <row r="322">
      <c r="A322" s="7">
        <f>CONCATENATE(C322,E322,F322,I322)</f>
        <v/>
      </c>
      <c r="B322" s="7">
        <f>CONCATENATE(C322,E322,I322)</f>
        <v/>
      </c>
      <c r="C322" s="8" t="n">
        <v>900007581</v>
      </c>
      <c r="D322" s="7">
        <f>IFERROR(VLOOKUP(C322,TRAOPE!$G:$H,2,0),"")</f>
        <v/>
      </c>
      <c r="E322" s="8" t="inlineStr">
        <is>
          <t>DW55</t>
        </is>
      </c>
      <c r="F322" s="8" t="inlineStr">
        <is>
          <t>ER68</t>
        </is>
      </c>
      <c r="G322" s="8">
        <f>IFERROR(VLOOKUP(A322,Flete!$A:$E,5,0),"")</f>
        <v/>
      </c>
      <c r="H322" s="7">
        <f>IFERROR(VLOOKUP(F322,TRAOPE!$AA:$AB,2,0),"")</f>
        <v/>
      </c>
      <c r="I322" s="7" t="n">
        <v>10189800</v>
      </c>
      <c r="J322" s="7">
        <f>IFERROR(VLOOKUP(I322,Materiales!$A:$H,8,0),"")</f>
        <v/>
      </c>
      <c r="K322" s="9">
        <f>IFERROR(VLOOKUP(I322,Materiales!$A:$G,7,0),"")</f>
        <v/>
      </c>
      <c r="L322" s="8" t="inlineStr">
        <is>
          <t>20220501</t>
        </is>
      </c>
      <c r="M322" s="8" t="inlineStr">
        <is>
          <t>20240717</t>
        </is>
      </c>
      <c r="N322" s="10" t="n">
        <v>200</v>
      </c>
      <c r="O322" s="10">
        <f>IFERROR(VLOOKUP(A322,Flete!$A:$J,10,0),"")</f>
        <v/>
      </c>
      <c r="P322" s="8" t="inlineStr">
        <is>
          <t>TN</t>
        </is>
      </c>
      <c r="Q322" s="10">
        <f>IFERROR(IFERROR(VLOOKUP(A322,TRAOPE!$A:$U,21,0),VLOOKUP(B322,TRAOPE!$A:$U,21,0)),"")</f>
        <v/>
      </c>
      <c r="R322" s="8">
        <f>IFERROR(IFERROR(VLOOKUP(A322,TRAOPE!$A:$W,23,0),VLOOKUP(B322,TRAOPE!$A:$W,23,0)),"")</f>
        <v/>
      </c>
      <c r="S322" s="10">
        <f>IF(AND(P322="TN",R322="TN"),N322+N(O322),IF(G322&amp;""="1",N(K322)*N322,(N322+N(O322))*N(K322)))</f>
        <v/>
      </c>
      <c r="T322" s="10">
        <f>IF(Q322="","",Q322-S322)</f>
        <v/>
      </c>
    </row>
    <row r="323">
      <c r="A323" s="7">
        <f>CONCATENATE(C323,E323,F323,I323)</f>
        <v/>
      </c>
      <c r="B323" s="7">
        <f>CONCATENATE(C323,E323,I323)</f>
        <v/>
      </c>
      <c r="C323" s="8" t="n">
        <v>900007581</v>
      </c>
      <c r="D323" s="7">
        <f>IFERROR(VLOOKUP(C323,TRAOPE!$G:$H,2,0),"")</f>
        <v/>
      </c>
      <c r="E323" s="8" t="inlineStr">
        <is>
          <t>DW55</t>
        </is>
      </c>
      <c r="F323" s="8" t="inlineStr">
        <is>
          <t>ER68</t>
        </is>
      </c>
      <c r="G323" s="8">
        <f>IFERROR(VLOOKUP(A323,Flete!$A:$E,5,0),"")</f>
        <v/>
      </c>
      <c r="H323" s="7">
        <f>IFERROR(VLOOKUP(F323,TRAOPE!$AA:$AB,2,0),"")</f>
        <v/>
      </c>
      <c r="I323" s="7" t="n">
        <v>10210039</v>
      </c>
      <c r="J323" s="7">
        <f>IFERROR(VLOOKUP(I323,Materiales!$A:$H,8,0),"")</f>
        <v/>
      </c>
      <c r="K323" s="9">
        <f>IFERROR(VLOOKUP(I323,Materiales!$A:$G,7,0),"")</f>
        <v/>
      </c>
      <c r="L323" s="8" t="inlineStr">
        <is>
          <t>20220501</t>
        </is>
      </c>
      <c r="M323" s="8" t="inlineStr">
        <is>
          <t>20240717</t>
        </is>
      </c>
      <c r="N323" s="10" t="n">
        <v>43.77</v>
      </c>
      <c r="O323" s="10">
        <f>IFERROR(VLOOKUP(A323,Flete!$A:$J,10,0),"")</f>
        <v/>
      </c>
      <c r="P323" s="8" t="inlineStr">
        <is>
          <t>TN</t>
        </is>
      </c>
      <c r="Q323" s="10">
        <f>IFERROR(IFERROR(VLOOKUP(A323,TRAOPE!$A:$U,21,0),VLOOKUP(B323,TRAOPE!$A:$U,21,0)),"")</f>
        <v/>
      </c>
      <c r="R323" s="8">
        <f>IFERROR(IFERROR(VLOOKUP(A323,TRAOPE!$A:$W,23,0),VLOOKUP(B323,TRAOPE!$A:$W,23,0)),"")</f>
        <v/>
      </c>
      <c r="S323" s="10">
        <f>IF(AND(P323="TN",R323="TN"),N323+N(O323),IF(G323&amp;""="1",N(K323)*N323,(N323+N(O323))*N(K323)))</f>
        <v/>
      </c>
      <c r="T323" s="10">
        <f>IF(Q323="","",Q323-S323)</f>
        <v/>
      </c>
    </row>
    <row r="324">
      <c r="A324" s="7">
        <f>CONCATENATE(C324,E324,F324,I324)</f>
        <v/>
      </c>
      <c r="B324" s="7">
        <f>CONCATENATE(C324,E324,I324)</f>
        <v/>
      </c>
      <c r="C324" s="8" t="n">
        <v>900007590</v>
      </c>
      <c r="D324" s="7">
        <f>IFERROR(VLOOKUP(C324,TRAOPE!$G:$H,2,0),"")</f>
        <v/>
      </c>
      <c r="E324" s="8" t="inlineStr">
        <is>
          <t>DW55</t>
        </is>
      </c>
      <c r="F324" s="8" t="inlineStr">
        <is>
          <t>ER67</t>
        </is>
      </c>
      <c r="G324" s="8">
        <f>IFERROR(VLOOKUP(A324,Flete!$A:$E,5,0),"")</f>
        <v/>
      </c>
      <c r="H324" s="7">
        <f>IFERROR(VLOOKUP(F324,TRAOPE!$AA:$AB,2,0),"")</f>
        <v/>
      </c>
      <c r="I324" s="7" t="n">
        <v>10189800</v>
      </c>
      <c r="J324" s="7">
        <f>IFERROR(VLOOKUP(I324,Materiales!$A:$H,8,0),"")</f>
        <v/>
      </c>
      <c r="K324" s="9">
        <f>IFERROR(VLOOKUP(I324,Materiales!$A:$G,7,0),"")</f>
        <v/>
      </c>
      <c r="L324" s="8" t="inlineStr">
        <is>
          <t>20220504</t>
        </is>
      </c>
      <c r="M324" s="8" t="inlineStr">
        <is>
          <t>20230127</t>
        </is>
      </c>
      <c r="N324" s="10" t="n">
        <v>192.31</v>
      </c>
      <c r="O324" s="10">
        <f>IFERROR(VLOOKUP(A324,Flete!$A:$J,10,0),"")</f>
        <v/>
      </c>
      <c r="P324" s="8" t="inlineStr">
        <is>
          <t>TN</t>
        </is>
      </c>
      <c r="Q324" s="10">
        <f>IFERROR(IFERROR(VLOOKUP(A324,TRAOPE!$A:$U,21,0),VLOOKUP(B324,TRAOPE!$A:$U,21,0)),"")</f>
        <v/>
      </c>
      <c r="R324" s="8">
        <f>IFERROR(IFERROR(VLOOKUP(A324,TRAOPE!$A:$W,23,0),VLOOKUP(B324,TRAOPE!$A:$W,23,0)),"")</f>
        <v/>
      </c>
      <c r="S324" s="10">
        <f>IF(AND(P324="TN",R324="TN"),N324+N(O324),IF(G324&amp;""="1",N(K324)*N324,(N324+N(O324))*N(K324)))</f>
        <v/>
      </c>
      <c r="T324" s="10">
        <f>IF(Q324="","",Q324-S324)</f>
        <v/>
      </c>
    </row>
    <row r="325">
      <c r="A325" s="7">
        <f>CONCATENATE(C325,E325,F325,I325)</f>
        <v/>
      </c>
      <c r="B325" s="7">
        <f>CONCATENATE(C325,E325,I325)</f>
        <v/>
      </c>
      <c r="C325" s="8" t="n">
        <v>900007590</v>
      </c>
      <c r="D325" s="7">
        <f>IFERROR(VLOOKUP(C325,TRAOPE!$G:$H,2,0),"")</f>
        <v/>
      </c>
      <c r="E325" s="8" t="inlineStr">
        <is>
          <t>DW55</t>
        </is>
      </c>
      <c r="F325" s="8" t="inlineStr">
        <is>
          <t>ER68</t>
        </is>
      </c>
      <c r="G325" s="8">
        <f>IFERROR(VLOOKUP(A325,Flete!$A:$E,5,0),"")</f>
        <v/>
      </c>
      <c r="H325" s="7">
        <f>IFERROR(VLOOKUP(F325,TRAOPE!$AA:$AB,2,0),"")</f>
        <v/>
      </c>
      <c r="I325" s="7" t="n">
        <v>10189800</v>
      </c>
      <c r="J325" s="7">
        <f>IFERROR(VLOOKUP(I325,Materiales!$A:$H,8,0),"")</f>
        <v/>
      </c>
      <c r="K325" s="9">
        <f>IFERROR(VLOOKUP(I325,Materiales!$A:$G,7,0),"")</f>
        <v/>
      </c>
      <c r="L325" s="8" t="inlineStr">
        <is>
          <t>20220501</t>
        </is>
      </c>
      <c r="M325" s="8" t="inlineStr">
        <is>
          <t>20240717</t>
        </is>
      </c>
      <c r="N325" s="10" t="n">
        <v>192.31</v>
      </c>
      <c r="O325" s="10">
        <f>IFERROR(VLOOKUP(A325,Flete!$A:$J,10,0),"")</f>
        <v/>
      </c>
      <c r="P325" s="8" t="inlineStr">
        <is>
          <t>TN</t>
        </is>
      </c>
      <c r="Q325" s="10">
        <f>IFERROR(IFERROR(VLOOKUP(A325,TRAOPE!$A:$U,21,0),VLOOKUP(B325,TRAOPE!$A:$U,21,0)),"")</f>
        <v/>
      </c>
      <c r="R325" s="8">
        <f>IFERROR(IFERROR(VLOOKUP(A325,TRAOPE!$A:$W,23,0),VLOOKUP(B325,TRAOPE!$A:$W,23,0)),"")</f>
        <v/>
      </c>
      <c r="S325" s="10">
        <f>IF(AND(P325="TN",R325="TN"),N325+N(O325),IF(G325&amp;""="1",N(K325)*N325,(N325+N(O325))*N(K325)))</f>
        <v/>
      </c>
      <c r="T325" s="10">
        <f>IF(Q325="","",Q325-S325)</f>
        <v/>
      </c>
    </row>
    <row r="326">
      <c r="A326" s="7">
        <f>CONCATENATE(C326,E326,F326,I326)</f>
        <v/>
      </c>
      <c r="B326" s="7">
        <f>CONCATENATE(C326,E326,I326)</f>
        <v/>
      </c>
      <c r="C326" s="8" t="n">
        <v>900007603</v>
      </c>
      <c r="D326" s="7">
        <f>IFERROR(VLOOKUP(C326,TRAOPE!$G:$H,2,0),"")</f>
        <v/>
      </c>
      <c r="E326" s="8" t="inlineStr">
        <is>
          <t>DW55</t>
        </is>
      </c>
      <c r="F326" s="8" t="inlineStr">
        <is>
          <t>D284</t>
        </is>
      </c>
      <c r="G326" s="8">
        <f>IFERROR(VLOOKUP(A326,Flete!$A:$E,5,0),"")</f>
        <v/>
      </c>
      <c r="H326" s="7">
        <f>IFERROR(VLOOKUP(F326,TRAOPE!$AA:$AB,2,0),"")</f>
        <v/>
      </c>
      <c r="I326" s="7" t="n">
        <v>10000372</v>
      </c>
      <c r="J326" s="7">
        <f>IFERROR(VLOOKUP(I326,Materiales!$A:$H,8,0),"")</f>
        <v/>
      </c>
      <c r="K326" s="9">
        <f>IFERROR(VLOOKUP(I326,Materiales!$A:$G,7,0),"")</f>
        <v/>
      </c>
      <c r="L326" s="8" t="inlineStr">
        <is>
          <t>20220504</t>
        </is>
      </c>
      <c r="M326" s="8" t="inlineStr">
        <is>
          <t>20251031</t>
        </is>
      </c>
      <c r="N326" s="10" t="n">
        <v>198.2</v>
      </c>
      <c r="O326" s="10">
        <f>IFERROR(VLOOKUP(A326,Flete!$A:$J,10,0),"")</f>
        <v/>
      </c>
      <c r="P326" s="8" t="inlineStr">
        <is>
          <t>TN</t>
        </is>
      </c>
      <c r="Q326" s="10">
        <f>IFERROR(IFERROR(VLOOKUP(A326,TRAOPE!$A:$U,21,0),VLOOKUP(B326,TRAOPE!$A:$U,21,0)),"")</f>
        <v/>
      </c>
      <c r="R326" s="8">
        <f>IFERROR(IFERROR(VLOOKUP(A326,TRAOPE!$A:$W,23,0),VLOOKUP(B326,TRAOPE!$A:$W,23,0)),"")</f>
        <v/>
      </c>
      <c r="S326" s="10">
        <f>IF(AND(P326="TN",R326="TN"),N326+N(O326),IF(G326&amp;""="1",N(K326)*N326,(N326+N(O326))*N(K326)))</f>
        <v/>
      </c>
      <c r="T326" s="10">
        <f>IF(Q326="","",Q326-S326)</f>
        <v/>
      </c>
    </row>
    <row r="327">
      <c r="A327" s="7">
        <f>CONCATENATE(C327,E327,F327,I327)</f>
        <v/>
      </c>
      <c r="B327" s="7">
        <f>CONCATENATE(C327,E327,I327)</f>
        <v/>
      </c>
      <c r="C327" s="8" t="n">
        <v>900007603</v>
      </c>
      <c r="D327" s="7">
        <f>IFERROR(VLOOKUP(C327,TRAOPE!$G:$H,2,0),"")</f>
        <v/>
      </c>
      <c r="E327" s="8" t="inlineStr">
        <is>
          <t>DW55</t>
        </is>
      </c>
      <c r="F327" s="8" t="inlineStr">
        <is>
          <t>D284</t>
        </is>
      </c>
      <c r="G327" s="8">
        <f>IFERROR(VLOOKUP(A327,Flete!$A:$E,5,0),"")</f>
        <v/>
      </c>
      <c r="H327" s="7">
        <f>IFERROR(VLOOKUP(F327,TRAOPE!$AA:$AB,2,0),"")</f>
        <v/>
      </c>
      <c r="I327" s="7" t="n">
        <v>10000623</v>
      </c>
      <c r="J327" s="7">
        <f>IFERROR(VLOOKUP(I327,Materiales!$A:$H,8,0),"")</f>
        <v/>
      </c>
      <c r="K327" s="9">
        <f>IFERROR(VLOOKUP(I327,Materiales!$A:$G,7,0),"")</f>
        <v/>
      </c>
      <c r="L327" s="8" t="inlineStr">
        <is>
          <t>20250626</t>
        </is>
      </c>
      <c r="M327" s="8" t="inlineStr">
        <is>
          <t>20260420</t>
        </is>
      </c>
      <c r="N327" s="10" t="n">
        <v>297.87</v>
      </c>
      <c r="O327" s="10">
        <f>IFERROR(VLOOKUP(A327,Flete!$A:$J,10,0),"")</f>
        <v/>
      </c>
      <c r="P327" s="8" t="inlineStr">
        <is>
          <t>TN</t>
        </is>
      </c>
      <c r="Q327" s="10">
        <f>IFERROR(IFERROR(VLOOKUP(A327,TRAOPE!$A:$U,21,0),VLOOKUP(B327,TRAOPE!$A:$U,21,0)),"")</f>
        <v/>
      </c>
      <c r="R327" s="8">
        <f>IFERROR(IFERROR(VLOOKUP(A327,TRAOPE!$A:$W,23,0),VLOOKUP(B327,TRAOPE!$A:$W,23,0)),"")</f>
        <v/>
      </c>
      <c r="S327" s="10">
        <f>IF(AND(P327="TN",R327="TN"),N327+N(O327),IF(G327&amp;""="1",N(K327)*N327,(N327+N(O327))*N(K327)))</f>
        <v/>
      </c>
      <c r="T327" s="10">
        <f>IF(Q327="","",Q327-S327)</f>
        <v/>
      </c>
    </row>
    <row r="328">
      <c r="A328" s="7">
        <f>CONCATENATE(C328,E328,F328,I328)</f>
        <v/>
      </c>
      <c r="B328" s="7">
        <f>CONCATENATE(C328,E328,I328)</f>
        <v/>
      </c>
      <c r="C328" s="8" t="n">
        <v>900007603</v>
      </c>
      <c r="D328" s="7">
        <f>IFERROR(VLOOKUP(C328,TRAOPE!$G:$H,2,0),"")</f>
        <v/>
      </c>
      <c r="E328" s="8" t="inlineStr">
        <is>
          <t>DW55</t>
        </is>
      </c>
      <c r="F328" s="8" t="inlineStr">
        <is>
          <t>D284</t>
        </is>
      </c>
      <c r="G328" s="8">
        <f>IFERROR(VLOOKUP(A328,Flete!$A:$E,5,0),"")</f>
        <v/>
      </c>
      <c r="H328" s="7">
        <f>IFERROR(VLOOKUP(F328,TRAOPE!$AA:$AB,2,0),"")</f>
        <v/>
      </c>
      <c r="I328" s="7" t="n">
        <v>10123034</v>
      </c>
      <c r="J328" s="7">
        <f>IFERROR(VLOOKUP(I328,Materiales!$A:$H,8,0),"")</f>
        <v/>
      </c>
      <c r="K328" s="9">
        <f>IFERROR(VLOOKUP(I328,Materiales!$A:$G,7,0),"")</f>
        <v/>
      </c>
      <c r="L328" s="8" t="inlineStr">
        <is>
          <t>20250428</t>
        </is>
      </c>
      <c r="M328" s="8" t="inlineStr">
        <is>
          <t>20251031</t>
        </is>
      </c>
      <c r="N328" s="10" t="n">
        <v>98.17</v>
      </c>
      <c r="O328" s="10">
        <f>IFERROR(VLOOKUP(A328,Flete!$A:$J,10,0),"")</f>
        <v/>
      </c>
      <c r="P328" s="8" t="inlineStr">
        <is>
          <t>TN</t>
        </is>
      </c>
      <c r="Q328" s="10">
        <f>IFERROR(IFERROR(VLOOKUP(A328,TRAOPE!$A:$U,21,0),VLOOKUP(B328,TRAOPE!$A:$U,21,0)),"")</f>
        <v/>
      </c>
      <c r="R328" s="8">
        <f>IFERROR(IFERROR(VLOOKUP(A328,TRAOPE!$A:$W,23,0),VLOOKUP(B328,TRAOPE!$A:$W,23,0)),"")</f>
        <v/>
      </c>
      <c r="S328" s="10">
        <f>IF(AND(P328="TN",R328="TN"),N328+N(O328),IF(G328&amp;""="1",N(K328)*N328,(N328+N(O328))*N(K328)))</f>
        <v/>
      </c>
      <c r="T328" s="10">
        <f>IF(Q328="","",Q328-S328)</f>
        <v/>
      </c>
    </row>
    <row r="329">
      <c r="A329" s="7">
        <f>CONCATENATE(C329,E329,F329,I329)</f>
        <v/>
      </c>
      <c r="B329" s="7">
        <f>CONCATENATE(C329,E329,I329)</f>
        <v/>
      </c>
      <c r="C329" s="8" t="n">
        <v>900007603</v>
      </c>
      <c r="D329" s="7">
        <f>IFERROR(VLOOKUP(C329,TRAOPE!$G:$H,2,0),"")</f>
        <v/>
      </c>
      <c r="E329" s="8" t="inlineStr">
        <is>
          <t>DW55</t>
        </is>
      </c>
      <c r="F329" s="8" t="inlineStr">
        <is>
          <t>D309</t>
        </is>
      </c>
      <c r="G329" s="8">
        <f>IFERROR(VLOOKUP(A329,Flete!$A:$E,5,0),"")</f>
        <v/>
      </c>
      <c r="H329" s="7">
        <f>IFERROR(VLOOKUP(F329,TRAOPE!$AA:$AB,2,0),"")</f>
        <v/>
      </c>
      <c r="I329" s="7" t="n">
        <v>10000372</v>
      </c>
      <c r="J329" s="7">
        <f>IFERROR(VLOOKUP(I329,Materiales!$A:$H,8,0),"")</f>
        <v/>
      </c>
      <c r="K329" s="9">
        <f>IFERROR(VLOOKUP(I329,Materiales!$A:$G,7,0),"")</f>
        <v/>
      </c>
      <c r="L329" s="8" t="inlineStr">
        <is>
          <t>20220504</t>
        </is>
      </c>
      <c r="M329" s="8" t="inlineStr">
        <is>
          <t>20251031</t>
        </is>
      </c>
      <c r="N329" s="10" t="n">
        <v>198.2</v>
      </c>
      <c r="O329" s="10">
        <f>IFERROR(VLOOKUP(A329,Flete!$A:$J,10,0),"")</f>
        <v/>
      </c>
      <c r="P329" s="8" t="inlineStr">
        <is>
          <t>TN</t>
        </is>
      </c>
      <c r="Q329" s="10">
        <f>IFERROR(IFERROR(VLOOKUP(A329,TRAOPE!$A:$U,21,0),VLOOKUP(B329,TRAOPE!$A:$U,21,0)),"")</f>
        <v/>
      </c>
      <c r="R329" s="8">
        <f>IFERROR(IFERROR(VLOOKUP(A329,TRAOPE!$A:$W,23,0),VLOOKUP(B329,TRAOPE!$A:$W,23,0)),"")</f>
        <v/>
      </c>
      <c r="S329" s="10">
        <f>IF(AND(P329="TN",R329="TN"),N329+N(O329),IF(G329&amp;""="1",N(K329)*N329,(N329+N(O329))*N(K329)))</f>
        <v/>
      </c>
      <c r="T329" s="10">
        <f>IF(Q329="","",Q329-S329)</f>
        <v/>
      </c>
    </row>
    <row r="330">
      <c r="A330" s="7">
        <f>CONCATENATE(C330,E330,F330,I330)</f>
        <v/>
      </c>
      <c r="B330" s="7">
        <f>CONCATENATE(C330,E330,I330)</f>
        <v/>
      </c>
      <c r="C330" s="8" t="n">
        <v>900007603</v>
      </c>
      <c r="D330" s="7">
        <f>IFERROR(VLOOKUP(C330,TRAOPE!$G:$H,2,0),"")</f>
        <v/>
      </c>
      <c r="E330" s="8" t="inlineStr">
        <is>
          <t>DW55</t>
        </is>
      </c>
      <c r="F330" s="8" t="inlineStr">
        <is>
          <t>D309</t>
        </is>
      </c>
      <c r="G330" s="8">
        <f>IFERROR(VLOOKUP(A330,Flete!$A:$E,5,0),"")</f>
        <v/>
      </c>
      <c r="H330" s="7">
        <f>IFERROR(VLOOKUP(F330,TRAOPE!$AA:$AB,2,0),"")</f>
        <v/>
      </c>
      <c r="I330" s="7" t="n">
        <v>10000623</v>
      </c>
      <c r="J330" s="7">
        <f>IFERROR(VLOOKUP(I330,Materiales!$A:$H,8,0),"")</f>
        <v/>
      </c>
      <c r="K330" s="9">
        <f>IFERROR(VLOOKUP(I330,Materiales!$A:$G,7,0),"")</f>
        <v/>
      </c>
      <c r="L330" s="8" t="inlineStr">
        <is>
          <t>20250626</t>
        </is>
      </c>
      <c r="M330" s="8" t="inlineStr">
        <is>
          <t>20260420</t>
        </is>
      </c>
      <c r="N330" s="10" t="n">
        <v>297.87</v>
      </c>
      <c r="O330" s="10">
        <f>IFERROR(VLOOKUP(A330,Flete!$A:$J,10,0),"")</f>
        <v/>
      </c>
      <c r="P330" s="8" t="inlineStr">
        <is>
          <t>TN</t>
        </is>
      </c>
      <c r="Q330" s="10">
        <f>IFERROR(IFERROR(VLOOKUP(A330,TRAOPE!$A:$U,21,0),VLOOKUP(B330,TRAOPE!$A:$U,21,0)),"")</f>
        <v/>
      </c>
      <c r="R330" s="8">
        <f>IFERROR(IFERROR(VLOOKUP(A330,TRAOPE!$A:$W,23,0),VLOOKUP(B330,TRAOPE!$A:$W,23,0)),"")</f>
        <v/>
      </c>
      <c r="S330" s="10">
        <f>IF(AND(P330="TN",R330="TN"),N330+N(O330),IF(G330&amp;""="1",N(K330)*N330,(N330+N(O330))*N(K330)))</f>
        <v/>
      </c>
      <c r="T330" s="10">
        <f>IF(Q330="","",Q330-S330)</f>
        <v/>
      </c>
    </row>
    <row r="331">
      <c r="A331" s="7">
        <f>CONCATENATE(C331,E331,F331,I331)</f>
        <v/>
      </c>
      <c r="B331" s="7">
        <f>CONCATENATE(C331,E331,I331)</f>
        <v/>
      </c>
      <c r="C331" s="8" t="n">
        <v>900007603</v>
      </c>
      <c r="D331" s="7">
        <f>IFERROR(VLOOKUP(C331,TRAOPE!$G:$H,2,0),"")</f>
        <v/>
      </c>
      <c r="E331" s="8" t="inlineStr">
        <is>
          <t>DW55</t>
        </is>
      </c>
      <c r="F331" s="8" t="inlineStr">
        <is>
          <t>D309</t>
        </is>
      </c>
      <c r="G331" s="8">
        <f>IFERROR(VLOOKUP(A331,Flete!$A:$E,5,0),"")</f>
        <v/>
      </c>
      <c r="H331" s="7">
        <f>IFERROR(VLOOKUP(F331,TRAOPE!$AA:$AB,2,0),"")</f>
        <v/>
      </c>
      <c r="I331" s="7" t="n">
        <v>10123034</v>
      </c>
      <c r="J331" s="7">
        <f>IFERROR(VLOOKUP(I331,Materiales!$A:$H,8,0),"")</f>
        <v/>
      </c>
      <c r="K331" s="9">
        <f>IFERROR(VLOOKUP(I331,Materiales!$A:$G,7,0),"")</f>
        <v/>
      </c>
      <c r="L331" s="8" t="inlineStr">
        <is>
          <t>20260421</t>
        </is>
      </c>
      <c r="M331" s="8" t="inlineStr">
        <is>
          <t>20260421</t>
        </is>
      </c>
      <c r="N331" s="10" t="n">
        <v>98.17</v>
      </c>
      <c r="O331" s="10">
        <f>IFERROR(VLOOKUP(A331,Flete!$A:$J,10,0),"")</f>
        <v/>
      </c>
      <c r="P331" s="8" t="inlineStr">
        <is>
          <t>TN</t>
        </is>
      </c>
      <c r="Q331" s="10">
        <f>IFERROR(IFERROR(VLOOKUP(A331,TRAOPE!$A:$U,21,0),VLOOKUP(B331,TRAOPE!$A:$U,21,0)),"")</f>
        <v/>
      </c>
      <c r="R331" s="8">
        <f>IFERROR(IFERROR(VLOOKUP(A331,TRAOPE!$A:$W,23,0),VLOOKUP(B331,TRAOPE!$A:$W,23,0)),"")</f>
        <v/>
      </c>
      <c r="S331" s="10">
        <f>IF(AND(P331="TN",R331="TN"),N331+N(O331),IF(G331&amp;""="1",N(K331)*N331,(N331+N(O331))*N(K331)))</f>
        <v/>
      </c>
      <c r="T331" s="10">
        <f>IF(Q331="","",Q331-S331)</f>
        <v/>
      </c>
    </row>
    <row r="332">
      <c r="A332" s="7">
        <f>CONCATENATE(C332,E332,F332,I332)</f>
        <v/>
      </c>
      <c r="B332" s="7">
        <f>CONCATENATE(C332,E332,I332)</f>
        <v/>
      </c>
      <c r="C332" s="8" t="n">
        <v>900007603</v>
      </c>
      <c r="D332" s="7">
        <f>IFERROR(VLOOKUP(C332,TRAOPE!$G:$H,2,0),"")</f>
        <v/>
      </c>
      <c r="E332" s="8" t="inlineStr">
        <is>
          <t>DW55</t>
        </is>
      </c>
      <c r="F332" s="8" t="inlineStr">
        <is>
          <t>D325</t>
        </is>
      </c>
      <c r="G332" s="8">
        <f>IFERROR(VLOOKUP(A332,Flete!$A:$E,5,0),"")</f>
        <v/>
      </c>
      <c r="H332" s="7">
        <f>IFERROR(VLOOKUP(F332,TRAOPE!$AA:$AB,2,0),"")</f>
        <v/>
      </c>
      <c r="I332" s="7" t="n">
        <v>10000372</v>
      </c>
      <c r="J332" s="7">
        <f>IFERROR(VLOOKUP(I332,Materiales!$A:$H,8,0),"")</f>
        <v/>
      </c>
      <c r="K332" s="9">
        <f>IFERROR(VLOOKUP(I332,Materiales!$A:$G,7,0),"")</f>
        <v/>
      </c>
      <c r="L332" s="8" t="inlineStr">
        <is>
          <t>20250428</t>
        </is>
      </c>
      <c r="M332" s="8" t="inlineStr">
        <is>
          <t>20251031</t>
        </is>
      </c>
      <c r="N332" s="10" t="n">
        <v>198.2</v>
      </c>
      <c r="O332" s="10">
        <f>IFERROR(VLOOKUP(A332,Flete!$A:$J,10,0),"")</f>
        <v/>
      </c>
      <c r="P332" s="8" t="inlineStr">
        <is>
          <t>TN</t>
        </is>
      </c>
      <c r="Q332" s="10">
        <f>IFERROR(IFERROR(VLOOKUP(A332,TRAOPE!$A:$U,21,0),VLOOKUP(B332,TRAOPE!$A:$U,21,0)),"")</f>
        <v/>
      </c>
      <c r="R332" s="8">
        <f>IFERROR(IFERROR(VLOOKUP(A332,TRAOPE!$A:$W,23,0),VLOOKUP(B332,TRAOPE!$A:$W,23,0)),"")</f>
        <v/>
      </c>
      <c r="S332" s="10">
        <f>IF(AND(P332="TN",R332="TN"),N332+N(O332),IF(G332&amp;""="1",N(K332)*N332,(N332+N(O332))*N(K332)))</f>
        <v/>
      </c>
      <c r="T332" s="10">
        <f>IF(Q332="","",Q332-S332)</f>
        <v/>
      </c>
    </row>
    <row r="333">
      <c r="A333" s="7">
        <f>CONCATENATE(C333,E333,F333,I333)</f>
        <v/>
      </c>
      <c r="B333" s="7">
        <f>CONCATENATE(C333,E333,I333)</f>
        <v/>
      </c>
      <c r="C333" s="8" t="n">
        <v>900007603</v>
      </c>
      <c r="D333" s="7">
        <f>IFERROR(VLOOKUP(C333,TRAOPE!$G:$H,2,0),"")</f>
        <v/>
      </c>
      <c r="E333" s="8" t="inlineStr">
        <is>
          <t>DW55</t>
        </is>
      </c>
      <c r="F333" s="8" t="inlineStr">
        <is>
          <t>D325</t>
        </is>
      </c>
      <c r="G333" s="8">
        <f>IFERROR(VLOOKUP(A333,Flete!$A:$E,5,0),"")</f>
        <v/>
      </c>
      <c r="H333" s="7">
        <f>IFERROR(VLOOKUP(F333,TRAOPE!$AA:$AB,2,0),"")</f>
        <v/>
      </c>
      <c r="I333" s="7" t="n">
        <v>10000373</v>
      </c>
      <c r="J333" s="7">
        <f>IFERROR(VLOOKUP(I333,Materiales!$A:$H,8,0),"")</f>
        <v/>
      </c>
      <c r="K333" s="9">
        <f>IFERROR(VLOOKUP(I333,Materiales!$A:$G,7,0),"")</f>
        <v/>
      </c>
      <c r="L333" s="8" t="inlineStr">
        <is>
          <t>20220715</t>
        </is>
      </c>
      <c r="M333" s="8" t="inlineStr">
        <is>
          <t>20240930</t>
        </is>
      </c>
      <c r="N333" s="10" t="n">
        <v>344.09</v>
      </c>
      <c r="O333" s="10">
        <f>IFERROR(VLOOKUP(A333,Flete!$A:$J,10,0),"")</f>
        <v/>
      </c>
      <c r="P333" s="8" t="inlineStr">
        <is>
          <t>TN</t>
        </is>
      </c>
      <c r="Q333" s="10">
        <f>IFERROR(IFERROR(VLOOKUP(A333,TRAOPE!$A:$U,21,0),VLOOKUP(B333,TRAOPE!$A:$U,21,0)),"")</f>
        <v/>
      </c>
      <c r="R333" s="8">
        <f>IFERROR(IFERROR(VLOOKUP(A333,TRAOPE!$A:$W,23,0),VLOOKUP(B333,TRAOPE!$A:$W,23,0)),"")</f>
        <v/>
      </c>
      <c r="S333" s="10">
        <f>IF(AND(P333="TN",R333="TN"),N333+N(O333),IF(G333&amp;""="1",N(K333)*N333,(N333+N(O333))*N(K333)))</f>
        <v/>
      </c>
      <c r="T333" s="10">
        <f>IF(Q333="","",Q333-S333)</f>
        <v/>
      </c>
    </row>
    <row r="334">
      <c r="A334" s="7">
        <f>CONCATENATE(C334,E334,F334,I334)</f>
        <v/>
      </c>
      <c r="B334" s="7">
        <f>CONCATENATE(C334,E334,I334)</f>
        <v/>
      </c>
      <c r="C334" s="8" t="n">
        <v>900007603</v>
      </c>
      <c r="D334" s="7">
        <f>IFERROR(VLOOKUP(C334,TRAOPE!$G:$H,2,0),"")</f>
        <v/>
      </c>
      <c r="E334" s="8" t="inlineStr">
        <is>
          <t>DW55</t>
        </is>
      </c>
      <c r="F334" s="8" t="inlineStr">
        <is>
          <t>D325</t>
        </is>
      </c>
      <c r="G334" s="8">
        <f>IFERROR(VLOOKUP(A334,Flete!$A:$E,5,0),"")</f>
        <v/>
      </c>
      <c r="H334" s="7">
        <f>IFERROR(VLOOKUP(F334,TRAOPE!$AA:$AB,2,0),"")</f>
        <v/>
      </c>
      <c r="I334" s="7" t="n">
        <v>10000623</v>
      </c>
      <c r="J334" s="7">
        <f>IFERROR(VLOOKUP(I334,Materiales!$A:$H,8,0),"")</f>
        <v/>
      </c>
      <c r="K334" s="9">
        <f>IFERROR(VLOOKUP(I334,Materiales!$A:$G,7,0),"")</f>
        <v/>
      </c>
      <c r="L334" s="8" t="inlineStr">
        <is>
          <t>20250626</t>
        </is>
      </c>
      <c r="M334" s="8" t="inlineStr">
        <is>
          <t>20260420</t>
        </is>
      </c>
      <c r="N334" s="10" t="n">
        <v>297.87</v>
      </c>
      <c r="O334" s="10">
        <f>IFERROR(VLOOKUP(A334,Flete!$A:$J,10,0),"")</f>
        <v/>
      </c>
      <c r="P334" s="8" t="inlineStr">
        <is>
          <t>TN</t>
        </is>
      </c>
      <c r="Q334" s="10">
        <f>IFERROR(IFERROR(VLOOKUP(A334,TRAOPE!$A:$U,21,0),VLOOKUP(B334,TRAOPE!$A:$U,21,0)),"")</f>
        <v/>
      </c>
      <c r="R334" s="8">
        <f>IFERROR(IFERROR(VLOOKUP(A334,TRAOPE!$A:$W,23,0),VLOOKUP(B334,TRAOPE!$A:$W,23,0)),"")</f>
        <v/>
      </c>
      <c r="S334" s="10">
        <f>IF(AND(P334="TN",R334="TN"),N334+N(O334),IF(G334&amp;""="1",N(K334)*N334,(N334+N(O334))*N(K334)))</f>
        <v/>
      </c>
      <c r="T334" s="10">
        <f>IF(Q334="","",Q334-S334)</f>
        <v/>
      </c>
    </row>
    <row r="335">
      <c r="A335" s="7">
        <f>CONCATENATE(C335,E335,F335,I335)</f>
        <v/>
      </c>
      <c r="B335" s="7">
        <f>CONCATENATE(C335,E335,I335)</f>
        <v/>
      </c>
      <c r="C335" s="8" t="n">
        <v>900007603</v>
      </c>
      <c r="D335" s="7">
        <f>IFERROR(VLOOKUP(C335,TRAOPE!$G:$H,2,0),"")</f>
        <v/>
      </c>
      <c r="E335" s="8" t="inlineStr">
        <is>
          <t>DW55</t>
        </is>
      </c>
      <c r="F335" s="8" t="inlineStr">
        <is>
          <t>D325</t>
        </is>
      </c>
      <c r="G335" s="8">
        <f>IFERROR(VLOOKUP(A335,Flete!$A:$E,5,0),"")</f>
        <v/>
      </c>
      <c r="H335" s="7">
        <f>IFERROR(VLOOKUP(F335,TRAOPE!$AA:$AB,2,0),"")</f>
        <v/>
      </c>
      <c r="I335" s="7" t="n">
        <v>10123034</v>
      </c>
      <c r="J335" s="7">
        <f>IFERROR(VLOOKUP(I335,Materiales!$A:$H,8,0),"")</f>
        <v/>
      </c>
      <c r="K335" s="9">
        <f>IFERROR(VLOOKUP(I335,Materiales!$A:$G,7,0),"")</f>
        <v/>
      </c>
      <c r="L335" s="8" t="inlineStr">
        <is>
          <t>20250428</t>
        </is>
      </c>
      <c r="M335" s="8" t="inlineStr">
        <is>
          <t>20251031</t>
        </is>
      </c>
      <c r="N335" s="10" t="n">
        <v>98.17</v>
      </c>
      <c r="O335" s="10">
        <f>IFERROR(VLOOKUP(A335,Flete!$A:$J,10,0),"")</f>
        <v/>
      </c>
      <c r="P335" s="8" t="inlineStr">
        <is>
          <t>TN</t>
        </is>
      </c>
      <c r="Q335" s="10">
        <f>IFERROR(IFERROR(VLOOKUP(A335,TRAOPE!$A:$U,21,0),VLOOKUP(B335,TRAOPE!$A:$U,21,0)),"")</f>
        <v/>
      </c>
      <c r="R335" s="8">
        <f>IFERROR(IFERROR(VLOOKUP(A335,TRAOPE!$A:$W,23,0),VLOOKUP(B335,TRAOPE!$A:$W,23,0)),"")</f>
        <v/>
      </c>
      <c r="S335" s="10">
        <f>IF(AND(P335="TN",R335="TN"),N335+N(O335),IF(G335&amp;""="1",N(K335)*N335,(N335+N(O335))*N(K335)))</f>
        <v/>
      </c>
      <c r="T335" s="10">
        <f>IF(Q335="","",Q335-S335)</f>
        <v/>
      </c>
    </row>
    <row r="336">
      <c r="A336" s="7">
        <f>CONCATENATE(C336,E336,F336,I336)</f>
        <v/>
      </c>
      <c r="B336" s="7">
        <f>CONCATENATE(C336,E336,I336)</f>
        <v/>
      </c>
      <c r="C336" s="8" t="n">
        <v>900007603</v>
      </c>
      <c r="D336" s="7">
        <f>IFERROR(VLOOKUP(C336,TRAOPE!$G:$H,2,0),"")</f>
        <v/>
      </c>
      <c r="E336" s="8" t="inlineStr">
        <is>
          <t>DW55</t>
        </is>
      </c>
      <c r="F336" s="8" t="inlineStr">
        <is>
          <t>D342</t>
        </is>
      </c>
      <c r="G336" s="8">
        <f>IFERROR(VLOOKUP(A336,Flete!$A:$E,5,0),"")</f>
        <v/>
      </c>
      <c r="H336" s="7">
        <f>IFERROR(VLOOKUP(F336,TRAOPE!$AA:$AB,2,0),"")</f>
        <v/>
      </c>
      <c r="I336" s="7" t="n">
        <v>10000372</v>
      </c>
      <c r="J336" s="7">
        <f>IFERROR(VLOOKUP(I336,Materiales!$A:$H,8,0),"")</f>
        <v/>
      </c>
      <c r="K336" s="9">
        <f>IFERROR(VLOOKUP(I336,Materiales!$A:$G,7,0),"")</f>
        <v/>
      </c>
      <c r="L336" s="8" t="inlineStr">
        <is>
          <t>20220504</t>
        </is>
      </c>
      <c r="M336" s="8" t="inlineStr">
        <is>
          <t>20251031</t>
        </is>
      </c>
      <c r="N336" s="10" t="n">
        <v>198.2</v>
      </c>
      <c r="O336" s="10">
        <f>IFERROR(VLOOKUP(A336,Flete!$A:$J,10,0),"")</f>
        <v/>
      </c>
      <c r="P336" s="8" t="inlineStr">
        <is>
          <t>TN</t>
        </is>
      </c>
      <c r="Q336" s="10">
        <f>IFERROR(IFERROR(VLOOKUP(A336,TRAOPE!$A:$U,21,0),VLOOKUP(B336,TRAOPE!$A:$U,21,0)),"")</f>
        <v/>
      </c>
      <c r="R336" s="8">
        <f>IFERROR(IFERROR(VLOOKUP(A336,TRAOPE!$A:$W,23,0),VLOOKUP(B336,TRAOPE!$A:$W,23,0)),"")</f>
        <v/>
      </c>
      <c r="S336" s="10">
        <f>IF(AND(P336="TN",R336="TN"),N336+N(O336),IF(G336&amp;""="1",N(K336)*N336,(N336+N(O336))*N(K336)))</f>
        <v/>
      </c>
      <c r="T336" s="10">
        <f>IF(Q336="","",Q336-S336)</f>
        <v/>
      </c>
    </row>
    <row r="337">
      <c r="A337" s="7">
        <f>CONCATENATE(C337,E337,F337,I337)</f>
        <v/>
      </c>
      <c r="B337" s="7">
        <f>CONCATENATE(C337,E337,I337)</f>
        <v/>
      </c>
      <c r="C337" s="8" t="n">
        <v>900007603</v>
      </c>
      <c r="D337" s="7">
        <f>IFERROR(VLOOKUP(C337,TRAOPE!$G:$H,2,0),"")</f>
        <v/>
      </c>
      <c r="E337" s="8" t="inlineStr">
        <is>
          <t>DW55</t>
        </is>
      </c>
      <c r="F337" s="8" t="inlineStr">
        <is>
          <t>D342</t>
        </is>
      </c>
      <c r="G337" s="8">
        <f>IFERROR(VLOOKUP(A337,Flete!$A:$E,5,0),"")</f>
        <v/>
      </c>
      <c r="H337" s="7">
        <f>IFERROR(VLOOKUP(F337,TRAOPE!$AA:$AB,2,0),"")</f>
        <v/>
      </c>
      <c r="I337" s="7" t="n">
        <v>10000623</v>
      </c>
      <c r="J337" s="7">
        <f>IFERROR(VLOOKUP(I337,Materiales!$A:$H,8,0),"")</f>
        <v/>
      </c>
      <c r="K337" s="9">
        <f>IFERROR(VLOOKUP(I337,Materiales!$A:$G,7,0),"")</f>
        <v/>
      </c>
      <c r="L337" s="8" t="inlineStr">
        <is>
          <t>20250626</t>
        </is>
      </c>
      <c r="M337" s="8" t="inlineStr">
        <is>
          <t>20260420</t>
        </is>
      </c>
      <c r="N337" s="10" t="n">
        <v>297.87</v>
      </c>
      <c r="O337" s="10">
        <f>IFERROR(VLOOKUP(A337,Flete!$A:$J,10,0),"")</f>
        <v/>
      </c>
      <c r="P337" s="8" t="inlineStr">
        <is>
          <t>TN</t>
        </is>
      </c>
      <c r="Q337" s="10">
        <f>IFERROR(IFERROR(VLOOKUP(A337,TRAOPE!$A:$U,21,0),VLOOKUP(B337,TRAOPE!$A:$U,21,0)),"")</f>
        <v/>
      </c>
      <c r="R337" s="8">
        <f>IFERROR(IFERROR(VLOOKUP(A337,TRAOPE!$A:$W,23,0),VLOOKUP(B337,TRAOPE!$A:$W,23,0)),"")</f>
        <v/>
      </c>
      <c r="S337" s="10">
        <f>IF(AND(P337="TN",R337="TN"),N337+N(O337),IF(G337&amp;""="1",N(K337)*N337,(N337+N(O337))*N(K337)))</f>
        <v/>
      </c>
      <c r="T337" s="10">
        <f>IF(Q337="","",Q337-S337)</f>
        <v/>
      </c>
    </row>
    <row r="338">
      <c r="A338" s="7">
        <f>CONCATENATE(C338,E338,F338,I338)</f>
        <v/>
      </c>
      <c r="B338" s="7">
        <f>CONCATENATE(C338,E338,I338)</f>
        <v/>
      </c>
      <c r="C338" s="8" t="n">
        <v>900007603</v>
      </c>
      <c r="D338" s="7">
        <f>IFERROR(VLOOKUP(C338,TRAOPE!$G:$H,2,0),"")</f>
        <v/>
      </c>
      <c r="E338" s="8" t="inlineStr">
        <is>
          <t>DW55</t>
        </is>
      </c>
      <c r="F338" s="8" t="inlineStr">
        <is>
          <t>D342</t>
        </is>
      </c>
      <c r="G338" s="8">
        <f>IFERROR(VLOOKUP(A338,Flete!$A:$E,5,0),"")</f>
        <v/>
      </c>
      <c r="H338" s="7">
        <f>IFERROR(VLOOKUP(F338,TRAOPE!$AA:$AB,2,0),"")</f>
        <v/>
      </c>
      <c r="I338" s="7" t="n">
        <v>10123034</v>
      </c>
      <c r="J338" s="7">
        <f>IFERROR(VLOOKUP(I338,Materiales!$A:$H,8,0),"")</f>
        <v/>
      </c>
      <c r="K338" s="9">
        <f>IFERROR(VLOOKUP(I338,Materiales!$A:$G,7,0),"")</f>
        <v/>
      </c>
      <c r="L338" s="8" t="inlineStr">
        <is>
          <t>20250428</t>
        </is>
      </c>
      <c r="M338" s="8" t="inlineStr">
        <is>
          <t>20251031</t>
        </is>
      </c>
      <c r="N338" s="10" t="n">
        <v>98.17</v>
      </c>
      <c r="O338" s="10">
        <f>IFERROR(VLOOKUP(A338,Flete!$A:$J,10,0),"")</f>
        <v/>
      </c>
      <c r="P338" s="8" t="inlineStr">
        <is>
          <t>TN</t>
        </is>
      </c>
      <c r="Q338" s="10">
        <f>IFERROR(IFERROR(VLOOKUP(A338,TRAOPE!$A:$U,21,0),VLOOKUP(B338,TRAOPE!$A:$U,21,0)),"")</f>
        <v/>
      </c>
      <c r="R338" s="8">
        <f>IFERROR(IFERROR(VLOOKUP(A338,TRAOPE!$A:$W,23,0),VLOOKUP(B338,TRAOPE!$A:$W,23,0)),"")</f>
        <v/>
      </c>
      <c r="S338" s="10">
        <f>IF(AND(P338="TN",R338="TN"),N338+N(O338),IF(G338&amp;""="1",N(K338)*N338,(N338+N(O338))*N(K338)))</f>
        <v/>
      </c>
      <c r="T338" s="10">
        <f>IF(Q338="","",Q338-S338)</f>
        <v/>
      </c>
    </row>
    <row r="339">
      <c r="A339" s="7">
        <f>CONCATENATE(C339,E339,F339,I339)</f>
        <v/>
      </c>
      <c r="B339" s="7">
        <f>CONCATENATE(C339,E339,I339)</f>
        <v/>
      </c>
      <c r="C339" s="8" t="n">
        <v>900007603</v>
      </c>
      <c r="D339" s="7">
        <f>IFERROR(VLOOKUP(C339,TRAOPE!$G:$H,2,0),"")</f>
        <v/>
      </c>
      <c r="E339" s="8" t="inlineStr">
        <is>
          <t>DW55</t>
        </is>
      </c>
      <c r="F339" s="8" t="inlineStr">
        <is>
          <t>D348</t>
        </is>
      </c>
      <c r="G339" s="8">
        <f>IFERROR(VLOOKUP(A339,Flete!$A:$E,5,0),"")</f>
        <v/>
      </c>
      <c r="H339" s="7">
        <f>IFERROR(VLOOKUP(F339,TRAOPE!$AA:$AB,2,0),"")</f>
        <v/>
      </c>
      <c r="I339" s="7" t="n">
        <v>10000372</v>
      </c>
      <c r="J339" s="7">
        <f>IFERROR(VLOOKUP(I339,Materiales!$A:$H,8,0),"")</f>
        <v/>
      </c>
      <c r="K339" s="9">
        <f>IFERROR(VLOOKUP(I339,Materiales!$A:$G,7,0),"")</f>
        <v/>
      </c>
      <c r="L339" s="8" t="inlineStr">
        <is>
          <t>20250428</t>
        </is>
      </c>
      <c r="M339" s="8" t="inlineStr">
        <is>
          <t>20251031</t>
        </is>
      </c>
      <c r="N339" s="10" t="n">
        <v>198.2</v>
      </c>
      <c r="O339" s="10">
        <f>IFERROR(VLOOKUP(A339,Flete!$A:$J,10,0),"")</f>
        <v/>
      </c>
      <c r="P339" s="8" t="inlineStr">
        <is>
          <t>TN</t>
        </is>
      </c>
      <c r="Q339" s="10">
        <f>IFERROR(IFERROR(VLOOKUP(A339,TRAOPE!$A:$U,21,0),VLOOKUP(B339,TRAOPE!$A:$U,21,0)),"")</f>
        <v/>
      </c>
      <c r="R339" s="8">
        <f>IFERROR(IFERROR(VLOOKUP(A339,TRAOPE!$A:$W,23,0),VLOOKUP(B339,TRAOPE!$A:$W,23,0)),"")</f>
        <v/>
      </c>
      <c r="S339" s="10">
        <f>IF(AND(P339="TN",R339="TN"),N339+N(O339),IF(G339&amp;""="1",N(K339)*N339,(N339+N(O339))*N(K339)))</f>
        <v/>
      </c>
      <c r="T339" s="10">
        <f>IF(Q339="","",Q339-S339)</f>
        <v/>
      </c>
    </row>
    <row r="340">
      <c r="A340" s="7">
        <f>CONCATENATE(C340,E340,F340,I340)</f>
        <v/>
      </c>
      <c r="B340" s="7">
        <f>CONCATENATE(C340,E340,I340)</f>
        <v/>
      </c>
      <c r="C340" s="8" t="n">
        <v>900007603</v>
      </c>
      <c r="D340" s="7">
        <f>IFERROR(VLOOKUP(C340,TRAOPE!$G:$H,2,0),"")</f>
        <v/>
      </c>
      <c r="E340" s="8" t="inlineStr">
        <is>
          <t>DW55</t>
        </is>
      </c>
      <c r="F340" s="8" t="inlineStr">
        <is>
          <t>D348</t>
        </is>
      </c>
      <c r="G340" s="8">
        <f>IFERROR(VLOOKUP(A340,Flete!$A:$E,5,0),"")</f>
        <v/>
      </c>
      <c r="H340" s="7">
        <f>IFERROR(VLOOKUP(F340,TRAOPE!$AA:$AB,2,0),"")</f>
        <v/>
      </c>
      <c r="I340" s="7" t="n">
        <v>10000373</v>
      </c>
      <c r="J340" s="7">
        <f>IFERROR(VLOOKUP(I340,Materiales!$A:$H,8,0),"")</f>
        <v/>
      </c>
      <c r="K340" s="9">
        <f>IFERROR(VLOOKUP(I340,Materiales!$A:$G,7,0),"")</f>
        <v/>
      </c>
      <c r="L340" s="8" t="inlineStr">
        <is>
          <t>20220715</t>
        </is>
      </c>
      <c r="M340" s="8" t="inlineStr">
        <is>
          <t>20240930</t>
        </is>
      </c>
      <c r="N340" s="10" t="n">
        <v>344.09</v>
      </c>
      <c r="O340" s="10">
        <f>IFERROR(VLOOKUP(A340,Flete!$A:$J,10,0),"")</f>
        <v/>
      </c>
      <c r="P340" s="8" t="inlineStr">
        <is>
          <t>TN</t>
        </is>
      </c>
      <c r="Q340" s="10">
        <f>IFERROR(IFERROR(VLOOKUP(A340,TRAOPE!$A:$U,21,0),VLOOKUP(B340,TRAOPE!$A:$U,21,0)),"")</f>
        <v/>
      </c>
      <c r="R340" s="8">
        <f>IFERROR(IFERROR(VLOOKUP(A340,TRAOPE!$A:$W,23,0),VLOOKUP(B340,TRAOPE!$A:$W,23,0)),"")</f>
        <v/>
      </c>
      <c r="S340" s="10">
        <f>IF(AND(P340="TN",R340="TN"),N340+N(O340),IF(G340&amp;""="1",N(K340)*N340,(N340+N(O340))*N(K340)))</f>
        <v/>
      </c>
      <c r="T340" s="10">
        <f>IF(Q340="","",Q340-S340)</f>
        <v/>
      </c>
    </row>
    <row r="341">
      <c r="A341" s="7">
        <f>CONCATENATE(C341,E341,F341,I341)</f>
        <v/>
      </c>
      <c r="B341" s="7">
        <f>CONCATENATE(C341,E341,I341)</f>
        <v/>
      </c>
      <c r="C341" s="8" t="n">
        <v>900007603</v>
      </c>
      <c r="D341" s="7">
        <f>IFERROR(VLOOKUP(C341,TRAOPE!$G:$H,2,0),"")</f>
        <v/>
      </c>
      <c r="E341" s="8" t="inlineStr">
        <is>
          <t>DW55</t>
        </is>
      </c>
      <c r="F341" s="8" t="inlineStr">
        <is>
          <t>ER67</t>
        </is>
      </c>
      <c r="G341" s="8">
        <f>IFERROR(VLOOKUP(A341,Flete!$A:$E,5,0),"")</f>
        <v/>
      </c>
      <c r="H341" s="7">
        <f>IFERROR(VLOOKUP(F341,TRAOPE!$AA:$AB,2,0),"")</f>
        <v/>
      </c>
      <c r="I341" s="7" t="n">
        <v>10000372</v>
      </c>
      <c r="J341" s="7">
        <f>IFERROR(VLOOKUP(I341,Materiales!$A:$H,8,0),"")</f>
        <v/>
      </c>
      <c r="K341" s="9">
        <f>IFERROR(VLOOKUP(I341,Materiales!$A:$G,7,0),"")</f>
        <v/>
      </c>
      <c r="L341" s="8" t="inlineStr">
        <is>
          <t>20220504</t>
        </is>
      </c>
      <c r="M341" s="8" t="inlineStr">
        <is>
          <t>20230127</t>
        </is>
      </c>
      <c r="N341" s="10" t="n">
        <v>169.03</v>
      </c>
      <c r="O341" s="10">
        <f>IFERROR(VLOOKUP(A341,Flete!$A:$J,10,0),"")</f>
        <v/>
      </c>
      <c r="P341" s="8" t="inlineStr">
        <is>
          <t>TN</t>
        </is>
      </c>
      <c r="Q341" s="10">
        <f>IFERROR(IFERROR(VLOOKUP(A341,TRAOPE!$A:$U,21,0),VLOOKUP(B341,TRAOPE!$A:$U,21,0)),"")</f>
        <v/>
      </c>
      <c r="R341" s="8">
        <f>IFERROR(IFERROR(VLOOKUP(A341,TRAOPE!$A:$W,23,0),VLOOKUP(B341,TRAOPE!$A:$W,23,0)),"")</f>
        <v/>
      </c>
      <c r="S341" s="10">
        <f>IF(AND(P341="TN",R341="TN"),N341+N(O341),IF(G341&amp;""="1",N(K341)*N341,(N341+N(O341))*N(K341)))</f>
        <v/>
      </c>
      <c r="T341" s="10">
        <f>IF(Q341="","",Q341-S341)</f>
        <v/>
      </c>
    </row>
    <row r="342">
      <c r="A342" s="7">
        <f>CONCATENATE(C342,E342,F342,I342)</f>
        <v/>
      </c>
      <c r="B342" s="7">
        <f>CONCATENATE(C342,E342,I342)</f>
        <v/>
      </c>
      <c r="C342" s="8" t="n">
        <v>900007603</v>
      </c>
      <c r="D342" s="7">
        <f>IFERROR(VLOOKUP(C342,TRAOPE!$G:$H,2,0),"")</f>
        <v/>
      </c>
      <c r="E342" s="8" t="inlineStr">
        <is>
          <t>DW55</t>
        </is>
      </c>
      <c r="F342" s="8" t="inlineStr">
        <is>
          <t>ER68</t>
        </is>
      </c>
      <c r="G342" s="8">
        <f>IFERROR(VLOOKUP(A342,Flete!$A:$E,5,0),"")</f>
        <v/>
      </c>
      <c r="H342" s="7">
        <f>IFERROR(VLOOKUP(F342,TRAOPE!$AA:$AB,2,0),"")</f>
        <v/>
      </c>
      <c r="I342" s="7" t="n">
        <v>10210260</v>
      </c>
      <c r="J342" s="7">
        <f>IFERROR(VLOOKUP(I342,Materiales!$A:$H,8,0),"")</f>
        <v/>
      </c>
      <c r="K342" s="9">
        <f>IFERROR(VLOOKUP(I342,Materiales!$A:$G,7,0),"")</f>
        <v/>
      </c>
      <c r="L342" s="8" t="inlineStr">
        <is>
          <t>20220520</t>
        </is>
      </c>
      <c r="M342" s="8" t="inlineStr">
        <is>
          <t>20240717</t>
        </is>
      </c>
      <c r="N342" s="10" t="n">
        <v>164.16</v>
      </c>
      <c r="O342" s="10">
        <f>IFERROR(VLOOKUP(A342,Flete!$A:$J,10,0),"")</f>
        <v/>
      </c>
      <c r="P342" s="8" t="inlineStr">
        <is>
          <t>TN</t>
        </is>
      </c>
      <c r="Q342" s="10">
        <f>IFERROR(IFERROR(VLOOKUP(A342,TRAOPE!$A:$U,21,0),VLOOKUP(B342,TRAOPE!$A:$U,21,0)),"")</f>
        <v/>
      </c>
      <c r="R342" s="8">
        <f>IFERROR(IFERROR(VLOOKUP(A342,TRAOPE!$A:$W,23,0),VLOOKUP(B342,TRAOPE!$A:$W,23,0)),"")</f>
        <v/>
      </c>
      <c r="S342" s="10">
        <f>IF(AND(P342="TN",R342="TN"),N342+N(O342),IF(G342&amp;""="1",N(K342)*N342,(N342+N(O342))*N(K342)))</f>
        <v/>
      </c>
      <c r="T342" s="10">
        <f>IF(Q342="","",Q342-S342)</f>
        <v/>
      </c>
    </row>
    <row r="343">
      <c r="A343" s="7">
        <f>CONCATENATE(C343,E343,F343,I343)</f>
        <v/>
      </c>
      <c r="B343" s="7">
        <f>CONCATENATE(C343,E343,I343)</f>
        <v/>
      </c>
      <c r="C343" s="8" t="n">
        <v>900007604</v>
      </c>
      <c r="D343" s="7">
        <f>IFERROR(VLOOKUP(C343,TRAOPE!$G:$H,2,0),"")</f>
        <v/>
      </c>
      <c r="E343" s="8" t="inlineStr">
        <is>
          <t>DW55</t>
        </is>
      </c>
      <c r="F343" s="8" t="inlineStr">
        <is>
          <t>D284</t>
        </is>
      </c>
      <c r="G343" s="8">
        <f>IFERROR(VLOOKUP(A343,Flete!$A:$E,5,0),"")</f>
        <v/>
      </c>
      <c r="H343" s="7">
        <f>IFERROR(VLOOKUP(F343,TRAOPE!$AA:$AB,2,0),"")</f>
        <v/>
      </c>
      <c r="I343" s="7" t="n">
        <v>10000372</v>
      </c>
      <c r="J343" s="7">
        <f>IFERROR(VLOOKUP(I343,Materiales!$A:$H,8,0),"")</f>
        <v/>
      </c>
      <c r="K343" s="9">
        <f>IFERROR(VLOOKUP(I343,Materiales!$A:$G,7,0),"")</f>
        <v/>
      </c>
      <c r="L343" s="8" t="inlineStr">
        <is>
          <t>20241203</t>
        </is>
      </c>
      <c r="M343" s="8" t="inlineStr">
        <is>
          <t>20260420</t>
        </is>
      </c>
      <c r="N343" s="10" t="n">
        <v>198.2</v>
      </c>
      <c r="O343" s="10">
        <f>IFERROR(VLOOKUP(A343,Flete!$A:$J,10,0),"")</f>
        <v/>
      </c>
      <c r="P343" s="8" t="inlineStr">
        <is>
          <t>TN</t>
        </is>
      </c>
      <c r="Q343" s="10">
        <f>IFERROR(IFERROR(VLOOKUP(A343,TRAOPE!$A:$U,21,0),VLOOKUP(B343,TRAOPE!$A:$U,21,0)),"")</f>
        <v/>
      </c>
      <c r="R343" s="8">
        <f>IFERROR(IFERROR(VLOOKUP(A343,TRAOPE!$A:$W,23,0),VLOOKUP(B343,TRAOPE!$A:$W,23,0)),"")</f>
        <v/>
      </c>
      <c r="S343" s="10">
        <f>IF(AND(P343="TN",R343="TN"),N343+N(O343),IF(G343&amp;""="1",N(K343)*N343,(N343+N(O343))*N(K343)))</f>
        <v/>
      </c>
      <c r="T343" s="10">
        <f>IF(Q343="","",Q343-S343)</f>
        <v/>
      </c>
    </row>
    <row r="344">
      <c r="A344" s="7">
        <f>CONCATENATE(C344,E344,F344,I344)</f>
        <v/>
      </c>
      <c r="B344" s="7">
        <f>CONCATENATE(C344,E344,I344)</f>
        <v/>
      </c>
      <c r="C344" s="8" t="n">
        <v>900007604</v>
      </c>
      <c r="D344" s="7">
        <f>IFERROR(VLOOKUP(C344,TRAOPE!$G:$H,2,0),"")</f>
        <v/>
      </c>
      <c r="E344" s="8" t="inlineStr">
        <is>
          <t>DW55</t>
        </is>
      </c>
      <c r="F344" s="8" t="inlineStr">
        <is>
          <t>D284</t>
        </is>
      </c>
      <c r="G344" s="8">
        <f>IFERROR(VLOOKUP(A344,Flete!$A:$E,5,0),"")</f>
        <v/>
      </c>
      <c r="H344" s="7">
        <f>IFERROR(VLOOKUP(F344,TRAOPE!$AA:$AB,2,0),"")</f>
        <v/>
      </c>
      <c r="I344" s="7" t="n">
        <v>10123034</v>
      </c>
      <c r="J344" s="7">
        <f>IFERROR(VLOOKUP(I344,Materiales!$A:$H,8,0),"")</f>
        <v/>
      </c>
      <c r="K344" s="9">
        <f>IFERROR(VLOOKUP(I344,Materiales!$A:$G,7,0),"")</f>
        <v/>
      </c>
      <c r="L344" s="8" t="inlineStr">
        <is>
          <t>20241203</t>
        </is>
      </c>
      <c r="M344" s="8" t="inlineStr">
        <is>
          <t>20260420</t>
        </is>
      </c>
      <c r="N344" s="10" t="n">
        <v>98.17</v>
      </c>
      <c r="O344" s="10">
        <f>IFERROR(VLOOKUP(A344,Flete!$A:$J,10,0),"")</f>
        <v/>
      </c>
      <c r="P344" s="8" t="inlineStr">
        <is>
          <t>TN</t>
        </is>
      </c>
      <c r="Q344" s="10">
        <f>IFERROR(IFERROR(VLOOKUP(A344,TRAOPE!$A:$U,21,0),VLOOKUP(B344,TRAOPE!$A:$U,21,0)),"")</f>
        <v/>
      </c>
      <c r="R344" s="8">
        <f>IFERROR(IFERROR(VLOOKUP(A344,TRAOPE!$A:$W,23,0),VLOOKUP(B344,TRAOPE!$A:$W,23,0)),"")</f>
        <v/>
      </c>
      <c r="S344" s="10">
        <f>IF(AND(P344="TN",R344="TN"),N344+N(O344),IF(G344&amp;""="1",N(K344)*N344,(N344+N(O344))*N(K344)))</f>
        <v/>
      </c>
      <c r="T344" s="10">
        <f>IF(Q344="","",Q344-S344)</f>
        <v/>
      </c>
    </row>
    <row r="345">
      <c r="A345" s="7">
        <f>CONCATENATE(C345,E345,F345,I345)</f>
        <v/>
      </c>
      <c r="B345" s="7">
        <f>CONCATENATE(C345,E345,I345)</f>
        <v/>
      </c>
      <c r="C345" s="8" t="n">
        <v>900007604</v>
      </c>
      <c r="D345" s="7">
        <f>IFERROR(VLOOKUP(C345,TRAOPE!$G:$H,2,0),"")</f>
        <v/>
      </c>
      <c r="E345" s="8" t="inlineStr">
        <is>
          <t>DW55</t>
        </is>
      </c>
      <c r="F345" s="8" t="inlineStr">
        <is>
          <t>D284</t>
        </is>
      </c>
      <c r="G345" s="8">
        <f>IFERROR(VLOOKUP(A345,Flete!$A:$E,5,0),"")</f>
        <v/>
      </c>
      <c r="H345" s="7">
        <f>IFERROR(VLOOKUP(F345,TRAOPE!$AA:$AB,2,0),"")</f>
        <v/>
      </c>
      <c r="I345" s="7" t="n">
        <v>10147454</v>
      </c>
      <c r="J345" s="7">
        <f>IFERROR(VLOOKUP(I345,Materiales!$A:$H,8,0),"")</f>
        <v/>
      </c>
      <c r="K345" s="9">
        <f>IFERROR(VLOOKUP(I345,Materiales!$A:$G,7,0),"")</f>
        <v/>
      </c>
      <c r="L345" s="8" t="inlineStr">
        <is>
          <t>20220628</t>
        </is>
      </c>
      <c r="M345" s="8" t="inlineStr">
        <is>
          <t>20240821</t>
        </is>
      </c>
      <c r="N345" s="10" t="n">
        <v>160.67</v>
      </c>
      <c r="O345" s="10">
        <f>IFERROR(VLOOKUP(A345,Flete!$A:$J,10,0),"")</f>
        <v/>
      </c>
      <c r="P345" s="8" t="inlineStr">
        <is>
          <t>TN</t>
        </is>
      </c>
      <c r="Q345" s="10">
        <f>IFERROR(IFERROR(VLOOKUP(A345,TRAOPE!$A:$U,21,0),VLOOKUP(B345,TRAOPE!$A:$U,21,0)),"")</f>
        <v/>
      </c>
      <c r="R345" s="8">
        <f>IFERROR(IFERROR(VLOOKUP(A345,TRAOPE!$A:$W,23,0),VLOOKUP(B345,TRAOPE!$A:$W,23,0)),"")</f>
        <v/>
      </c>
      <c r="S345" s="10">
        <f>IF(AND(P345="TN",R345="TN"),N345+N(O345),IF(G345&amp;""="1",N(K345)*N345,(N345+N(O345))*N(K345)))</f>
        <v/>
      </c>
      <c r="T345" s="10">
        <f>IF(Q345="","",Q345-S345)</f>
        <v/>
      </c>
    </row>
    <row r="346">
      <c r="A346" s="7">
        <f>CONCATENATE(C346,E346,F346,I346)</f>
        <v/>
      </c>
      <c r="B346" s="7">
        <f>CONCATENATE(C346,E346,I346)</f>
        <v/>
      </c>
      <c r="C346" s="8" t="n">
        <v>900007604</v>
      </c>
      <c r="D346" s="7">
        <f>IFERROR(VLOOKUP(C346,TRAOPE!$G:$H,2,0),"")</f>
        <v/>
      </c>
      <c r="E346" s="8" t="inlineStr">
        <is>
          <t>DW55</t>
        </is>
      </c>
      <c r="F346" s="8" t="inlineStr">
        <is>
          <t>D309</t>
        </is>
      </c>
      <c r="G346" s="8">
        <f>IFERROR(VLOOKUP(A346,Flete!$A:$E,5,0),"")</f>
        <v/>
      </c>
      <c r="H346" s="7">
        <f>IFERROR(VLOOKUP(F346,TRAOPE!$AA:$AB,2,0),"")</f>
        <v/>
      </c>
      <c r="I346" s="7" t="n">
        <v>10000372</v>
      </c>
      <c r="J346" s="7">
        <f>IFERROR(VLOOKUP(I346,Materiales!$A:$H,8,0),"")</f>
        <v/>
      </c>
      <c r="K346" s="9">
        <f>IFERROR(VLOOKUP(I346,Materiales!$A:$G,7,0),"")</f>
        <v/>
      </c>
      <c r="L346" s="8" t="inlineStr">
        <is>
          <t>20241203</t>
        </is>
      </c>
      <c r="M346" s="8" t="inlineStr">
        <is>
          <t>20260420</t>
        </is>
      </c>
      <c r="N346" s="10" t="n">
        <v>198.2</v>
      </c>
      <c r="O346" s="10">
        <f>IFERROR(VLOOKUP(A346,Flete!$A:$J,10,0),"")</f>
        <v/>
      </c>
      <c r="P346" s="8" t="inlineStr">
        <is>
          <t>TN</t>
        </is>
      </c>
      <c r="Q346" s="10">
        <f>IFERROR(IFERROR(VLOOKUP(A346,TRAOPE!$A:$U,21,0),VLOOKUP(B346,TRAOPE!$A:$U,21,0)),"")</f>
        <v/>
      </c>
      <c r="R346" s="8">
        <f>IFERROR(IFERROR(VLOOKUP(A346,TRAOPE!$A:$W,23,0),VLOOKUP(B346,TRAOPE!$A:$W,23,0)),"")</f>
        <v/>
      </c>
      <c r="S346" s="10">
        <f>IF(AND(P346="TN",R346="TN"),N346+N(O346),IF(G346&amp;""="1",N(K346)*N346,(N346+N(O346))*N(K346)))</f>
        <v/>
      </c>
      <c r="T346" s="10">
        <f>IF(Q346="","",Q346-S346)</f>
        <v/>
      </c>
    </row>
    <row r="347">
      <c r="A347" s="7">
        <f>CONCATENATE(C347,E347,F347,I347)</f>
        <v/>
      </c>
      <c r="B347" s="7">
        <f>CONCATENATE(C347,E347,I347)</f>
        <v/>
      </c>
      <c r="C347" s="8" t="n">
        <v>900007604</v>
      </c>
      <c r="D347" s="7">
        <f>IFERROR(VLOOKUP(C347,TRAOPE!$G:$H,2,0),"")</f>
        <v/>
      </c>
      <c r="E347" s="8" t="inlineStr">
        <is>
          <t>DW55</t>
        </is>
      </c>
      <c r="F347" s="8" t="inlineStr">
        <is>
          <t>D309</t>
        </is>
      </c>
      <c r="G347" s="8">
        <f>IFERROR(VLOOKUP(A347,Flete!$A:$E,5,0),"")</f>
        <v/>
      </c>
      <c r="H347" s="7">
        <f>IFERROR(VLOOKUP(F347,TRAOPE!$AA:$AB,2,0),"")</f>
        <v/>
      </c>
      <c r="I347" s="7" t="n">
        <v>10123034</v>
      </c>
      <c r="J347" s="7">
        <f>IFERROR(VLOOKUP(I347,Materiales!$A:$H,8,0),"")</f>
        <v/>
      </c>
      <c r="K347" s="9">
        <f>IFERROR(VLOOKUP(I347,Materiales!$A:$G,7,0),"")</f>
        <v/>
      </c>
      <c r="L347" s="8" t="inlineStr">
        <is>
          <t>20241203</t>
        </is>
      </c>
      <c r="M347" s="8" t="inlineStr">
        <is>
          <t>20260420</t>
        </is>
      </c>
      <c r="N347" s="10" t="n">
        <v>98.17</v>
      </c>
      <c r="O347" s="10">
        <f>IFERROR(VLOOKUP(A347,Flete!$A:$J,10,0),"")</f>
        <v/>
      </c>
      <c r="P347" s="8" t="inlineStr">
        <is>
          <t>TN</t>
        </is>
      </c>
      <c r="Q347" s="10">
        <f>IFERROR(IFERROR(VLOOKUP(A347,TRAOPE!$A:$U,21,0),VLOOKUP(B347,TRAOPE!$A:$U,21,0)),"")</f>
        <v/>
      </c>
      <c r="R347" s="8">
        <f>IFERROR(IFERROR(VLOOKUP(A347,TRAOPE!$A:$W,23,0),VLOOKUP(B347,TRAOPE!$A:$W,23,0)),"")</f>
        <v/>
      </c>
      <c r="S347" s="10">
        <f>IF(AND(P347="TN",R347="TN"),N347+N(O347),IF(G347&amp;""="1",N(K347)*N347,(N347+N(O347))*N(K347)))</f>
        <v/>
      </c>
      <c r="T347" s="10">
        <f>IF(Q347="","",Q347-S347)</f>
        <v/>
      </c>
    </row>
    <row r="348">
      <c r="A348" s="7">
        <f>CONCATENATE(C348,E348,F348,I348)</f>
        <v/>
      </c>
      <c r="B348" s="7">
        <f>CONCATENATE(C348,E348,I348)</f>
        <v/>
      </c>
      <c r="C348" s="8" t="n">
        <v>900007604</v>
      </c>
      <c r="D348" s="7">
        <f>IFERROR(VLOOKUP(C348,TRAOPE!$G:$H,2,0),"")</f>
        <v/>
      </c>
      <c r="E348" s="8" t="inlineStr">
        <is>
          <t>DW55</t>
        </is>
      </c>
      <c r="F348" s="8" t="inlineStr">
        <is>
          <t>D309</t>
        </is>
      </c>
      <c r="G348" s="8">
        <f>IFERROR(VLOOKUP(A348,Flete!$A:$E,5,0),"")</f>
        <v/>
      </c>
      <c r="H348" s="7">
        <f>IFERROR(VLOOKUP(F348,TRAOPE!$AA:$AB,2,0),"")</f>
        <v/>
      </c>
      <c r="I348" s="7" t="n">
        <v>10147454</v>
      </c>
      <c r="J348" s="7">
        <f>IFERROR(VLOOKUP(I348,Materiales!$A:$H,8,0),"")</f>
        <v/>
      </c>
      <c r="K348" s="9">
        <f>IFERROR(VLOOKUP(I348,Materiales!$A:$G,7,0),"")</f>
        <v/>
      </c>
      <c r="L348" s="8" t="inlineStr">
        <is>
          <t>20220715</t>
        </is>
      </c>
      <c r="M348" s="8" t="inlineStr">
        <is>
          <t>20240419</t>
        </is>
      </c>
      <c r="N348" s="10" t="n">
        <v>134.96</v>
      </c>
      <c r="O348" s="10">
        <f>IFERROR(VLOOKUP(A348,Flete!$A:$J,10,0),"")</f>
        <v/>
      </c>
      <c r="P348" s="8" t="inlineStr">
        <is>
          <t>TN</t>
        </is>
      </c>
      <c r="Q348" s="10">
        <f>IFERROR(IFERROR(VLOOKUP(A348,TRAOPE!$A:$U,21,0),VLOOKUP(B348,TRAOPE!$A:$U,21,0)),"")</f>
        <v/>
      </c>
      <c r="R348" s="8">
        <f>IFERROR(IFERROR(VLOOKUP(A348,TRAOPE!$A:$W,23,0),VLOOKUP(B348,TRAOPE!$A:$W,23,0)),"")</f>
        <v/>
      </c>
      <c r="S348" s="10">
        <f>IF(AND(P348="TN",R348="TN"),N348+N(O348),IF(G348&amp;""="1",N(K348)*N348,(N348+N(O348))*N(K348)))</f>
        <v/>
      </c>
      <c r="T348" s="10">
        <f>IF(Q348="","",Q348-S348)</f>
        <v/>
      </c>
    </row>
    <row r="349">
      <c r="A349" s="7">
        <f>CONCATENATE(C349,E349,F349,I349)</f>
        <v/>
      </c>
      <c r="B349" s="7">
        <f>CONCATENATE(C349,E349,I349)</f>
        <v/>
      </c>
      <c r="C349" s="8" t="n">
        <v>900007604</v>
      </c>
      <c r="D349" s="7">
        <f>IFERROR(VLOOKUP(C349,TRAOPE!$G:$H,2,0),"")</f>
        <v/>
      </c>
      <c r="E349" s="8" t="inlineStr">
        <is>
          <t>DW55</t>
        </is>
      </c>
      <c r="F349" s="8" t="inlineStr">
        <is>
          <t>D342</t>
        </is>
      </c>
      <c r="G349" s="8">
        <f>IFERROR(VLOOKUP(A349,Flete!$A:$E,5,0),"")</f>
        <v/>
      </c>
      <c r="H349" s="7">
        <f>IFERROR(VLOOKUP(F349,TRAOPE!$AA:$AB,2,0),"")</f>
        <v/>
      </c>
      <c r="I349" s="7" t="n">
        <v>10000372</v>
      </c>
      <c r="J349" s="7">
        <f>IFERROR(VLOOKUP(I349,Materiales!$A:$H,8,0),"")</f>
        <v/>
      </c>
      <c r="K349" s="9">
        <f>IFERROR(VLOOKUP(I349,Materiales!$A:$G,7,0),"")</f>
        <v/>
      </c>
      <c r="L349" s="8" t="inlineStr">
        <is>
          <t>20241203</t>
        </is>
      </c>
      <c r="M349" s="8" t="inlineStr">
        <is>
          <t>20260420</t>
        </is>
      </c>
      <c r="N349" s="10" t="n">
        <v>198.2</v>
      </c>
      <c r="O349" s="10">
        <f>IFERROR(VLOOKUP(A349,Flete!$A:$J,10,0),"")</f>
        <v/>
      </c>
      <c r="P349" s="8" t="inlineStr">
        <is>
          <t>TN</t>
        </is>
      </c>
      <c r="Q349" s="10">
        <f>IFERROR(IFERROR(VLOOKUP(A349,TRAOPE!$A:$U,21,0),VLOOKUP(B349,TRAOPE!$A:$U,21,0)),"")</f>
        <v/>
      </c>
      <c r="R349" s="8">
        <f>IFERROR(IFERROR(VLOOKUP(A349,TRAOPE!$A:$W,23,0),VLOOKUP(B349,TRAOPE!$A:$W,23,0)),"")</f>
        <v/>
      </c>
      <c r="S349" s="10">
        <f>IF(AND(P349="TN",R349="TN"),N349+N(O349),IF(G349&amp;""="1",N(K349)*N349,(N349+N(O349))*N(K349)))</f>
        <v/>
      </c>
      <c r="T349" s="10">
        <f>IF(Q349="","",Q349-S349)</f>
        <v/>
      </c>
    </row>
    <row r="350">
      <c r="A350" s="7">
        <f>CONCATENATE(C350,E350,F350,I350)</f>
        <v/>
      </c>
      <c r="B350" s="7">
        <f>CONCATENATE(C350,E350,I350)</f>
        <v/>
      </c>
      <c r="C350" s="8" t="n">
        <v>900007604</v>
      </c>
      <c r="D350" s="7">
        <f>IFERROR(VLOOKUP(C350,TRAOPE!$G:$H,2,0),"")</f>
        <v/>
      </c>
      <c r="E350" s="8" t="inlineStr">
        <is>
          <t>DW55</t>
        </is>
      </c>
      <c r="F350" s="8" t="inlineStr">
        <is>
          <t>D342</t>
        </is>
      </c>
      <c r="G350" s="8">
        <f>IFERROR(VLOOKUP(A350,Flete!$A:$E,5,0),"")</f>
        <v/>
      </c>
      <c r="H350" s="7">
        <f>IFERROR(VLOOKUP(F350,TRAOPE!$AA:$AB,2,0),"")</f>
        <v/>
      </c>
      <c r="I350" s="7" t="n">
        <v>10123034</v>
      </c>
      <c r="J350" s="7">
        <f>IFERROR(VLOOKUP(I350,Materiales!$A:$H,8,0),"")</f>
        <v/>
      </c>
      <c r="K350" s="9">
        <f>IFERROR(VLOOKUP(I350,Materiales!$A:$G,7,0),"")</f>
        <v/>
      </c>
      <c r="L350" s="8" t="inlineStr">
        <is>
          <t>20250428</t>
        </is>
      </c>
      <c r="M350" s="8" t="inlineStr">
        <is>
          <t>20251031</t>
        </is>
      </c>
      <c r="N350" s="10" t="n">
        <v>98.17</v>
      </c>
      <c r="O350" s="10">
        <f>IFERROR(VLOOKUP(A350,Flete!$A:$J,10,0),"")</f>
        <v/>
      </c>
      <c r="P350" s="8" t="inlineStr">
        <is>
          <t>TN</t>
        </is>
      </c>
      <c r="Q350" s="10">
        <f>IFERROR(IFERROR(VLOOKUP(A350,TRAOPE!$A:$U,21,0),VLOOKUP(B350,TRAOPE!$A:$U,21,0)),"")</f>
        <v/>
      </c>
      <c r="R350" s="8">
        <f>IFERROR(IFERROR(VLOOKUP(A350,TRAOPE!$A:$W,23,0),VLOOKUP(B350,TRAOPE!$A:$W,23,0)),"")</f>
        <v/>
      </c>
      <c r="S350" s="10">
        <f>IF(AND(P350="TN",R350="TN"),N350+N(O350),IF(G350&amp;""="1",N(K350)*N350,(N350+N(O350))*N(K350)))</f>
        <v/>
      </c>
      <c r="T350" s="10">
        <f>IF(Q350="","",Q350-S350)</f>
        <v/>
      </c>
    </row>
    <row r="351">
      <c r="A351" s="7">
        <f>CONCATENATE(C351,E351,F351,I351)</f>
        <v/>
      </c>
      <c r="B351" s="7">
        <f>CONCATENATE(C351,E351,I351)</f>
        <v/>
      </c>
      <c r="C351" s="8" t="n">
        <v>900007604</v>
      </c>
      <c r="D351" s="7">
        <f>IFERROR(VLOOKUP(C351,TRAOPE!$G:$H,2,0),"")</f>
        <v/>
      </c>
      <c r="E351" s="8" t="inlineStr">
        <is>
          <t>DW55</t>
        </is>
      </c>
      <c r="F351" s="8" t="inlineStr">
        <is>
          <t>D342</t>
        </is>
      </c>
      <c r="G351" s="8">
        <f>IFERROR(VLOOKUP(A351,Flete!$A:$E,5,0),"")</f>
        <v/>
      </c>
      <c r="H351" s="7">
        <f>IFERROR(VLOOKUP(F351,TRAOPE!$AA:$AB,2,0),"")</f>
        <v/>
      </c>
      <c r="I351" s="7" t="n">
        <v>10147454</v>
      </c>
      <c r="J351" s="7">
        <f>IFERROR(VLOOKUP(I351,Materiales!$A:$H,8,0),"")</f>
        <v/>
      </c>
      <c r="K351" s="9">
        <f>IFERROR(VLOOKUP(I351,Materiales!$A:$G,7,0),"")</f>
        <v/>
      </c>
      <c r="L351" s="8" t="inlineStr">
        <is>
          <t>20220715</t>
        </is>
      </c>
      <c r="M351" s="8" t="inlineStr">
        <is>
          <t>20240821</t>
        </is>
      </c>
      <c r="N351" s="10" t="n">
        <v>134.96</v>
      </c>
      <c r="O351" s="10">
        <f>IFERROR(VLOOKUP(A351,Flete!$A:$J,10,0),"")</f>
        <v/>
      </c>
      <c r="P351" s="8" t="inlineStr">
        <is>
          <t>TN</t>
        </is>
      </c>
      <c r="Q351" s="10">
        <f>IFERROR(IFERROR(VLOOKUP(A351,TRAOPE!$A:$U,21,0),VLOOKUP(B351,TRAOPE!$A:$U,21,0)),"")</f>
        <v/>
      </c>
      <c r="R351" s="8">
        <f>IFERROR(IFERROR(VLOOKUP(A351,TRAOPE!$A:$W,23,0),VLOOKUP(B351,TRAOPE!$A:$W,23,0)),"")</f>
        <v/>
      </c>
      <c r="S351" s="10">
        <f>IF(AND(P351="TN",R351="TN"),N351+N(O351),IF(G351&amp;""="1",N(K351)*N351,(N351+N(O351))*N(K351)))</f>
        <v/>
      </c>
      <c r="T351" s="10">
        <f>IF(Q351="","",Q351-S351)</f>
        <v/>
      </c>
    </row>
    <row r="352">
      <c r="A352" s="7">
        <f>CONCATENATE(C352,E352,F352,I352)</f>
        <v/>
      </c>
      <c r="B352" s="7">
        <f>CONCATENATE(C352,E352,I352)</f>
        <v/>
      </c>
      <c r="C352" s="8" t="n">
        <v>900007604</v>
      </c>
      <c r="D352" s="7">
        <f>IFERROR(VLOOKUP(C352,TRAOPE!$G:$H,2,0),"")</f>
        <v/>
      </c>
      <c r="E352" s="8" t="inlineStr">
        <is>
          <t>DW55</t>
        </is>
      </c>
      <c r="F352" s="8" t="inlineStr">
        <is>
          <t>ER67</t>
        </is>
      </c>
      <c r="G352" s="8">
        <f>IFERROR(VLOOKUP(A352,Flete!$A:$E,5,0),"")</f>
        <v/>
      </c>
      <c r="H352" s="7">
        <f>IFERROR(VLOOKUP(F352,TRAOPE!$AA:$AB,2,0),"")</f>
        <v/>
      </c>
      <c r="I352" s="7" t="n">
        <v>10210260</v>
      </c>
      <c r="J352" s="7">
        <f>IFERROR(VLOOKUP(I352,Materiales!$A:$H,8,0),"")</f>
        <v/>
      </c>
      <c r="K352" s="9">
        <f>IFERROR(VLOOKUP(I352,Materiales!$A:$G,7,0),"")</f>
        <v/>
      </c>
      <c r="L352" s="8" t="inlineStr">
        <is>
          <t>20220504</t>
        </is>
      </c>
      <c r="M352" s="8" t="inlineStr">
        <is>
          <t>20230127</t>
        </is>
      </c>
      <c r="N352" s="10" t="n">
        <v>163.98</v>
      </c>
      <c r="O352" s="10">
        <f>IFERROR(VLOOKUP(A352,Flete!$A:$J,10,0),"")</f>
        <v/>
      </c>
      <c r="P352" s="8" t="inlineStr">
        <is>
          <t>TN</t>
        </is>
      </c>
      <c r="Q352" s="10">
        <f>IFERROR(IFERROR(VLOOKUP(A352,TRAOPE!$A:$U,21,0),VLOOKUP(B352,TRAOPE!$A:$U,21,0)),"")</f>
        <v/>
      </c>
      <c r="R352" s="8">
        <f>IFERROR(IFERROR(VLOOKUP(A352,TRAOPE!$A:$W,23,0),VLOOKUP(B352,TRAOPE!$A:$W,23,0)),"")</f>
        <v/>
      </c>
      <c r="S352" s="10">
        <f>IF(AND(P352="TN",R352="TN"),N352+N(O352),IF(G352&amp;""="1",N(K352)*N352,(N352+N(O352))*N(K352)))</f>
        <v/>
      </c>
      <c r="T352" s="10">
        <f>IF(Q352="","",Q352-S352)</f>
        <v/>
      </c>
    </row>
    <row r="353">
      <c r="A353" s="7">
        <f>CONCATENATE(C353,E353,F353,I353)</f>
        <v/>
      </c>
      <c r="B353" s="7">
        <f>CONCATENATE(C353,E353,I353)</f>
        <v/>
      </c>
      <c r="C353" s="8" t="n">
        <v>900007604</v>
      </c>
      <c r="D353" s="7">
        <f>IFERROR(VLOOKUP(C353,TRAOPE!$G:$H,2,0),"")</f>
        <v/>
      </c>
      <c r="E353" s="8" t="inlineStr">
        <is>
          <t>DW55</t>
        </is>
      </c>
      <c r="F353" s="8" t="inlineStr">
        <is>
          <t>ER68</t>
        </is>
      </c>
      <c r="G353" s="8">
        <f>IFERROR(VLOOKUP(A353,Flete!$A:$E,5,0),"")</f>
        <v/>
      </c>
      <c r="H353" s="7">
        <f>IFERROR(VLOOKUP(F353,TRAOPE!$AA:$AB,2,0),"")</f>
        <v/>
      </c>
      <c r="I353" s="7" t="n">
        <v>10210260</v>
      </c>
      <c r="J353" s="7">
        <f>IFERROR(VLOOKUP(I353,Materiales!$A:$H,8,0),"")</f>
        <v/>
      </c>
      <c r="K353" s="9">
        <f>IFERROR(VLOOKUP(I353,Materiales!$A:$G,7,0),"")</f>
        <v/>
      </c>
      <c r="L353" s="8" t="inlineStr">
        <is>
          <t>20220501</t>
        </is>
      </c>
      <c r="M353" s="8" t="inlineStr">
        <is>
          <t>20240717</t>
        </is>
      </c>
      <c r="N353" s="10" t="n">
        <v>163.98</v>
      </c>
      <c r="O353" s="10">
        <f>IFERROR(VLOOKUP(A353,Flete!$A:$J,10,0),"")</f>
        <v/>
      </c>
      <c r="P353" s="8" t="inlineStr">
        <is>
          <t>TN</t>
        </is>
      </c>
      <c r="Q353" s="10">
        <f>IFERROR(IFERROR(VLOOKUP(A353,TRAOPE!$A:$U,21,0),VLOOKUP(B353,TRAOPE!$A:$U,21,0)),"")</f>
        <v/>
      </c>
      <c r="R353" s="8">
        <f>IFERROR(IFERROR(VLOOKUP(A353,TRAOPE!$A:$W,23,0),VLOOKUP(B353,TRAOPE!$A:$W,23,0)),"")</f>
        <v/>
      </c>
      <c r="S353" s="10">
        <f>IF(AND(P353="TN",R353="TN"),N353+N(O353),IF(G353&amp;""="1",N(K353)*N353,(N353+N(O353))*N(K353)))</f>
        <v/>
      </c>
      <c r="T353" s="10">
        <f>IF(Q353="","",Q353-S353)</f>
        <v/>
      </c>
    </row>
    <row r="354">
      <c r="A354" s="7">
        <f>CONCATENATE(C354,E354,F354,I354)</f>
        <v/>
      </c>
      <c r="B354" s="7">
        <f>CONCATENATE(C354,E354,I354)</f>
        <v/>
      </c>
      <c r="C354" s="8" t="n">
        <v>900007645</v>
      </c>
      <c r="D354" s="7">
        <f>IFERROR(VLOOKUP(C354,TRAOPE!$G:$H,2,0),"")</f>
        <v/>
      </c>
      <c r="E354" s="8" t="inlineStr">
        <is>
          <t>DW55</t>
        </is>
      </c>
      <c r="F354" s="8" t="inlineStr">
        <is>
          <t>ER67</t>
        </is>
      </c>
      <c r="G354" s="8">
        <f>IFERROR(VLOOKUP(A354,Flete!$A:$E,5,0),"")</f>
        <v/>
      </c>
      <c r="H354" s="7">
        <f>IFERROR(VLOOKUP(F354,TRAOPE!$AA:$AB,2,0),"")</f>
        <v/>
      </c>
      <c r="I354" s="7" t="n">
        <v>10210039</v>
      </c>
      <c r="J354" s="7">
        <f>IFERROR(VLOOKUP(I354,Materiales!$A:$H,8,0),"")</f>
        <v/>
      </c>
      <c r="K354" s="9">
        <f>IFERROR(VLOOKUP(I354,Materiales!$A:$G,7,0),"")</f>
        <v/>
      </c>
      <c r="L354" s="8" t="inlineStr">
        <is>
          <t>20220504</t>
        </is>
      </c>
      <c r="M354" s="8" t="inlineStr">
        <is>
          <t>20230127</t>
        </is>
      </c>
      <c r="N354" s="10" t="n">
        <v>40.4</v>
      </c>
      <c r="O354" s="10">
        <f>IFERROR(VLOOKUP(A354,Flete!$A:$J,10,0),"")</f>
        <v/>
      </c>
      <c r="P354" s="8" t="inlineStr">
        <is>
          <t>TN</t>
        </is>
      </c>
      <c r="Q354" s="10">
        <f>IFERROR(IFERROR(VLOOKUP(A354,TRAOPE!$A:$U,21,0),VLOOKUP(B354,TRAOPE!$A:$U,21,0)),"")</f>
        <v/>
      </c>
      <c r="R354" s="8">
        <f>IFERROR(IFERROR(VLOOKUP(A354,TRAOPE!$A:$W,23,0),VLOOKUP(B354,TRAOPE!$A:$W,23,0)),"")</f>
        <v/>
      </c>
      <c r="S354" s="10">
        <f>IF(AND(P354="TN",R354="TN"),N354+N(O354),IF(G354&amp;""="1",N(K354)*N354,(N354+N(O354))*N(K354)))</f>
        <v/>
      </c>
      <c r="T354" s="10">
        <f>IF(Q354="","",Q354-S354)</f>
        <v/>
      </c>
    </row>
    <row r="355">
      <c r="A355" s="7">
        <f>CONCATENATE(C355,E355,F355,I355)</f>
        <v/>
      </c>
      <c r="B355" s="7">
        <f>CONCATENATE(C355,E355,I355)</f>
        <v/>
      </c>
      <c r="C355" s="8" t="n">
        <v>900007645</v>
      </c>
      <c r="D355" s="7">
        <f>IFERROR(VLOOKUP(C355,TRAOPE!$G:$H,2,0),"")</f>
        <v/>
      </c>
      <c r="E355" s="8" t="inlineStr">
        <is>
          <t>DW55</t>
        </is>
      </c>
      <c r="F355" s="8" t="inlineStr">
        <is>
          <t>ER68</t>
        </is>
      </c>
      <c r="G355" s="8">
        <f>IFERROR(VLOOKUP(A355,Flete!$A:$E,5,0),"")</f>
        <v/>
      </c>
      <c r="H355" s="7">
        <f>IFERROR(VLOOKUP(F355,TRAOPE!$AA:$AB,2,0),"")</f>
        <v/>
      </c>
      <c r="I355" s="7" t="n">
        <v>10210039</v>
      </c>
      <c r="J355" s="7">
        <f>IFERROR(VLOOKUP(I355,Materiales!$A:$H,8,0),"")</f>
        <v/>
      </c>
      <c r="K355" s="9">
        <f>IFERROR(VLOOKUP(I355,Materiales!$A:$G,7,0),"")</f>
        <v/>
      </c>
      <c r="L355" s="8" t="inlineStr">
        <is>
          <t>20220501</t>
        </is>
      </c>
      <c r="M355" s="8" t="inlineStr">
        <is>
          <t>20240717</t>
        </is>
      </c>
      <c r="N355" s="10" t="n">
        <v>40.4</v>
      </c>
      <c r="O355" s="10">
        <f>IFERROR(VLOOKUP(A355,Flete!$A:$J,10,0),"")</f>
        <v/>
      </c>
      <c r="P355" s="8" t="inlineStr">
        <is>
          <t>TN</t>
        </is>
      </c>
      <c r="Q355" s="10">
        <f>IFERROR(IFERROR(VLOOKUP(A355,TRAOPE!$A:$U,21,0),VLOOKUP(B355,TRAOPE!$A:$U,21,0)),"")</f>
        <v/>
      </c>
      <c r="R355" s="8">
        <f>IFERROR(IFERROR(VLOOKUP(A355,TRAOPE!$A:$W,23,0),VLOOKUP(B355,TRAOPE!$A:$W,23,0)),"")</f>
        <v/>
      </c>
      <c r="S355" s="10">
        <f>IF(AND(P355="TN",R355="TN"),N355+N(O355),IF(G355&amp;""="1",N(K355)*N355,(N355+N(O355))*N(K355)))</f>
        <v/>
      </c>
      <c r="T355" s="10">
        <f>IF(Q355="","",Q355-S355)</f>
        <v/>
      </c>
    </row>
    <row r="356">
      <c r="A356" s="7">
        <f>CONCATENATE(C356,E356,F356,I356)</f>
        <v/>
      </c>
      <c r="B356" s="7">
        <f>CONCATENATE(C356,E356,I356)</f>
        <v/>
      </c>
      <c r="C356" s="8" t="n">
        <v>900007666</v>
      </c>
      <c r="D356" s="7">
        <f>IFERROR(VLOOKUP(C356,TRAOPE!$G:$H,2,0),"")</f>
        <v/>
      </c>
      <c r="E356" s="8" t="inlineStr">
        <is>
          <t>DW55</t>
        </is>
      </c>
      <c r="F356" s="8" t="inlineStr">
        <is>
          <t>D284</t>
        </is>
      </c>
      <c r="G356" s="8">
        <f>IFERROR(VLOOKUP(A356,Flete!$A:$E,5,0),"")</f>
        <v/>
      </c>
      <c r="H356" s="7">
        <f>IFERROR(VLOOKUP(F356,TRAOPE!$AA:$AB,2,0),"")</f>
        <v/>
      </c>
      <c r="I356" s="7" t="n">
        <v>10218414</v>
      </c>
      <c r="J356" s="7">
        <f>IFERROR(VLOOKUP(I356,Materiales!$A:$H,8,0),"")</f>
        <v/>
      </c>
      <c r="K356" s="9">
        <f>IFERROR(VLOOKUP(I356,Materiales!$A:$G,7,0),"")</f>
        <v/>
      </c>
      <c r="L356" s="8" t="inlineStr">
        <is>
          <t>20220704</t>
        </is>
      </c>
      <c r="M356" s="8" t="inlineStr">
        <is>
          <t>20240717</t>
        </is>
      </c>
      <c r="N356" s="10" t="n">
        <v>227.72</v>
      </c>
      <c r="O356" s="10">
        <f>IFERROR(VLOOKUP(A356,Flete!$A:$J,10,0),"")</f>
        <v/>
      </c>
      <c r="P356" s="8" t="inlineStr">
        <is>
          <t>TN</t>
        </is>
      </c>
      <c r="Q356" s="10">
        <f>IFERROR(IFERROR(VLOOKUP(A356,TRAOPE!$A:$U,21,0),VLOOKUP(B356,TRAOPE!$A:$U,21,0)),"")</f>
        <v/>
      </c>
      <c r="R356" s="8">
        <f>IFERROR(IFERROR(VLOOKUP(A356,TRAOPE!$A:$W,23,0),VLOOKUP(B356,TRAOPE!$A:$W,23,0)),"")</f>
        <v/>
      </c>
      <c r="S356" s="10">
        <f>IF(AND(P356="TN",R356="TN"),N356+N(O356),IF(G356&amp;""="1",N(K356)*N356,(N356+N(O356))*N(K356)))</f>
        <v/>
      </c>
      <c r="T356" s="10">
        <f>IF(Q356="","",Q356-S356)</f>
        <v/>
      </c>
    </row>
    <row r="357">
      <c r="A357" s="7">
        <f>CONCATENATE(C357,E357,F357,I357)</f>
        <v/>
      </c>
      <c r="B357" s="7">
        <f>CONCATENATE(C357,E357,I357)</f>
        <v/>
      </c>
      <c r="C357" s="8" t="n">
        <v>900007666</v>
      </c>
      <c r="D357" s="7">
        <f>IFERROR(VLOOKUP(C357,TRAOPE!$G:$H,2,0),"")</f>
        <v/>
      </c>
      <c r="E357" s="8" t="inlineStr">
        <is>
          <t>DW55</t>
        </is>
      </c>
      <c r="F357" s="8" t="inlineStr">
        <is>
          <t>D309</t>
        </is>
      </c>
      <c r="G357" s="8">
        <f>IFERROR(VLOOKUP(A357,Flete!$A:$E,5,0),"")</f>
        <v/>
      </c>
      <c r="H357" s="7">
        <f>IFERROR(VLOOKUP(F357,TRAOPE!$AA:$AB,2,0),"")</f>
        <v/>
      </c>
      <c r="I357" s="7" t="n">
        <v>10218414</v>
      </c>
      <c r="J357" s="7">
        <f>IFERROR(VLOOKUP(I357,Materiales!$A:$H,8,0),"")</f>
        <v/>
      </c>
      <c r="K357" s="9">
        <f>IFERROR(VLOOKUP(I357,Materiales!$A:$G,7,0),"")</f>
        <v/>
      </c>
      <c r="L357" s="8" t="inlineStr">
        <is>
          <t>20220517</t>
        </is>
      </c>
      <c r="M357" s="8" t="inlineStr">
        <is>
          <t>20240717</t>
        </is>
      </c>
      <c r="N357" s="10" t="n">
        <v>217.82</v>
      </c>
      <c r="O357" s="10">
        <f>IFERROR(VLOOKUP(A357,Flete!$A:$J,10,0),"")</f>
        <v/>
      </c>
      <c r="P357" s="8" t="inlineStr">
        <is>
          <t>TN</t>
        </is>
      </c>
      <c r="Q357" s="10">
        <f>IFERROR(IFERROR(VLOOKUP(A357,TRAOPE!$A:$U,21,0),VLOOKUP(B357,TRAOPE!$A:$U,21,0)),"")</f>
        <v/>
      </c>
      <c r="R357" s="8">
        <f>IFERROR(IFERROR(VLOOKUP(A357,TRAOPE!$A:$W,23,0),VLOOKUP(B357,TRAOPE!$A:$W,23,0)),"")</f>
        <v/>
      </c>
      <c r="S357" s="10">
        <f>IF(AND(P357="TN",R357="TN"),N357+N(O357),IF(G357&amp;""="1",N(K357)*N357,(N357+N(O357))*N(K357)))</f>
        <v/>
      </c>
      <c r="T357" s="10">
        <f>IF(Q357="","",Q357-S357)</f>
        <v/>
      </c>
    </row>
    <row r="358">
      <c r="A358" s="7">
        <f>CONCATENATE(C358,E358,F358,I358)</f>
        <v/>
      </c>
      <c r="B358" s="7">
        <f>CONCATENATE(C358,E358,I358)</f>
        <v/>
      </c>
      <c r="C358" s="8" t="n">
        <v>900007666</v>
      </c>
      <c r="D358" s="7">
        <f>IFERROR(VLOOKUP(C358,TRAOPE!$G:$H,2,0),"")</f>
        <v/>
      </c>
      <c r="E358" s="8" t="inlineStr">
        <is>
          <t>DW55</t>
        </is>
      </c>
      <c r="F358" s="8" t="inlineStr">
        <is>
          <t>D342</t>
        </is>
      </c>
      <c r="G358" s="8">
        <f>IFERROR(VLOOKUP(A358,Flete!$A:$E,5,0),"")</f>
        <v/>
      </c>
      <c r="H358" s="7">
        <f>IFERROR(VLOOKUP(F358,TRAOPE!$AA:$AB,2,0),"")</f>
        <v/>
      </c>
      <c r="I358" s="7" t="n">
        <v>10218414</v>
      </c>
      <c r="J358" s="7">
        <f>IFERROR(VLOOKUP(I358,Materiales!$A:$H,8,0),"")</f>
        <v/>
      </c>
      <c r="K358" s="9">
        <f>IFERROR(VLOOKUP(I358,Materiales!$A:$G,7,0),"")</f>
        <v/>
      </c>
      <c r="L358" s="8" t="inlineStr">
        <is>
          <t>20220704</t>
        </is>
      </c>
      <c r="M358" s="8" t="inlineStr">
        <is>
          <t>20240717</t>
        </is>
      </c>
      <c r="N358" s="10" t="n">
        <v>227.72</v>
      </c>
      <c r="O358" s="10">
        <f>IFERROR(VLOOKUP(A358,Flete!$A:$J,10,0),"")</f>
        <v/>
      </c>
      <c r="P358" s="8" t="inlineStr">
        <is>
          <t>TN</t>
        </is>
      </c>
      <c r="Q358" s="10">
        <f>IFERROR(IFERROR(VLOOKUP(A358,TRAOPE!$A:$U,21,0),VLOOKUP(B358,TRAOPE!$A:$U,21,0)),"")</f>
        <v/>
      </c>
      <c r="R358" s="8">
        <f>IFERROR(IFERROR(VLOOKUP(A358,TRAOPE!$A:$W,23,0),VLOOKUP(B358,TRAOPE!$A:$W,23,0)),"")</f>
        <v/>
      </c>
      <c r="S358" s="10">
        <f>IF(AND(P358="TN",R358="TN"),N358+N(O358),IF(G358&amp;""="1",N(K358)*N358,(N358+N(O358))*N(K358)))</f>
        <v/>
      </c>
      <c r="T358" s="10">
        <f>IF(Q358="","",Q358-S358)</f>
        <v/>
      </c>
    </row>
    <row r="359">
      <c r="A359" s="7">
        <f>CONCATENATE(C359,E359,F359,I359)</f>
        <v/>
      </c>
      <c r="B359" s="7">
        <f>CONCATENATE(C359,E359,I359)</f>
        <v/>
      </c>
      <c r="C359" s="8" t="n">
        <v>900007674</v>
      </c>
      <c r="D359" s="7">
        <f>IFERROR(VLOOKUP(C359,TRAOPE!$G:$H,2,0),"")</f>
        <v/>
      </c>
      <c r="E359" s="8" t="inlineStr">
        <is>
          <t>DW55</t>
        </is>
      </c>
      <c r="F359" s="8" t="inlineStr">
        <is>
          <t>D284</t>
        </is>
      </c>
      <c r="G359" s="8">
        <f>IFERROR(VLOOKUP(A359,Flete!$A:$E,5,0),"")</f>
        <v/>
      </c>
      <c r="H359" s="7">
        <f>IFERROR(VLOOKUP(F359,TRAOPE!$AA:$AB,2,0),"")</f>
        <v/>
      </c>
      <c r="I359" s="7" t="n">
        <v>10000561</v>
      </c>
      <c r="J359" s="7">
        <f>IFERROR(VLOOKUP(I359,Materiales!$A:$H,8,0),"")</f>
        <v/>
      </c>
      <c r="K359" s="9">
        <f>IFERROR(VLOOKUP(I359,Materiales!$A:$G,7,0),"")</f>
        <v/>
      </c>
      <c r="L359" s="8" t="inlineStr">
        <is>
          <t>20221227</t>
        </is>
      </c>
      <c r="M359" s="8" t="inlineStr">
        <is>
          <t>20240717</t>
        </is>
      </c>
      <c r="N359" s="10" t="n">
        <v>230.77</v>
      </c>
      <c r="O359" s="10">
        <f>IFERROR(VLOOKUP(A359,Flete!$A:$J,10,0),"")</f>
        <v/>
      </c>
      <c r="P359" s="8" t="inlineStr">
        <is>
          <t>TN</t>
        </is>
      </c>
      <c r="Q359" s="10">
        <f>IFERROR(IFERROR(VLOOKUP(A359,TRAOPE!$A:$U,21,0),VLOOKUP(B359,TRAOPE!$A:$U,21,0)),"")</f>
        <v/>
      </c>
      <c r="R359" s="8">
        <f>IFERROR(IFERROR(VLOOKUP(A359,TRAOPE!$A:$W,23,0),VLOOKUP(B359,TRAOPE!$A:$W,23,0)),"")</f>
        <v/>
      </c>
      <c r="S359" s="10">
        <f>IF(AND(P359="TN",R359="TN"),N359+N(O359),IF(G359&amp;""="1",N(K359)*N359,(N359+N(O359))*N(K359)))</f>
        <v/>
      </c>
      <c r="T359" s="10">
        <f>IF(Q359="","",Q359-S359)</f>
        <v/>
      </c>
    </row>
    <row r="360">
      <c r="A360" s="7">
        <f>CONCATENATE(C360,E360,F360,I360)</f>
        <v/>
      </c>
      <c r="B360" s="7">
        <f>CONCATENATE(C360,E360,I360)</f>
        <v/>
      </c>
      <c r="C360" s="8" t="n">
        <v>900007674</v>
      </c>
      <c r="D360" s="7">
        <f>IFERROR(VLOOKUP(C360,TRAOPE!$G:$H,2,0),"")</f>
        <v/>
      </c>
      <c r="E360" s="8" t="inlineStr">
        <is>
          <t>DW55</t>
        </is>
      </c>
      <c r="F360" s="8" t="inlineStr">
        <is>
          <t>D309</t>
        </is>
      </c>
      <c r="G360" s="8">
        <f>IFERROR(VLOOKUP(A360,Flete!$A:$E,5,0),"")</f>
        <v/>
      </c>
      <c r="H360" s="7">
        <f>IFERROR(VLOOKUP(F360,TRAOPE!$AA:$AB,2,0),"")</f>
        <v/>
      </c>
      <c r="I360" s="7" t="n">
        <v>10000561</v>
      </c>
      <c r="J360" s="7">
        <f>IFERROR(VLOOKUP(I360,Materiales!$A:$H,8,0),"")</f>
        <v/>
      </c>
      <c r="K360" s="9">
        <f>IFERROR(VLOOKUP(I360,Materiales!$A:$G,7,0),"")</f>
        <v/>
      </c>
      <c r="L360" s="8" t="inlineStr">
        <is>
          <t>20221227</t>
        </is>
      </c>
      <c r="M360" s="8" t="inlineStr">
        <is>
          <t>20240717</t>
        </is>
      </c>
      <c r="N360" s="10" t="n">
        <v>230.77</v>
      </c>
      <c r="O360" s="10">
        <f>IFERROR(VLOOKUP(A360,Flete!$A:$J,10,0),"")</f>
        <v/>
      </c>
      <c r="P360" s="8" t="inlineStr">
        <is>
          <t>TN</t>
        </is>
      </c>
      <c r="Q360" s="10">
        <f>IFERROR(IFERROR(VLOOKUP(A360,TRAOPE!$A:$U,21,0),VLOOKUP(B360,TRAOPE!$A:$U,21,0)),"")</f>
        <v/>
      </c>
      <c r="R360" s="8">
        <f>IFERROR(IFERROR(VLOOKUP(A360,TRAOPE!$A:$W,23,0),VLOOKUP(B360,TRAOPE!$A:$W,23,0)),"")</f>
        <v/>
      </c>
      <c r="S360" s="10">
        <f>IF(AND(P360="TN",R360="TN"),N360+N(O360),IF(G360&amp;""="1",N(K360)*N360,(N360+N(O360))*N(K360)))</f>
        <v/>
      </c>
      <c r="T360" s="10">
        <f>IF(Q360="","",Q360-S360)</f>
        <v/>
      </c>
    </row>
    <row r="361">
      <c r="A361" s="7">
        <f>CONCATENATE(C361,E361,F361,I361)</f>
        <v/>
      </c>
      <c r="B361" s="7">
        <f>CONCATENATE(C361,E361,I361)</f>
        <v/>
      </c>
      <c r="C361" s="8" t="n">
        <v>900007674</v>
      </c>
      <c r="D361" s="7">
        <f>IFERROR(VLOOKUP(C361,TRAOPE!$G:$H,2,0),"")</f>
        <v/>
      </c>
      <c r="E361" s="8" t="inlineStr">
        <is>
          <t>DW55</t>
        </is>
      </c>
      <c r="F361" s="8" t="inlineStr">
        <is>
          <t>D342</t>
        </is>
      </c>
      <c r="G361" s="8">
        <f>IFERROR(VLOOKUP(A361,Flete!$A:$E,5,0),"")</f>
        <v/>
      </c>
      <c r="H361" s="7">
        <f>IFERROR(VLOOKUP(F361,TRAOPE!$AA:$AB,2,0),"")</f>
        <v/>
      </c>
      <c r="I361" s="7" t="n">
        <v>10000561</v>
      </c>
      <c r="J361" s="7">
        <f>IFERROR(VLOOKUP(I361,Materiales!$A:$H,8,0),"")</f>
        <v/>
      </c>
      <c r="K361" s="9">
        <f>IFERROR(VLOOKUP(I361,Materiales!$A:$G,7,0),"")</f>
        <v/>
      </c>
      <c r="L361" s="8" t="inlineStr">
        <is>
          <t>20221227</t>
        </is>
      </c>
      <c r="M361" s="8" t="inlineStr">
        <is>
          <t>20240717</t>
        </is>
      </c>
      <c r="N361" s="10" t="n">
        <v>230.77</v>
      </c>
      <c r="O361" s="10">
        <f>IFERROR(VLOOKUP(A361,Flete!$A:$J,10,0),"")</f>
        <v/>
      </c>
      <c r="P361" s="8" t="inlineStr">
        <is>
          <t>TN</t>
        </is>
      </c>
      <c r="Q361" s="10">
        <f>IFERROR(IFERROR(VLOOKUP(A361,TRAOPE!$A:$U,21,0),VLOOKUP(B361,TRAOPE!$A:$U,21,0)),"")</f>
        <v/>
      </c>
      <c r="R361" s="8">
        <f>IFERROR(IFERROR(VLOOKUP(A361,TRAOPE!$A:$W,23,0),VLOOKUP(B361,TRAOPE!$A:$W,23,0)),"")</f>
        <v/>
      </c>
      <c r="S361" s="10">
        <f>IF(AND(P361="TN",R361="TN"),N361+N(O361),IF(G361&amp;""="1",N(K361)*N361,(N361+N(O361))*N(K361)))</f>
        <v/>
      </c>
      <c r="T361" s="10">
        <f>IF(Q361="","",Q361-S361)</f>
        <v/>
      </c>
    </row>
    <row r="362">
      <c r="A362" s="7">
        <f>CONCATENATE(C362,E362,F362,I362)</f>
        <v/>
      </c>
      <c r="B362" s="7">
        <f>CONCATENATE(C362,E362,I362)</f>
        <v/>
      </c>
      <c r="C362" s="8" t="n">
        <v>900007674</v>
      </c>
      <c r="D362" s="7">
        <f>IFERROR(VLOOKUP(C362,TRAOPE!$G:$H,2,0),"")</f>
        <v/>
      </c>
      <c r="E362" s="8" t="inlineStr">
        <is>
          <t>DW55</t>
        </is>
      </c>
      <c r="F362" s="8" t="inlineStr">
        <is>
          <t>D348</t>
        </is>
      </c>
      <c r="G362" s="8">
        <f>IFERROR(VLOOKUP(A362,Flete!$A:$E,5,0),"")</f>
        <v/>
      </c>
      <c r="H362" s="7">
        <f>IFERROR(VLOOKUP(F362,TRAOPE!$AA:$AB,2,0),"")</f>
        <v/>
      </c>
      <c r="I362" s="7" t="n">
        <v>10000561</v>
      </c>
      <c r="J362" s="7">
        <f>IFERROR(VLOOKUP(I362,Materiales!$A:$H,8,0),"")</f>
        <v/>
      </c>
      <c r="K362" s="9">
        <f>IFERROR(VLOOKUP(I362,Materiales!$A:$G,7,0),"")</f>
        <v/>
      </c>
      <c r="L362" s="8" t="inlineStr">
        <is>
          <t>20221227</t>
        </is>
      </c>
      <c r="M362" s="8" t="inlineStr">
        <is>
          <t>20240717</t>
        </is>
      </c>
      <c r="N362" s="10" t="n">
        <v>230.77</v>
      </c>
      <c r="O362" s="10">
        <f>IFERROR(VLOOKUP(A362,Flete!$A:$J,10,0),"")</f>
        <v/>
      </c>
      <c r="P362" s="8" t="inlineStr">
        <is>
          <t>TN</t>
        </is>
      </c>
      <c r="Q362" s="10">
        <f>IFERROR(IFERROR(VLOOKUP(A362,TRAOPE!$A:$U,21,0),VLOOKUP(B362,TRAOPE!$A:$U,21,0)),"")</f>
        <v/>
      </c>
      <c r="R362" s="8">
        <f>IFERROR(IFERROR(VLOOKUP(A362,TRAOPE!$A:$W,23,0),VLOOKUP(B362,TRAOPE!$A:$W,23,0)),"")</f>
        <v/>
      </c>
      <c r="S362" s="10">
        <f>IF(AND(P362="TN",R362="TN"),N362+N(O362),IF(G362&amp;""="1",N(K362)*N362,(N362+N(O362))*N(K362)))</f>
        <v/>
      </c>
      <c r="T362" s="10">
        <f>IF(Q362="","",Q362-S362)</f>
        <v/>
      </c>
    </row>
    <row r="363">
      <c r="A363" s="7">
        <f>CONCATENATE(C363,E363,F363,I363)</f>
        <v/>
      </c>
      <c r="B363" s="7">
        <f>CONCATENATE(C363,E363,I363)</f>
        <v/>
      </c>
      <c r="C363" s="8" t="n">
        <v>900007715</v>
      </c>
      <c r="D363" s="7">
        <f>IFERROR(VLOOKUP(C363,TRAOPE!$G:$H,2,0),"")</f>
        <v/>
      </c>
      <c r="E363" s="8" t="inlineStr">
        <is>
          <t>DW55</t>
        </is>
      </c>
      <c r="F363" s="8" t="inlineStr">
        <is>
          <t>ER67</t>
        </is>
      </c>
      <c r="G363" s="8">
        <f>IFERROR(VLOOKUP(A363,Flete!$A:$E,5,0),"")</f>
        <v/>
      </c>
      <c r="H363" s="7">
        <f>IFERROR(VLOOKUP(F363,TRAOPE!$AA:$AB,2,0),"")</f>
        <v/>
      </c>
      <c r="I363" s="7" t="n">
        <v>10210039</v>
      </c>
      <c r="J363" s="7">
        <f>IFERROR(VLOOKUP(I363,Materiales!$A:$H,8,0),"")</f>
        <v/>
      </c>
      <c r="K363" s="9">
        <f>IFERROR(VLOOKUP(I363,Materiales!$A:$G,7,0),"")</f>
        <v/>
      </c>
      <c r="L363" s="8" t="inlineStr">
        <is>
          <t>20220504</t>
        </is>
      </c>
      <c r="M363" s="8" t="inlineStr">
        <is>
          <t>20230127</t>
        </is>
      </c>
      <c r="N363" s="10" t="n">
        <v>43.77</v>
      </c>
      <c r="O363" s="10">
        <f>IFERROR(VLOOKUP(A363,Flete!$A:$J,10,0),"")</f>
        <v/>
      </c>
      <c r="P363" s="8" t="inlineStr">
        <is>
          <t>TN</t>
        </is>
      </c>
      <c r="Q363" s="10">
        <f>IFERROR(IFERROR(VLOOKUP(A363,TRAOPE!$A:$U,21,0),VLOOKUP(B363,TRAOPE!$A:$U,21,0)),"")</f>
        <v/>
      </c>
      <c r="R363" s="8">
        <f>IFERROR(IFERROR(VLOOKUP(A363,TRAOPE!$A:$W,23,0),VLOOKUP(B363,TRAOPE!$A:$W,23,0)),"")</f>
        <v/>
      </c>
      <c r="S363" s="10">
        <f>IF(AND(P363="TN",R363="TN"),N363+N(O363),IF(G363&amp;""="1",N(K363)*N363,(N363+N(O363))*N(K363)))</f>
        <v/>
      </c>
      <c r="T363" s="10">
        <f>IF(Q363="","",Q363-S363)</f>
        <v/>
      </c>
    </row>
    <row r="364">
      <c r="A364" s="7">
        <f>CONCATENATE(C364,E364,F364,I364)</f>
        <v/>
      </c>
      <c r="B364" s="7">
        <f>CONCATENATE(C364,E364,I364)</f>
        <v/>
      </c>
      <c r="C364" s="8" t="n">
        <v>900007715</v>
      </c>
      <c r="D364" s="7">
        <f>IFERROR(VLOOKUP(C364,TRAOPE!$G:$H,2,0),"")</f>
        <v/>
      </c>
      <c r="E364" s="8" t="inlineStr">
        <is>
          <t>DW55</t>
        </is>
      </c>
      <c r="F364" s="8" t="inlineStr">
        <is>
          <t>ER68</t>
        </is>
      </c>
      <c r="G364" s="8">
        <f>IFERROR(VLOOKUP(A364,Flete!$A:$E,5,0),"")</f>
        <v/>
      </c>
      <c r="H364" s="7">
        <f>IFERROR(VLOOKUP(F364,TRAOPE!$AA:$AB,2,0),"")</f>
        <v/>
      </c>
      <c r="I364" s="7" t="n">
        <v>10210039</v>
      </c>
      <c r="J364" s="7">
        <f>IFERROR(VLOOKUP(I364,Materiales!$A:$H,8,0),"")</f>
        <v/>
      </c>
      <c r="K364" s="9">
        <f>IFERROR(VLOOKUP(I364,Materiales!$A:$G,7,0),"")</f>
        <v/>
      </c>
      <c r="L364" s="8" t="inlineStr">
        <is>
          <t>20220501</t>
        </is>
      </c>
      <c r="M364" s="8" t="inlineStr">
        <is>
          <t>20240717</t>
        </is>
      </c>
      <c r="N364" s="10" t="n">
        <v>43.77</v>
      </c>
      <c r="O364" s="10">
        <f>IFERROR(VLOOKUP(A364,Flete!$A:$J,10,0),"")</f>
        <v/>
      </c>
      <c r="P364" s="8" t="inlineStr">
        <is>
          <t>TN</t>
        </is>
      </c>
      <c r="Q364" s="10">
        <f>IFERROR(IFERROR(VLOOKUP(A364,TRAOPE!$A:$U,21,0),VLOOKUP(B364,TRAOPE!$A:$U,21,0)),"")</f>
        <v/>
      </c>
      <c r="R364" s="8">
        <f>IFERROR(IFERROR(VLOOKUP(A364,TRAOPE!$A:$W,23,0),VLOOKUP(B364,TRAOPE!$A:$W,23,0)),"")</f>
        <v/>
      </c>
      <c r="S364" s="10">
        <f>IF(AND(P364="TN",R364="TN"),N364+N(O364),IF(G364&amp;""="1",N(K364)*N364,(N364+N(O364))*N(K364)))</f>
        <v/>
      </c>
      <c r="T364" s="10">
        <f>IF(Q364="","",Q364-S364)</f>
        <v/>
      </c>
    </row>
    <row r="365">
      <c r="A365" s="7">
        <f>CONCATENATE(C365,E365,F365,I365)</f>
        <v/>
      </c>
      <c r="B365" s="7">
        <f>CONCATENATE(C365,E365,I365)</f>
        <v/>
      </c>
      <c r="C365" s="8" t="n">
        <v>900007717</v>
      </c>
      <c r="D365" s="7">
        <f>IFERROR(VLOOKUP(C365,TRAOPE!$G:$H,2,0),"")</f>
        <v/>
      </c>
      <c r="E365" s="8" t="inlineStr">
        <is>
          <t>DW55</t>
        </is>
      </c>
      <c r="F365" s="8" t="inlineStr">
        <is>
          <t>ER67</t>
        </is>
      </c>
      <c r="G365" s="8">
        <f>IFERROR(VLOOKUP(A365,Flete!$A:$E,5,0),"")</f>
        <v/>
      </c>
      <c r="H365" s="7">
        <f>IFERROR(VLOOKUP(F365,TRAOPE!$AA:$AB,2,0),"")</f>
        <v/>
      </c>
      <c r="I365" s="7" t="n">
        <v>10210039</v>
      </c>
      <c r="J365" s="7">
        <f>IFERROR(VLOOKUP(I365,Materiales!$A:$H,8,0),"")</f>
        <v/>
      </c>
      <c r="K365" s="9">
        <f>IFERROR(VLOOKUP(I365,Materiales!$A:$G,7,0),"")</f>
        <v/>
      </c>
      <c r="L365" s="8" t="inlineStr">
        <is>
          <t>20220504</t>
        </is>
      </c>
      <c r="M365" s="8" t="inlineStr">
        <is>
          <t>20230127</t>
        </is>
      </c>
      <c r="N365" s="10" t="n">
        <v>50.51</v>
      </c>
      <c r="O365" s="10">
        <f>IFERROR(VLOOKUP(A365,Flete!$A:$J,10,0),"")</f>
        <v/>
      </c>
      <c r="P365" s="8" t="inlineStr">
        <is>
          <t>TN</t>
        </is>
      </c>
      <c r="Q365" s="10">
        <f>IFERROR(IFERROR(VLOOKUP(A365,TRAOPE!$A:$U,21,0),VLOOKUP(B365,TRAOPE!$A:$U,21,0)),"")</f>
        <v/>
      </c>
      <c r="R365" s="8">
        <f>IFERROR(IFERROR(VLOOKUP(A365,TRAOPE!$A:$W,23,0),VLOOKUP(B365,TRAOPE!$A:$W,23,0)),"")</f>
        <v/>
      </c>
      <c r="S365" s="10">
        <f>IF(AND(P365="TN",R365="TN"),N365+N(O365),IF(G365&amp;""="1",N(K365)*N365,(N365+N(O365))*N(K365)))</f>
        <v/>
      </c>
      <c r="T365" s="10">
        <f>IF(Q365="","",Q365-S365)</f>
        <v/>
      </c>
    </row>
    <row r="366">
      <c r="A366" s="7">
        <f>CONCATENATE(C366,E366,F366,I366)</f>
        <v/>
      </c>
      <c r="B366" s="7">
        <f>CONCATENATE(C366,E366,I366)</f>
        <v/>
      </c>
      <c r="C366" s="8" t="n">
        <v>900007717</v>
      </c>
      <c r="D366" s="7">
        <f>IFERROR(VLOOKUP(C366,TRAOPE!$G:$H,2,0),"")</f>
        <v/>
      </c>
      <c r="E366" s="8" t="inlineStr">
        <is>
          <t>DW55</t>
        </is>
      </c>
      <c r="F366" s="8" t="inlineStr">
        <is>
          <t>ER68</t>
        </is>
      </c>
      <c r="G366" s="8">
        <f>IFERROR(VLOOKUP(A366,Flete!$A:$E,5,0),"")</f>
        <v/>
      </c>
      <c r="H366" s="7">
        <f>IFERROR(VLOOKUP(F366,TRAOPE!$AA:$AB,2,0),"")</f>
        <v/>
      </c>
      <c r="I366" s="7" t="n">
        <v>10210039</v>
      </c>
      <c r="J366" s="7">
        <f>IFERROR(VLOOKUP(I366,Materiales!$A:$H,8,0),"")</f>
        <v/>
      </c>
      <c r="K366" s="9">
        <f>IFERROR(VLOOKUP(I366,Materiales!$A:$G,7,0),"")</f>
        <v/>
      </c>
      <c r="L366" s="8" t="inlineStr">
        <is>
          <t>20220501</t>
        </is>
      </c>
      <c r="M366" s="8" t="inlineStr">
        <is>
          <t>20240726</t>
        </is>
      </c>
      <c r="N366" s="10" t="n">
        <v>50.51</v>
      </c>
      <c r="O366" s="10">
        <f>IFERROR(VLOOKUP(A366,Flete!$A:$J,10,0),"")</f>
        <v/>
      </c>
      <c r="P366" s="8" t="inlineStr">
        <is>
          <t>TN</t>
        </is>
      </c>
      <c r="Q366" s="10">
        <f>IFERROR(IFERROR(VLOOKUP(A366,TRAOPE!$A:$U,21,0),VLOOKUP(B366,TRAOPE!$A:$U,21,0)),"")</f>
        <v/>
      </c>
      <c r="R366" s="8">
        <f>IFERROR(IFERROR(VLOOKUP(A366,TRAOPE!$A:$W,23,0),VLOOKUP(B366,TRAOPE!$A:$W,23,0)),"")</f>
        <v/>
      </c>
      <c r="S366" s="10">
        <f>IF(AND(P366="TN",R366="TN"),N366+N(O366),IF(G366&amp;""="1",N(K366)*N366,(N366+N(O366))*N(K366)))</f>
        <v/>
      </c>
      <c r="T366" s="10">
        <f>IF(Q366="","",Q366-S366)</f>
        <v/>
      </c>
    </row>
    <row r="367">
      <c r="A367" s="7">
        <f>CONCATENATE(C367,E367,F367,I367)</f>
        <v/>
      </c>
      <c r="B367" s="7">
        <f>CONCATENATE(C367,E367,I367)</f>
        <v/>
      </c>
      <c r="C367" s="8" t="n">
        <v>900007718</v>
      </c>
      <c r="D367" s="7">
        <f>IFERROR(VLOOKUP(C367,TRAOPE!$G:$H,2,0),"")</f>
        <v/>
      </c>
      <c r="E367" s="8" t="inlineStr">
        <is>
          <t>DW55</t>
        </is>
      </c>
      <c r="F367" s="8" t="inlineStr">
        <is>
          <t>D348</t>
        </is>
      </c>
      <c r="G367" s="8">
        <f>IFERROR(VLOOKUP(A367,Flete!$A:$E,5,0),"")</f>
        <v/>
      </c>
      <c r="H367" s="7">
        <f>IFERROR(VLOOKUP(F367,TRAOPE!$AA:$AB,2,0),"")</f>
        <v/>
      </c>
      <c r="I367" s="7" t="n">
        <v>10000372</v>
      </c>
      <c r="J367" s="7">
        <f>IFERROR(VLOOKUP(I367,Materiales!$A:$H,8,0),"")</f>
        <v/>
      </c>
      <c r="K367" s="9">
        <f>IFERROR(VLOOKUP(I367,Materiales!$A:$G,7,0),"")</f>
        <v/>
      </c>
      <c r="L367" s="8" t="inlineStr">
        <is>
          <t>20230401</t>
        </is>
      </c>
      <c r="M367" s="8" t="inlineStr">
        <is>
          <t>20240726</t>
        </is>
      </c>
      <c r="N367" s="10" t="n">
        <v>172.65</v>
      </c>
      <c r="O367" s="10">
        <f>IFERROR(VLOOKUP(A367,Flete!$A:$J,10,0),"")</f>
        <v/>
      </c>
      <c r="P367" s="8" t="inlineStr">
        <is>
          <t>TN</t>
        </is>
      </c>
      <c r="Q367" s="10">
        <f>IFERROR(IFERROR(VLOOKUP(A367,TRAOPE!$A:$U,21,0),VLOOKUP(B367,TRAOPE!$A:$U,21,0)),"")</f>
        <v/>
      </c>
      <c r="R367" s="8">
        <f>IFERROR(IFERROR(VLOOKUP(A367,TRAOPE!$A:$W,23,0),VLOOKUP(B367,TRAOPE!$A:$W,23,0)),"")</f>
        <v/>
      </c>
      <c r="S367" s="10">
        <f>IF(AND(P367="TN",R367="TN"),N367+N(O367),IF(G367&amp;""="1",N(K367)*N367,(N367+N(O367))*N(K367)))</f>
        <v/>
      </c>
      <c r="T367" s="10">
        <f>IF(Q367="","",Q367-S367)</f>
        <v/>
      </c>
    </row>
    <row r="368">
      <c r="A368" s="7">
        <f>CONCATENATE(C368,E368,F368,I368)</f>
        <v/>
      </c>
      <c r="B368" s="7">
        <f>CONCATENATE(C368,E368,I368)</f>
        <v/>
      </c>
      <c r="C368" s="8" t="n">
        <v>900007772</v>
      </c>
      <c r="D368" s="7">
        <f>IFERROR(VLOOKUP(C368,TRAOPE!$G:$H,2,0),"")</f>
        <v/>
      </c>
      <c r="E368" s="8" t="inlineStr">
        <is>
          <t>DW55</t>
        </is>
      </c>
      <c r="F368" s="8" t="inlineStr">
        <is>
          <t>D348</t>
        </is>
      </c>
      <c r="G368" s="8">
        <f>IFERROR(VLOOKUP(A368,Flete!$A:$E,5,0),"")</f>
        <v/>
      </c>
      <c r="H368" s="7">
        <f>IFERROR(VLOOKUP(F368,TRAOPE!$AA:$AB,2,0),"")</f>
        <v/>
      </c>
      <c r="I368" s="7" t="n">
        <v>10213318</v>
      </c>
      <c r="J368" s="7">
        <f>IFERROR(VLOOKUP(I368,Materiales!$A:$H,8,0),"")</f>
        <v/>
      </c>
      <c r="K368" s="9">
        <f>IFERROR(VLOOKUP(I368,Materiales!$A:$G,7,0),"")</f>
        <v/>
      </c>
      <c r="L368" s="8" t="inlineStr">
        <is>
          <t>20230401</t>
        </is>
      </c>
      <c r="M368" s="8" t="inlineStr">
        <is>
          <t>20240726</t>
        </is>
      </c>
      <c r="N368" s="10" t="n">
        <v>446.62</v>
      </c>
      <c r="O368" s="10">
        <f>IFERROR(VLOOKUP(A368,Flete!$A:$J,10,0),"")</f>
        <v/>
      </c>
      <c r="P368" s="8" t="inlineStr">
        <is>
          <t>TN</t>
        </is>
      </c>
      <c r="Q368" s="10">
        <f>IFERROR(IFERROR(VLOOKUP(A368,TRAOPE!$A:$U,21,0),VLOOKUP(B368,TRAOPE!$A:$U,21,0)),"")</f>
        <v/>
      </c>
      <c r="R368" s="8">
        <f>IFERROR(IFERROR(VLOOKUP(A368,TRAOPE!$A:$W,23,0),VLOOKUP(B368,TRAOPE!$A:$W,23,0)),"")</f>
        <v/>
      </c>
      <c r="S368" s="10">
        <f>IF(AND(P368="TN",R368="TN"),N368+N(O368),IF(G368&amp;""="1",N(K368)*N368,(N368+N(O368))*N(K368)))</f>
        <v/>
      </c>
      <c r="T368" s="10">
        <f>IF(Q368="","",Q368-S368)</f>
        <v/>
      </c>
    </row>
    <row r="369">
      <c r="A369" s="7">
        <f>CONCATENATE(C369,E369,F369,I369)</f>
        <v/>
      </c>
      <c r="B369" s="7">
        <f>CONCATENATE(C369,E369,I369)</f>
        <v/>
      </c>
      <c r="C369" s="8" t="n">
        <v>900007800</v>
      </c>
      <c r="D369" s="7">
        <f>IFERROR(VLOOKUP(C369,TRAOPE!$G:$H,2,0),"")</f>
        <v/>
      </c>
      <c r="E369" s="8" t="inlineStr">
        <is>
          <t>DW55</t>
        </is>
      </c>
      <c r="F369" s="8" t="inlineStr">
        <is>
          <t>D284</t>
        </is>
      </c>
      <c r="G369" s="8">
        <f>IFERROR(VLOOKUP(A369,Flete!$A:$E,5,0),"")</f>
        <v/>
      </c>
      <c r="H369" s="7">
        <f>IFERROR(VLOOKUP(F369,TRAOPE!$AA:$AB,2,0),"")</f>
        <v/>
      </c>
      <c r="I369" s="7" t="n">
        <v>10000178</v>
      </c>
      <c r="J369" s="7">
        <f>IFERROR(VLOOKUP(I369,Materiales!$A:$H,8,0),"")</f>
        <v/>
      </c>
      <c r="K369" s="9">
        <f>IFERROR(VLOOKUP(I369,Materiales!$A:$G,7,0),"")</f>
        <v/>
      </c>
      <c r="L369" s="8" t="inlineStr">
        <is>
          <t>20220713</t>
        </is>
      </c>
      <c r="M369" s="8" t="inlineStr">
        <is>
          <t>20240726</t>
        </is>
      </c>
      <c r="N369" s="10" t="n">
        <v>165.89</v>
      </c>
      <c r="O369" s="10">
        <f>IFERROR(VLOOKUP(A369,Flete!$A:$J,10,0),"")</f>
        <v/>
      </c>
      <c r="P369" s="8" t="inlineStr">
        <is>
          <t>TN</t>
        </is>
      </c>
      <c r="Q369" s="10">
        <f>IFERROR(IFERROR(VLOOKUP(A369,TRAOPE!$A:$U,21,0),VLOOKUP(B369,TRAOPE!$A:$U,21,0)),"")</f>
        <v/>
      </c>
      <c r="R369" s="8">
        <f>IFERROR(IFERROR(VLOOKUP(A369,TRAOPE!$A:$W,23,0),VLOOKUP(B369,TRAOPE!$A:$W,23,0)),"")</f>
        <v/>
      </c>
      <c r="S369" s="10">
        <f>IF(AND(P369="TN",R369="TN"),N369+N(O369),IF(G369&amp;""="1",N(K369)*N369,(N369+N(O369))*N(K369)))</f>
        <v/>
      </c>
      <c r="T369" s="10">
        <f>IF(Q369="","",Q369-S369)</f>
        <v/>
      </c>
    </row>
    <row r="370">
      <c r="A370" s="7">
        <f>CONCATENATE(C370,E370,F370,I370)</f>
        <v/>
      </c>
      <c r="B370" s="7">
        <f>CONCATENATE(C370,E370,I370)</f>
        <v/>
      </c>
      <c r="C370" s="8" t="n">
        <v>900007800</v>
      </c>
      <c r="D370" s="7">
        <f>IFERROR(VLOOKUP(C370,TRAOPE!$G:$H,2,0),"")</f>
        <v/>
      </c>
      <c r="E370" s="8" t="inlineStr">
        <is>
          <t>DW55</t>
        </is>
      </c>
      <c r="F370" s="8" t="inlineStr">
        <is>
          <t>D284</t>
        </is>
      </c>
      <c r="G370" s="8">
        <f>IFERROR(VLOOKUP(A370,Flete!$A:$E,5,0),"")</f>
        <v/>
      </c>
      <c r="H370" s="7">
        <f>IFERROR(VLOOKUP(F370,TRAOPE!$AA:$AB,2,0),"")</f>
        <v/>
      </c>
      <c r="I370" s="7" t="n">
        <v>10000541</v>
      </c>
      <c r="J370" s="7">
        <f>IFERROR(VLOOKUP(I370,Materiales!$A:$H,8,0),"")</f>
        <v/>
      </c>
      <c r="K370" s="9">
        <f>IFERROR(VLOOKUP(I370,Materiales!$A:$G,7,0),"")</f>
        <v/>
      </c>
      <c r="L370" s="8" t="inlineStr">
        <is>
          <t>20250428</t>
        </is>
      </c>
      <c r="M370" s="8" t="inlineStr">
        <is>
          <t>20251031</t>
        </is>
      </c>
      <c r="N370" s="10" t="n">
        <v>84.81</v>
      </c>
      <c r="O370" s="10">
        <f>IFERROR(VLOOKUP(A370,Flete!$A:$J,10,0),"")</f>
        <v/>
      </c>
      <c r="P370" s="8" t="inlineStr">
        <is>
          <t>TN</t>
        </is>
      </c>
      <c r="Q370" s="10">
        <f>IFERROR(IFERROR(VLOOKUP(A370,TRAOPE!$A:$U,21,0),VLOOKUP(B370,TRAOPE!$A:$U,21,0)),"")</f>
        <v/>
      </c>
      <c r="R370" s="8">
        <f>IFERROR(IFERROR(VLOOKUP(A370,TRAOPE!$A:$W,23,0),VLOOKUP(B370,TRAOPE!$A:$W,23,0)),"")</f>
        <v/>
      </c>
      <c r="S370" s="10">
        <f>IF(AND(P370="TN",R370="TN"),N370+N(O370),IF(G370&amp;""="1",N(K370)*N370,(N370+N(O370))*N(K370)))</f>
        <v/>
      </c>
      <c r="T370" s="10">
        <f>IF(Q370="","",Q370-S370)</f>
        <v/>
      </c>
    </row>
    <row r="371">
      <c r="A371" s="7">
        <f>CONCATENATE(C371,E371,F371,I371)</f>
        <v/>
      </c>
      <c r="B371" s="7">
        <f>CONCATENATE(C371,E371,I371)</f>
        <v/>
      </c>
      <c r="C371" s="8" t="n">
        <v>900007800</v>
      </c>
      <c r="D371" s="7">
        <f>IFERROR(VLOOKUP(C371,TRAOPE!$G:$H,2,0),"")</f>
        <v/>
      </c>
      <c r="E371" s="8" t="inlineStr">
        <is>
          <t>DW55</t>
        </is>
      </c>
      <c r="F371" s="8" t="inlineStr">
        <is>
          <t>D284</t>
        </is>
      </c>
      <c r="G371" s="8">
        <f>IFERROR(VLOOKUP(A371,Flete!$A:$E,5,0),"")</f>
        <v/>
      </c>
      <c r="H371" s="7">
        <f>IFERROR(VLOOKUP(F371,TRAOPE!$AA:$AB,2,0),"")</f>
        <v/>
      </c>
      <c r="I371" s="7" t="n">
        <v>10000826</v>
      </c>
      <c r="J371" s="7">
        <f>IFERROR(VLOOKUP(I371,Materiales!$A:$H,8,0),"")</f>
        <v/>
      </c>
      <c r="K371" s="9">
        <f>IFERROR(VLOOKUP(I371,Materiales!$A:$G,7,0),"")</f>
        <v/>
      </c>
      <c r="L371" s="8" t="inlineStr">
        <is>
          <t>20220713</t>
        </is>
      </c>
      <c r="M371" s="8" t="inlineStr">
        <is>
          <t>20240726</t>
        </is>
      </c>
      <c r="N371" s="10" t="n">
        <v>165.52</v>
      </c>
      <c r="O371" s="10">
        <f>IFERROR(VLOOKUP(A371,Flete!$A:$J,10,0),"")</f>
        <v/>
      </c>
      <c r="P371" s="8" t="inlineStr">
        <is>
          <t>TN</t>
        </is>
      </c>
      <c r="Q371" s="10">
        <f>IFERROR(IFERROR(VLOOKUP(A371,TRAOPE!$A:$U,21,0),VLOOKUP(B371,TRAOPE!$A:$U,21,0)),"")</f>
        <v/>
      </c>
      <c r="R371" s="8">
        <f>IFERROR(IFERROR(VLOOKUP(A371,TRAOPE!$A:$W,23,0),VLOOKUP(B371,TRAOPE!$A:$W,23,0)),"")</f>
        <v/>
      </c>
      <c r="S371" s="10">
        <f>IF(AND(P371="TN",R371="TN"),N371+N(O371),IF(G371&amp;""="1",N(K371)*N371,(N371+N(O371))*N(K371)))</f>
        <v/>
      </c>
      <c r="T371" s="10">
        <f>IF(Q371="","",Q371-S371)</f>
        <v/>
      </c>
    </row>
    <row r="372">
      <c r="A372" s="7">
        <f>CONCATENATE(C372,E372,F372,I372)</f>
        <v/>
      </c>
      <c r="B372" s="7">
        <f>CONCATENATE(C372,E372,I372)</f>
        <v/>
      </c>
      <c r="C372" s="8" t="n">
        <v>900007800</v>
      </c>
      <c r="D372" s="7">
        <f>IFERROR(VLOOKUP(C372,TRAOPE!$G:$H,2,0),"")</f>
        <v/>
      </c>
      <c r="E372" s="8" t="inlineStr">
        <is>
          <t>DW55</t>
        </is>
      </c>
      <c r="F372" s="8" t="inlineStr">
        <is>
          <t>D309</t>
        </is>
      </c>
      <c r="G372" s="8">
        <f>IFERROR(VLOOKUP(A372,Flete!$A:$E,5,0),"")</f>
        <v/>
      </c>
      <c r="H372" s="7">
        <f>IFERROR(VLOOKUP(F372,TRAOPE!$AA:$AB,2,0),"")</f>
        <v/>
      </c>
      <c r="I372" s="7" t="n">
        <v>10000178</v>
      </c>
      <c r="J372" s="7">
        <f>IFERROR(VLOOKUP(I372,Materiales!$A:$H,8,0),"")</f>
        <v/>
      </c>
      <c r="K372" s="9">
        <f>IFERROR(VLOOKUP(I372,Materiales!$A:$G,7,0),"")</f>
        <v/>
      </c>
      <c r="L372" s="8" t="inlineStr">
        <is>
          <t>20220517</t>
        </is>
      </c>
      <c r="M372" s="8" t="inlineStr">
        <is>
          <t>20240726</t>
        </is>
      </c>
      <c r="N372" s="10" t="n">
        <v>165.89</v>
      </c>
      <c r="O372" s="10">
        <f>IFERROR(VLOOKUP(A372,Flete!$A:$J,10,0),"")</f>
        <v/>
      </c>
      <c r="P372" s="8" t="inlineStr">
        <is>
          <t>TN</t>
        </is>
      </c>
      <c r="Q372" s="10">
        <f>IFERROR(IFERROR(VLOOKUP(A372,TRAOPE!$A:$U,21,0),VLOOKUP(B372,TRAOPE!$A:$U,21,0)),"")</f>
        <v/>
      </c>
      <c r="R372" s="8">
        <f>IFERROR(IFERROR(VLOOKUP(A372,TRAOPE!$A:$W,23,0),VLOOKUP(B372,TRAOPE!$A:$W,23,0)),"")</f>
        <v/>
      </c>
      <c r="S372" s="10">
        <f>IF(AND(P372="TN",R372="TN"),N372+N(O372),IF(G372&amp;""="1",N(K372)*N372,(N372+N(O372))*N(K372)))</f>
        <v/>
      </c>
      <c r="T372" s="10">
        <f>IF(Q372="","",Q372-S372)</f>
        <v/>
      </c>
    </row>
    <row r="373">
      <c r="A373" s="7">
        <f>CONCATENATE(C373,E373,F373,I373)</f>
        <v/>
      </c>
      <c r="B373" s="7">
        <f>CONCATENATE(C373,E373,I373)</f>
        <v/>
      </c>
      <c r="C373" s="8" t="n">
        <v>900007800</v>
      </c>
      <c r="D373" s="7">
        <f>IFERROR(VLOOKUP(C373,TRAOPE!$G:$H,2,0),"")</f>
        <v/>
      </c>
      <c r="E373" s="8" t="inlineStr">
        <is>
          <t>DW55</t>
        </is>
      </c>
      <c r="F373" s="8" t="inlineStr">
        <is>
          <t>D309</t>
        </is>
      </c>
      <c r="G373" s="8">
        <f>IFERROR(VLOOKUP(A373,Flete!$A:$E,5,0),"")</f>
        <v/>
      </c>
      <c r="H373" s="7">
        <f>IFERROR(VLOOKUP(F373,TRAOPE!$AA:$AB,2,0),"")</f>
        <v/>
      </c>
      <c r="I373" s="7" t="n">
        <v>10000541</v>
      </c>
      <c r="J373" s="7">
        <f>IFERROR(VLOOKUP(I373,Materiales!$A:$H,8,0),"")</f>
        <v/>
      </c>
      <c r="K373" s="9">
        <f>IFERROR(VLOOKUP(I373,Materiales!$A:$G,7,0),"")</f>
        <v/>
      </c>
      <c r="L373" s="8" t="inlineStr">
        <is>
          <t>20240122</t>
        </is>
      </c>
      <c r="M373" s="8" t="inlineStr">
        <is>
          <t>20241015</t>
        </is>
      </c>
      <c r="N373" s="10" t="n">
        <v>84.81</v>
      </c>
      <c r="O373" s="10">
        <f>IFERROR(VLOOKUP(A373,Flete!$A:$J,10,0),"")</f>
        <v/>
      </c>
      <c r="P373" s="8" t="inlineStr">
        <is>
          <t>TN</t>
        </is>
      </c>
      <c r="Q373" s="10">
        <f>IFERROR(IFERROR(VLOOKUP(A373,TRAOPE!$A:$U,21,0),VLOOKUP(B373,TRAOPE!$A:$U,21,0)),"")</f>
        <v/>
      </c>
      <c r="R373" s="8">
        <f>IFERROR(IFERROR(VLOOKUP(A373,TRAOPE!$A:$W,23,0),VLOOKUP(B373,TRAOPE!$A:$W,23,0)),"")</f>
        <v/>
      </c>
      <c r="S373" s="10">
        <f>IF(AND(P373="TN",R373="TN"),N373+N(O373),IF(G373&amp;""="1",N(K373)*N373,(N373+N(O373))*N(K373)))</f>
        <v/>
      </c>
      <c r="T373" s="10">
        <f>IF(Q373="","",Q373-S373)</f>
        <v/>
      </c>
    </row>
    <row r="374">
      <c r="A374" s="7">
        <f>CONCATENATE(C374,E374,F374,I374)</f>
        <v/>
      </c>
      <c r="B374" s="7">
        <f>CONCATENATE(C374,E374,I374)</f>
        <v/>
      </c>
      <c r="C374" s="8" t="n">
        <v>900007800</v>
      </c>
      <c r="D374" s="7">
        <f>IFERROR(VLOOKUP(C374,TRAOPE!$G:$H,2,0),"")</f>
        <v/>
      </c>
      <c r="E374" s="8" t="inlineStr">
        <is>
          <t>DW55</t>
        </is>
      </c>
      <c r="F374" s="8" t="inlineStr">
        <is>
          <t>D309</t>
        </is>
      </c>
      <c r="G374" s="8">
        <f>IFERROR(VLOOKUP(A374,Flete!$A:$E,5,0),"")</f>
        <v/>
      </c>
      <c r="H374" s="7">
        <f>IFERROR(VLOOKUP(F374,TRAOPE!$AA:$AB,2,0),"")</f>
        <v/>
      </c>
      <c r="I374" s="7" t="n">
        <v>10000826</v>
      </c>
      <c r="J374" s="7">
        <f>IFERROR(VLOOKUP(I374,Materiales!$A:$H,8,0),"")</f>
        <v/>
      </c>
      <c r="K374" s="9">
        <f>IFERROR(VLOOKUP(I374,Materiales!$A:$G,7,0),"")</f>
        <v/>
      </c>
      <c r="L374" s="8" t="inlineStr">
        <is>
          <t>20220517</t>
        </is>
      </c>
      <c r="M374" s="8" t="inlineStr">
        <is>
          <t>20240726</t>
        </is>
      </c>
      <c r="N374" s="10" t="n">
        <v>165.52</v>
      </c>
      <c r="O374" s="10">
        <f>IFERROR(VLOOKUP(A374,Flete!$A:$J,10,0),"")</f>
        <v/>
      </c>
      <c r="P374" s="8" t="inlineStr">
        <is>
          <t>TN</t>
        </is>
      </c>
      <c r="Q374" s="10">
        <f>IFERROR(IFERROR(VLOOKUP(A374,TRAOPE!$A:$U,21,0),VLOOKUP(B374,TRAOPE!$A:$U,21,0)),"")</f>
        <v/>
      </c>
      <c r="R374" s="8">
        <f>IFERROR(IFERROR(VLOOKUP(A374,TRAOPE!$A:$W,23,0),VLOOKUP(B374,TRAOPE!$A:$W,23,0)),"")</f>
        <v/>
      </c>
      <c r="S374" s="10">
        <f>IF(AND(P374="TN",R374="TN"),N374+N(O374),IF(G374&amp;""="1",N(K374)*N374,(N374+N(O374))*N(K374)))</f>
        <v/>
      </c>
      <c r="T374" s="10">
        <f>IF(Q374="","",Q374-S374)</f>
        <v/>
      </c>
    </row>
    <row r="375">
      <c r="A375" s="7">
        <f>CONCATENATE(C375,E375,F375,I375)</f>
        <v/>
      </c>
      <c r="B375" s="7">
        <f>CONCATENATE(C375,E375,I375)</f>
        <v/>
      </c>
      <c r="C375" s="8" t="n">
        <v>900007800</v>
      </c>
      <c r="D375" s="7">
        <f>IFERROR(VLOOKUP(C375,TRAOPE!$G:$H,2,0),"")</f>
        <v/>
      </c>
      <c r="E375" s="8" t="inlineStr">
        <is>
          <t>DW55</t>
        </is>
      </c>
      <c r="F375" s="8" t="inlineStr">
        <is>
          <t>D325</t>
        </is>
      </c>
      <c r="G375" s="8">
        <f>IFERROR(VLOOKUP(A375,Flete!$A:$E,5,0),"")</f>
        <v/>
      </c>
      <c r="H375" s="7">
        <f>IFERROR(VLOOKUP(F375,TRAOPE!$AA:$AB,2,0),"")</f>
        <v/>
      </c>
      <c r="I375" s="7" t="n">
        <v>10000541</v>
      </c>
      <c r="J375" s="7">
        <f>IFERROR(VLOOKUP(I375,Materiales!$A:$H,8,0),"")</f>
        <v/>
      </c>
      <c r="K375" s="9">
        <f>IFERROR(VLOOKUP(I375,Materiales!$A:$G,7,0),"")</f>
        <v/>
      </c>
      <c r="L375" s="8" t="inlineStr">
        <is>
          <t>20240726</t>
        </is>
      </c>
      <c r="M375" s="8" t="inlineStr">
        <is>
          <t>99991231</t>
        </is>
      </c>
      <c r="N375" s="10" t="n">
        <v>196.34</v>
      </c>
      <c r="O375" s="10">
        <f>IFERROR(VLOOKUP(A375,Flete!$A:$J,10,0),"")</f>
        <v/>
      </c>
      <c r="P375" s="8" t="inlineStr">
        <is>
          <t>TN</t>
        </is>
      </c>
      <c r="Q375" s="10">
        <f>IFERROR(IFERROR(VLOOKUP(A375,TRAOPE!$A:$U,21,0),VLOOKUP(B375,TRAOPE!$A:$U,21,0)),"")</f>
        <v/>
      </c>
      <c r="R375" s="8">
        <f>IFERROR(IFERROR(VLOOKUP(A375,TRAOPE!$A:$W,23,0),VLOOKUP(B375,TRAOPE!$A:$W,23,0)),"")</f>
        <v/>
      </c>
      <c r="S375" s="10">
        <f>IF(AND(P375="TN",R375="TN"),N375+N(O375),IF(G375&amp;""="1",N(K375)*N375,(N375+N(O375))*N(K375)))</f>
        <v/>
      </c>
      <c r="T375" s="10">
        <f>IF(Q375="","",Q375-S375)</f>
        <v/>
      </c>
    </row>
    <row r="376">
      <c r="A376" s="7">
        <f>CONCATENATE(C376,E376,F376,I376)</f>
        <v/>
      </c>
      <c r="B376" s="7">
        <f>CONCATENATE(C376,E376,I376)</f>
        <v/>
      </c>
      <c r="C376" s="8" t="n">
        <v>900007800</v>
      </c>
      <c r="D376" s="7">
        <f>IFERROR(VLOOKUP(C376,TRAOPE!$G:$H,2,0),"")</f>
        <v/>
      </c>
      <c r="E376" s="8" t="inlineStr">
        <is>
          <t>DW55</t>
        </is>
      </c>
      <c r="F376" s="8" t="inlineStr">
        <is>
          <t>D342</t>
        </is>
      </c>
      <c r="G376" s="8">
        <f>IFERROR(VLOOKUP(A376,Flete!$A:$E,5,0),"")</f>
        <v/>
      </c>
      <c r="H376" s="7">
        <f>IFERROR(VLOOKUP(F376,TRAOPE!$AA:$AB,2,0),"")</f>
        <v/>
      </c>
      <c r="I376" s="7" t="n">
        <v>10000178</v>
      </c>
      <c r="J376" s="7">
        <f>IFERROR(VLOOKUP(I376,Materiales!$A:$H,8,0),"")</f>
        <v/>
      </c>
      <c r="K376" s="9">
        <f>IFERROR(VLOOKUP(I376,Materiales!$A:$G,7,0),"")</f>
        <v/>
      </c>
      <c r="L376" s="8" t="inlineStr">
        <is>
          <t>20220713</t>
        </is>
      </c>
      <c r="M376" s="8" t="inlineStr">
        <is>
          <t>20240726</t>
        </is>
      </c>
      <c r="N376" s="10" t="n">
        <v>165.89</v>
      </c>
      <c r="O376" s="10">
        <f>IFERROR(VLOOKUP(A376,Flete!$A:$J,10,0),"")</f>
        <v/>
      </c>
      <c r="P376" s="8" t="inlineStr">
        <is>
          <t>TN</t>
        </is>
      </c>
      <c r="Q376" s="10">
        <f>IFERROR(IFERROR(VLOOKUP(A376,TRAOPE!$A:$U,21,0),VLOOKUP(B376,TRAOPE!$A:$U,21,0)),"")</f>
        <v/>
      </c>
      <c r="R376" s="8">
        <f>IFERROR(IFERROR(VLOOKUP(A376,TRAOPE!$A:$W,23,0),VLOOKUP(B376,TRAOPE!$A:$W,23,0)),"")</f>
        <v/>
      </c>
      <c r="S376" s="10">
        <f>IF(AND(P376="TN",R376="TN"),N376+N(O376),IF(G376&amp;""="1",N(K376)*N376,(N376+N(O376))*N(K376)))</f>
        <v/>
      </c>
      <c r="T376" s="10">
        <f>IF(Q376="","",Q376-S376)</f>
        <v/>
      </c>
    </row>
    <row r="377">
      <c r="A377" s="7">
        <f>CONCATENATE(C377,E377,F377,I377)</f>
        <v/>
      </c>
      <c r="B377" s="7">
        <f>CONCATENATE(C377,E377,I377)</f>
        <v/>
      </c>
      <c r="C377" s="8" t="n">
        <v>900007800</v>
      </c>
      <c r="D377" s="7">
        <f>IFERROR(VLOOKUP(C377,TRAOPE!$G:$H,2,0),"")</f>
        <v/>
      </c>
      <c r="E377" s="8" t="inlineStr">
        <is>
          <t>DW55</t>
        </is>
      </c>
      <c r="F377" s="8" t="inlineStr">
        <is>
          <t>D342</t>
        </is>
      </c>
      <c r="G377" s="8">
        <f>IFERROR(VLOOKUP(A377,Flete!$A:$E,5,0),"")</f>
        <v/>
      </c>
      <c r="H377" s="7">
        <f>IFERROR(VLOOKUP(F377,TRAOPE!$AA:$AB,2,0),"")</f>
        <v/>
      </c>
      <c r="I377" s="7" t="n">
        <v>10000541</v>
      </c>
      <c r="J377" s="7">
        <f>IFERROR(VLOOKUP(I377,Materiales!$A:$H,8,0),"")</f>
        <v/>
      </c>
      <c r="K377" s="9">
        <f>IFERROR(VLOOKUP(I377,Materiales!$A:$G,7,0),"")</f>
        <v/>
      </c>
      <c r="L377" s="8" t="inlineStr">
        <is>
          <t>20250428</t>
        </is>
      </c>
      <c r="M377" s="8" t="inlineStr">
        <is>
          <t>20251031</t>
        </is>
      </c>
      <c r="N377" s="10" t="n">
        <v>215.97</v>
      </c>
      <c r="O377" s="10">
        <f>IFERROR(VLOOKUP(A377,Flete!$A:$J,10,0),"")</f>
        <v/>
      </c>
      <c r="P377" s="8" t="inlineStr">
        <is>
          <t>TN</t>
        </is>
      </c>
      <c r="Q377" s="10">
        <f>IFERROR(IFERROR(VLOOKUP(A377,TRAOPE!$A:$U,21,0),VLOOKUP(B377,TRAOPE!$A:$U,21,0)),"")</f>
        <v/>
      </c>
      <c r="R377" s="8">
        <f>IFERROR(IFERROR(VLOOKUP(A377,TRAOPE!$A:$W,23,0),VLOOKUP(B377,TRAOPE!$A:$W,23,0)),"")</f>
        <v/>
      </c>
      <c r="S377" s="10">
        <f>IF(AND(P377="TN",R377="TN"),N377+N(O377),IF(G377&amp;""="1",N(K377)*N377,(N377+N(O377))*N(K377)))</f>
        <v/>
      </c>
      <c r="T377" s="10">
        <f>IF(Q377="","",Q377-S377)</f>
        <v/>
      </c>
    </row>
    <row r="378">
      <c r="A378" s="7">
        <f>CONCATENATE(C378,E378,F378,I378)</f>
        <v/>
      </c>
      <c r="B378" s="7">
        <f>CONCATENATE(C378,E378,I378)</f>
        <v/>
      </c>
      <c r="C378" s="8" t="n">
        <v>900007800</v>
      </c>
      <c r="D378" s="7">
        <f>IFERROR(VLOOKUP(C378,TRAOPE!$G:$H,2,0),"")</f>
        <v/>
      </c>
      <c r="E378" s="8" t="inlineStr">
        <is>
          <t>DW55</t>
        </is>
      </c>
      <c r="F378" s="8" t="inlineStr">
        <is>
          <t>D342</t>
        </is>
      </c>
      <c r="G378" s="8">
        <f>IFERROR(VLOOKUP(A378,Flete!$A:$E,5,0),"")</f>
        <v/>
      </c>
      <c r="H378" s="7">
        <f>IFERROR(VLOOKUP(F378,TRAOPE!$AA:$AB,2,0),"")</f>
        <v/>
      </c>
      <c r="I378" s="7" t="n">
        <v>10000826</v>
      </c>
      <c r="J378" s="7">
        <f>IFERROR(VLOOKUP(I378,Materiales!$A:$H,8,0),"")</f>
        <v/>
      </c>
      <c r="K378" s="9">
        <f>IFERROR(VLOOKUP(I378,Materiales!$A:$G,7,0),"")</f>
        <v/>
      </c>
      <c r="L378" s="8" t="inlineStr">
        <is>
          <t>20220713</t>
        </is>
      </c>
      <c r="M378" s="8" t="inlineStr">
        <is>
          <t>20240726</t>
        </is>
      </c>
      <c r="N378" s="10" t="n">
        <v>165.52</v>
      </c>
      <c r="O378" s="10">
        <f>IFERROR(VLOOKUP(A378,Flete!$A:$J,10,0),"")</f>
        <v/>
      </c>
      <c r="P378" s="8" t="inlineStr">
        <is>
          <t>TN</t>
        </is>
      </c>
      <c r="Q378" s="10">
        <f>IFERROR(IFERROR(VLOOKUP(A378,TRAOPE!$A:$U,21,0),VLOOKUP(B378,TRAOPE!$A:$U,21,0)),"")</f>
        <v/>
      </c>
      <c r="R378" s="8">
        <f>IFERROR(IFERROR(VLOOKUP(A378,TRAOPE!$A:$W,23,0),VLOOKUP(B378,TRAOPE!$A:$W,23,0)),"")</f>
        <v/>
      </c>
      <c r="S378" s="10">
        <f>IF(AND(P378="TN",R378="TN"),N378+N(O378),IF(G378&amp;""="1",N(K378)*N378,(N378+N(O378))*N(K378)))</f>
        <v/>
      </c>
      <c r="T378" s="10">
        <f>IF(Q378="","",Q378-S378)</f>
        <v/>
      </c>
    </row>
    <row r="379">
      <c r="A379" s="7">
        <f>CONCATENATE(C379,E379,F379,I379)</f>
        <v/>
      </c>
      <c r="B379" s="7">
        <f>CONCATENATE(C379,E379,I379)</f>
        <v/>
      </c>
      <c r="C379" s="8" t="n">
        <v>900007800</v>
      </c>
      <c r="D379" s="7">
        <f>IFERROR(VLOOKUP(C379,TRAOPE!$G:$H,2,0),"")</f>
        <v/>
      </c>
      <c r="E379" s="8" t="inlineStr">
        <is>
          <t>DW55</t>
        </is>
      </c>
      <c r="F379" s="8" t="inlineStr">
        <is>
          <t>D348</t>
        </is>
      </c>
      <c r="G379" s="8">
        <f>IFERROR(VLOOKUP(A379,Flete!$A:$E,5,0),"")</f>
        <v/>
      </c>
      <c r="H379" s="7">
        <f>IFERROR(VLOOKUP(F379,TRAOPE!$AA:$AB,2,0),"")</f>
        <v/>
      </c>
      <c r="I379" s="7" t="n">
        <v>10000541</v>
      </c>
      <c r="J379" s="7">
        <f>IFERROR(VLOOKUP(I379,Materiales!$A:$H,8,0),"")</f>
        <v/>
      </c>
      <c r="K379" s="9">
        <f>IFERROR(VLOOKUP(I379,Materiales!$A:$G,7,0),"")</f>
        <v/>
      </c>
      <c r="L379" s="8" t="inlineStr">
        <is>
          <t>20240122</t>
        </is>
      </c>
      <c r="M379" s="8" t="inlineStr">
        <is>
          <t>20241015</t>
        </is>
      </c>
      <c r="N379" s="10" t="n">
        <v>84.81999999999999</v>
      </c>
      <c r="O379" s="10">
        <f>IFERROR(VLOOKUP(A379,Flete!$A:$J,10,0),"")</f>
        <v/>
      </c>
      <c r="P379" s="8" t="inlineStr">
        <is>
          <t>TN</t>
        </is>
      </c>
      <c r="Q379" s="10">
        <f>IFERROR(IFERROR(VLOOKUP(A379,TRAOPE!$A:$U,21,0),VLOOKUP(B379,TRAOPE!$A:$U,21,0)),"")</f>
        <v/>
      </c>
      <c r="R379" s="8">
        <f>IFERROR(IFERROR(VLOOKUP(A379,TRAOPE!$A:$W,23,0),VLOOKUP(B379,TRAOPE!$A:$W,23,0)),"")</f>
        <v/>
      </c>
      <c r="S379" s="10">
        <f>IF(AND(P379="TN",R379="TN"),N379+N(O379),IF(G379&amp;""="1",N(K379)*N379,(N379+N(O379))*N(K379)))</f>
        <v/>
      </c>
      <c r="T379" s="10">
        <f>IF(Q379="","",Q379-S379)</f>
        <v/>
      </c>
    </row>
    <row r="380">
      <c r="A380" s="7">
        <f>CONCATENATE(C380,E380,F380,I380)</f>
        <v/>
      </c>
      <c r="B380" s="7">
        <f>CONCATENATE(C380,E380,I380)</f>
        <v/>
      </c>
      <c r="C380" s="8" t="n">
        <v>900007800</v>
      </c>
      <c r="D380" s="7">
        <f>IFERROR(VLOOKUP(C380,TRAOPE!$G:$H,2,0),"")</f>
        <v/>
      </c>
      <c r="E380" s="8" t="inlineStr">
        <is>
          <t>DW55</t>
        </is>
      </c>
      <c r="F380" s="8" t="inlineStr">
        <is>
          <t>ER67</t>
        </is>
      </c>
      <c r="G380" s="8">
        <f>IFERROR(VLOOKUP(A380,Flete!$A:$E,5,0),"")</f>
        <v/>
      </c>
      <c r="H380" s="7">
        <f>IFERROR(VLOOKUP(F380,TRAOPE!$AA:$AB,2,0),"")</f>
        <v/>
      </c>
      <c r="I380" s="7" t="n">
        <v>10000541</v>
      </c>
      <c r="J380" s="7">
        <f>IFERROR(VLOOKUP(I380,Materiales!$A:$H,8,0),"")</f>
        <v/>
      </c>
      <c r="K380" s="9">
        <f>IFERROR(VLOOKUP(I380,Materiales!$A:$G,7,0),"")</f>
        <v/>
      </c>
      <c r="L380" s="8" t="inlineStr">
        <is>
          <t>20220504</t>
        </is>
      </c>
      <c r="M380" s="8" t="inlineStr">
        <is>
          <t>20230127</t>
        </is>
      </c>
      <c r="N380" s="10" t="n">
        <v>84.81999999999999</v>
      </c>
      <c r="O380" s="10">
        <f>IFERROR(VLOOKUP(A380,Flete!$A:$J,10,0),"")</f>
        <v/>
      </c>
      <c r="P380" s="8" t="inlineStr">
        <is>
          <t>TN</t>
        </is>
      </c>
      <c r="Q380" s="10">
        <f>IFERROR(IFERROR(VLOOKUP(A380,TRAOPE!$A:$U,21,0),VLOOKUP(B380,TRAOPE!$A:$U,21,0)),"")</f>
        <v/>
      </c>
      <c r="R380" s="8">
        <f>IFERROR(IFERROR(VLOOKUP(A380,TRAOPE!$A:$W,23,0),VLOOKUP(B380,TRAOPE!$A:$W,23,0)),"")</f>
        <v/>
      </c>
      <c r="S380" s="10">
        <f>IF(AND(P380="TN",R380="TN"),N380+N(O380),IF(G380&amp;""="1",N(K380)*N380,(N380+N(O380))*N(K380)))</f>
        <v/>
      </c>
      <c r="T380" s="10">
        <f>IF(Q380="","",Q380-S380)</f>
        <v/>
      </c>
    </row>
    <row r="381">
      <c r="A381" s="7">
        <f>CONCATENATE(C381,E381,F381,I381)</f>
        <v/>
      </c>
      <c r="B381" s="7">
        <f>CONCATENATE(C381,E381,I381)</f>
        <v/>
      </c>
      <c r="C381" s="8" t="n">
        <v>900007800</v>
      </c>
      <c r="D381" s="7">
        <f>IFERROR(VLOOKUP(C381,TRAOPE!$G:$H,2,0),"")</f>
        <v/>
      </c>
      <c r="E381" s="8" t="inlineStr">
        <is>
          <t>DW55</t>
        </is>
      </c>
      <c r="F381" s="8" t="inlineStr">
        <is>
          <t>ER67</t>
        </is>
      </c>
      <c r="G381" s="8">
        <f>IFERROR(VLOOKUP(A381,Flete!$A:$E,5,0),"")</f>
        <v/>
      </c>
      <c r="H381" s="7">
        <f>IFERROR(VLOOKUP(F381,TRAOPE!$AA:$AB,2,0),"")</f>
        <v/>
      </c>
      <c r="I381" s="7" t="n">
        <v>10000826</v>
      </c>
      <c r="J381" s="7">
        <f>IFERROR(VLOOKUP(I381,Materiales!$A:$H,8,0),"")</f>
        <v/>
      </c>
      <c r="K381" s="9">
        <f>IFERROR(VLOOKUP(I381,Materiales!$A:$G,7,0),"")</f>
        <v/>
      </c>
      <c r="L381" s="8" t="inlineStr">
        <is>
          <t>20220504</t>
        </is>
      </c>
      <c r="M381" s="8" t="inlineStr">
        <is>
          <t>20230127</t>
        </is>
      </c>
      <c r="N381" s="10" t="n">
        <v>165.52</v>
      </c>
      <c r="O381" s="10">
        <f>IFERROR(VLOOKUP(A381,Flete!$A:$J,10,0),"")</f>
        <v/>
      </c>
      <c r="P381" s="8" t="inlineStr">
        <is>
          <t>TN</t>
        </is>
      </c>
      <c r="Q381" s="10">
        <f>IFERROR(IFERROR(VLOOKUP(A381,TRAOPE!$A:$U,21,0),VLOOKUP(B381,TRAOPE!$A:$U,21,0)),"")</f>
        <v/>
      </c>
      <c r="R381" s="8">
        <f>IFERROR(IFERROR(VLOOKUP(A381,TRAOPE!$A:$W,23,0),VLOOKUP(B381,TRAOPE!$A:$W,23,0)),"")</f>
        <v/>
      </c>
      <c r="S381" s="10">
        <f>IF(AND(P381="TN",R381="TN"),N381+N(O381),IF(G381&amp;""="1",N(K381)*N381,(N381+N(O381))*N(K381)))</f>
        <v/>
      </c>
      <c r="T381" s="10">
        <f>IF(Q381="","",Q381-S381)</f>
        <v/>
      </c>
    </row>
    <row r="382">
      <c r="A382" s="7">
        <f>CONCATENATE(C382,E382,F382,I382)</f>
        <v/>
      </c>
      <c r="B382" s="7">
        <f>CONCATENATE(C382,E382,I382)</f>
        <v/>
      </c>
      <c r="C382" s="8" t="n">
        <v>900007800</v>
      </c>
      <c r="D382" s="7">
        <f>IFERROR(VLOOKUP(C382,TRAOPE!$G:$H,2,0),"")</f>
        <v/>
      </c>
      <c r="E382" s="8" t="inlineStr">
        <is>
          <t>DW55</t>
        </is>
      </c>
      <c r="F382" s="8" t="inlineStr">
        <is>
          <t>ER68</t>
        </is>
      </c>
      <c r="G382" s="8">
        <f>IFERROR(VLOOKUP(A382,Flete!$A:$E,5,0),"")</f>
        <v/>
      </c>
      <c r="H382" s="7">
        <f>IFERROR(VLOOKUP(F382,TRAOPE!$AA:$AB,2,0),"")</f>
        <v/>
      </c>
      <c r="I382" s="7" t="n">
        <v>10000541</v>
      </c>
      <c r="J382" s="7">
        <f>IFERROR(VLOOKUP(I382,Materiales!$A:$H,8,0),"")</f>
        <v/>
      </c>
      <c r="K382" s="9">
        <f>IFERROR(VLOOKUP(I382,Materiales!$A:$G,7,0),"")</f>
        <v/>
      </c>
      <c r="L382" s="8" t="inlineStr">
        <is>
          <t>20240122</t>
        </is>
      </c>
      <c r="M382" s="8" t="inlineStr">
        <is>
          <t>20241015</t>
        </is>
      </c>
      <c r="N382" s="10" t="n">
        <v>84.81999999999999</v>
      </c>
      <c r="O382" s="10">
        <f>IFERROR(VLOOKUP(A382,Flete!$A:$J,10,0),"")</f>
        <v/>
      </c>
      <c r="P382" s="8" t="inlineStr">
        <is>
          <t>TN</t>
        </is>
      </c>
      <c r="Q382" s="10">
        <f>IFERROR(IFERROR(VLOOKUP(A382,TRAOPE!$A:$U,21,0),VLOOKUP(B382,TRAOPE!$A:$U,21,0)),"")</f>
        <v/>
      </c>
      <c r="R382" s="8">
        <f>IFERROR(IFERROR(VLOOKUP(A382,TRAOPE!$A:$W,23,0),VLOOKUP(B382,TRAOPE!$A:$W,23,0)),"")</f>
        <v/>
      </c>
      <c r="S382" s="10">
        <f>IF(AND(P382="TN",R382="TN"),N382+N(O382),IF(G382&amp;""="1",N(K382)*N382,(N382+N(O382))*N(K382)))</f>
        <v/>
      </c>
      <c r="T382" s="10">
        <f>IF(Q382="","",Q382-S382)</f>
        <v/>
      </c>
    </row>
    <row r="383">
      <c r="A383" s="7">
        <f>CONCATENATE(C383,E383,F383,I383)</f>
        <v/>
      </c>
      <c r="B383" s="7">
        <f>CONCATENATE(C383,E383,I383)</f>
        <v/>
      </c>
      <c r="C383" s="8" t="n">
        <v>900007800</v>
      </c>
      <c r="D383" s="7">
        <f>IFERROR(VLOOKUP(C383,TRAOPE!$G:$H,2,0),"")</f>
        <v/>
      </c>
      <c r="E383" s="8" t="inlineStr">
        <is>
          <t>DW55</t>
        </is>
      </c>
      <c r="F383" s="8" t="inlineStr">
        <is>
          <t>ER68</t>
        </is>
      </c>
      <c r="G383" s="8">
        <f>IFERROR(VLOOKUP(A383,Flete!$A:$E,5,0),"")</f>
        <v/>
      </c>
      <c r="H383" s="7">
        <f>IFERROR(VLOOKUP(F383,TRAOPE!$AA:$AB,2,0),"")</f>
        <v/>
      </c>
      <c r="I383" s="7" t="n">
        <v>10000826</v>
      </c>
      <c r="J383" s="7">
        <f>IFERROR(VLOOKUP(I383,Materiales!$A:$H,8,0),"")</f>
        <v/>
      </c>
      <c r="K383" s="9">
        <f>IFERROR(VLOOKUP(I383,Materiales!$A:$G,7,0),"")</f>
        <v/>
      </c>
      <c r="L383" s="8" t="inlineStr">
        <is>
          <t>20220501</t>
        </is>
      </c>
      <c r="M383" s="8" t="inlineStr">
        <is>
          <t>20240726</t>
        </is>
      </c>
      <c r="N383" s="10" t="n">
        <v>165.52</v>
      </c>
      <c r="O383" s="10">
        <f>IFERROR(VLOOKUP(A383,Flete!$A:$J,10,0),"")</f>
        <v/>
      </c>
      <c r="P383" s="8" t="inlineStr">
        <is>
          <t>TN</t>
        </is>
      </c>
      <c r="Q383" s="10">
        <f>IFERROR(IFERROR(VLOOKUP(A383,TRAOPE!$A:$U,21,0),VLOOKUP(B383,TRAOPE!$A:$U,21,0)),"")</f>
        <v/>
      </c>
      <c r="R383" s="8">
        <f>IFERROR(IFERROR(VLOOKUP(A383,TRAOPE!$A:$W,23,0),VLOOKUP(B383,TRAOPE!$A:$W,23,0)),"")</f>
        <v/>
      </c>
      <c r="S383" s="10">
        <f>IF(AND(P383="TN",R383="TN"),N383+N(O383),IF(G383&amp;""="1",N(K383)*N383,(N383+N(O383))*N(K383)))</f>
        <v/>
      </c>
      <c r="T383" s="10">
        <f>IF(Q383="","",Q383-S383)</f>
        <v/>
      </c>
    </row>
    <row r="384">
      <c r="A384" s="7">
        <f>CONCATENATE(C384,E384,F384,I384)</f>
        <v/>
      </c>
      <c r="B384" s="7">
        <f>CONCATENATE(C384,E384,I384)</f>
        <v/>
      </c>
      <c r="C384" s="8" t="n">
        <v>900007803</v>
      </c>
      <c r="D384" s="7">
        <f>IFERROR(VLOOKUP(C384,TRAOPE!$G:$H,2,0),"")</f>
        <v/>
      </c>
      <c r="E384" s="8" t="inlineStr">
        <is>
          <t>DW55</t>
        </is>
      </c>
      <c r="F384" s="8" t="inlineStr">
        <is>
          <t>D325</t>
        </is>
      </c>
      <c r="G384" s="8">
        <f>IFERROR(VLOOKUP(A384,Flete!$A:$E,5,0),"")</f>
        <v/>
      </c>
      <c r="H384" s="7">
        <f>IFERROR(VLOOKUP(F384,TRAOPE!$AA:$AB,2,0),"")</f>
        <v/>
      </c>
      <c r="I384" s="7" t="n">
        <v>10000372</v>
      </c>
      <c r="J384" s="7">
        <f>IFERROR(VLOOKUP(I384,Materiales!$A:$H,8,0),"")</f>
        <v/>
      </c>
      <c r="K384" s="9">
        <f>IFERROR(VLOOKUP(I384,Materiales!$A:$G,7,0),"")</f>
        <v/>
      </c>
      <c r="L384" s="8" t="inlineStr">
        <is>
          <t>20231201</t>
        </is>
      </c>
      <c r="M384" s="8" t="inlineStr">
        <is>
          <t>20240726</t>
        </is>
      </c>
      <c r="N384" s="10" t="n">
        <v>120.86</v>
      </c>
      <c r="O384" s="10">
        <f>IFERROR(VLOOKUP(A384,Flete!$A:$J,10,0),"")</f>
        <v/>
      </c>
      <c r="P384" s="8" t="inlineStr">
        <is>
          <t>TN</t>
        </is>
      </c>
      <c r="Q384" s="10">
        <f>IFERROR(IFERROR(VLOOKUP(A384,TRAOPE!$A:$U,21,0),VLOOKUP(B384,TRAOPE!$A:$U,21,0)),"")</f>
        <v/>
      </c>
      <c r="R384" s="8">
        <f>IFERROR(IFERROR(VLOOKUP(A384,TRAOPE!$A:$W,23,0),VLOOKUP(B384,TRAOPE!$A:$W,23,0)),"")</f>
        <v/>
      </c>
      <c r="S384" s="10">
        <f>IF(AND(P384="TN",R384="TN"),N384+N(O384),IF(G384&amp;""="1",N(K384)*N384,(N384+N(O384))*N(K384)))</f>
        <v/>
      </c>
      <c r="T384" s="10">
        <f>IF(Q384="","",Q384-S384)</f>
        <v/>
      </c>
    </row>
    <row r="385">
      <c r="A385" s="7">
        <f>CONCATENATE(C385,E385,F385,I385)</f>
        <v/>
      </c>
      <c r="B385" s="7">
        <f>CONCATENATE(C385,E385,I385)</f>
        <v/>
      </c>
      <c r="C385" s="8" t="n">
        <v>900007803</v>
      </c>
      <c r="D385" s="7">
        <f>IFERROR(VLOOKUP(C385,TRAOPE!$G:$H,2,0),"")</f>
        <v/>
      </c>
      <c r="E385" s="8" t="inlineStr">
        <is>
          <t>DW55</t>
        </is>
      </c>
      <c r="F385" s="8" t="inlineStr">
        <is>
          <t>D325</t>
        </is>
      </c>
      <c r="G385" s="8">
        <f>IFERROR(VLOOKUP(A385,Flete!$A:$E,5,0),"")</f>
        <v/>
      </c>
      <c r="H385" s="7">
        <f>IFERROR(VLOOKUP(F385,TRAOPE!$AA:$AB,2,0),"")</f>
        <v/>
      </c>
      <c r="I385" s="7" t="n">
        <v>10000673</v>
      </c>
      <c r="J385" s="7">
        <f>IFERROR(VLOOKUP(I385,Materiales!$A:$H,8,0),"")</f>
        <v/>
      </c>
      <c r="K385" s="9">
        <f>IFERROR(VLOOKUP(I385,Materiales!$A:$G,7,0),"")</f>
        <v/>
      </c>
      <c r="L385" s="8" t="inlineStr">
        <is>
          <t>20231201</t>
        </is>
      </c>
      <c r="M385" s="8" t="inlineStr">
        <is>
          <t>20240726</t>
        </is>
      </c>
      <c r="N385" s="10" t="n">
        <v>400</v>
      </c>
      <c r="O385" s="10">
        <f>IFERROR(VLOOKUP(A385,Flete!$A:$J,10,0),"")</f>
        <v/>
      </c>
      <c r="P385" s="8" t="inlineStr">
        <is>
          <t>TN</t>
        </is>
      </c>
      <c r="Q385" s="10">
        <f>IFERROR(IFERROR(VLOOKUP(A385,TRAOPE!$A:$U,21,0),VLOOKUP(B385,TRAOPE!$A:$U,21,0)),"")</f>
        <v/>
      </c>
      <c r="R385" s="8">
        <f>IFERROR(IFERROR(VLOOKUP(A385,TRAOPE!$A:$W,23,0),VLOOKUP(B385,TRAOPE!$A:$W,23,0)),"")</f>
        <v/>
      </c>
      <c r="S385" s="10">
        <f>IF(AND(P385="TN",R385="TN"),N385+N(O385),IF(G385&amp;""="1",N(K385)*N385,(N385+N(O385))*N(K385)))</f>
        <v/>
      </c>
      <c r="T385" s="10">
        <f>IF(Q385="","",Q385-S385)</f>
        <v/>
      </c>
    </row>
    <row r="386">
      <c r="A386" s="7">
        <f>CONCATENATE(C386,E386,F386,I386)</f>
        <v/>
      </c>
      <c r="B386" s="7">
        <f>CONCATENATE(C386,E386,I386)</f>
        <v/>
      </c>
      <c r="C386" s="8" t="n">
        <v>900007803</v>
      </c>
      <c r="D386" s="7">
        <f>IFERROR(VLOOKUP(C386,TRAOPE!$G:$H,2,0),"")</f>
        <v/>
      </c>
      <c r="E386" s="8" t="inlineStr">
        <is>
          <t>DW55</t>
        </is>
      </c>
      <c r="F386" s="8" t="inlineStr">
        <is>
          <t>D325</t>
        </is>
      </c>
      <c r="G386" s="8">
        <f>IFERROR(VLOOKUP(A386,Flete!$A:$E,5,0),"")</f>
        <v/>
      </c>
      <c r="H386" s="7">
        <f>IFERROR(VLOOKUP(F386,TRAOPE!$AA:$AB,2,0),"")</f>
        <v/>
      </c>
      <c r="I386" s="7" t="n">
        <v>10079650</v>
      </c>
      <c r="J386" s="7">
        <f>IFERROR(VLOOKUP(I386,Materiales!$A:$H,8,0),"")</f>
        <v/>
      </c>
      <c r="K386" s="9">
        <f>IFERROR(VLOOKUP(I386,Materiales!$A:$G,7,0),"")</f>
        <v/>
      </c>
      <c r="L386" s="8" t="inlineStr">
        <is>
          <t>20231201</t>
        </is>
      </c>
      <c r="M386" s="8" t="inlineStr">
        <is>
          <t>20240726</t>
        </is>
      </c>
      <c r="N386" s="10" t="n">
        <v>138.12</v>
      </c>
      <c r="O386" s="10">
        <f>IFERROR(VLOOKUP(A386,Flete!$A:$J,10,0),"")</f>
        <v/>
      </c>
      <c r="P386" s="8" t="inlineStr">
        <is>
          <t>TN</t>
        </is>
      </c>
      <c r="Q386" s="10">
        <f>IFERROR(IFERROR(VLOOKUP(A386,TRAOPE!$A:$U,21,0),VLOOKUP(B386,TRAOPE!$A:$U,21,0)),"")</f>
        <v/>
      </c>
      <c r="R386" s="8">
        <f>IFERROR(IFERROR(VLOOKUP(A386,TRAOPE!$A:$W,23,0),VLOOKUP(B386,TRAOPE!$A:$W,23,0)),"")</f>
        <v/>
      </c>
      <c r="S386" s="10">
        <f>IF(AND(P386="TN",R386="TN"),N386+N(O386),IF(G386&amp;""="1",N(K386)*N386,(N386+N(O386))*N(K386)))</f>
        <v/>
      </c>
      <c r="T386" s="10">
        <f>IF(Q386="","",Q386-S386)</f>
        <v/>
      </c>
    </row>
    <row r="387">
      <c r="A387" s="7">
        <f>CONCATENATE(C387,E387,F387,I387)</f>
        <v/>
      </c>
      <c r="B387" s="7">
        <f>CONCATENATE(C387,E387,I387)</f>
        <v/>
      </c>
      <c r="C387" s="8" t="n">
        <v>900007803</v>
      </c>
      <c r="D387" s="7">
        <f>IFERROR(VLOOKUP(C387,TRAOPE!$G:$H,2,0),"")</f>
        <v/>
      </c>
      <c r="E387" s="8" t="inlineStr">
        <is>
          <t>DW55</t>
        </is>
      </c>
      <c r="F387" s="8" t="inlineStr">
        <is>
          <t>D348</t>
        </is>
      </c>
      <c r="G387" s="8">
        <f>IFERROR(VLOOKUP(A387,Flete!$A:$E,5,0),"")</f>
        <v/>
      </c>
      <c r="H387" s="7">
        <f>IFERROR(VLOOKUP(F387,TRAOPE!$AA:$AB,2,0),"")</f>
        <v/>
      </c>
      <c r="I387" s="7" t="n">
        <v>10000372</v>
      </c>
      <c r="J387" s="7">
        <f>IFERROR(VLOOKUP(I387,Materiales!$A:$H,8,0),"")</f>
        <v/>
      </c>
      <c r="K387" s="9">
        <f>IFERROR(VLOOKUP(I387,Materiales!$A:$G,7,0),"")</f>
        <v/>
      </c>
      <c r="L387" s="8" t="inlineStr">
        <is>
          <t>20230401</t>
        </is>
      </c>
      <c r="M387" s="8" t="inlineStr">
        <is>
          <t>20240726</t>
        </is>
      </c>
      <c r="N387" s="10" t="n">
        <v>186.46</v>
      </c>
      <c r="O387" s="10">
        <f>IFERROR(VLOOKUP(A387,Flete!$A:$J,10,0),"")</f>
        <v/>
      </c>
      <c r="P387" s="8" t="inlineStr">
        <is>
          <t>TN</t>
        </is>
      </c>
      <c r="Q387" s="10">
        <f>IFERROR(IFERROR(VLOOKUP(A387,TRAOPE!$A:$U,21,0),VLOOKUP(B387,TRAOPE!$A:$U,21,0)),"")</f>
        <v/>
      </c>
      <c r="R387" s="8">
        <f>IFERROR(IFERROR(VLOOKUP(A387,TRAOPE!$A:$W,23,0),VLOOKUP(B387,TRAOPE!$A:$W,23,0)),"")</f>
        <v/>
      </c>
      <c r="S387" s="10">
        <f>IF(AND(P387="TN",R387="TN"),N387+N(O387),IF(G387&amp;""="1",N(K387)*N387,(N387+N(O387))*N(K387)))</f>
        <v/>
      </c>
      <c r="T387" s="10">
        <f>IF(Q387="","",Q387-S387)</f>
        <v/>
      </c>
    </row>
    <row r="388">
      <c r="A388" s="7">
        <f>CONCATENATE(C388,E388,F388,I388)</f>
        <v/>
      </c>
      <c r="B388" s="7">
        <f>CONCATENATE(C388,E388,I388)</f>
        <v/>
      </c>
      <c r="C388" s="8" t="n">
        <v>900007803</v>
      </c>
      <c r="D388" s="7">
        <f>IFERROR(VLOOKUP(C388,TRAOPE!$G:$H,2,0),"")</f>
        <v/>
      </c>
      <c r="E388" s="8" t="inlineStr">
        <is>
          <t>DW55</t>
        </is>
      </c>
      <c r="F388" s="8" t="inlineStr">
        <is>
          <t>D348</t>
        </is>
      </c>
      <c r="G388" s="8">
        <f>IFERROR(VLOOKUP(A388,Flete!$A:$E,5,0),"")</f>
        <v/>
      </c>
      <c r="H388" s="7">
        <f>IFERROR(VLOOKUP(F388,TRAOPE!$AA:$AB,2,0),"")</f>
        <v/>
      </c>
      <c r="I388" s="7" t="n">
        <v>10000673</v>
      </c>
      <c r="J388" s="7">
        <f>IFERROR(VLOOKUP(I388,Materiales!$A:$H,8,0),"")</f>
        <v/>
      </c>
      <c r="K388" s="9">
        <f>IFERROR(VLOOKUP(I388,Materiales!$A:$G,7,0),"")</f>
        <v/>
      </c>
      <c r="L388" s="8" t="inlineStr">
        <is>
          <t>20230401</t>
        </is>
      </c>
      <c r="M388" s="8" t="inlineStr">
        <is>
          <t>20240726</t>
        </is>
      </c>
      <c r="N388" s="10" t="n">
        <v>400</v>
      </c>
      <c r="O388" s="10">
        <f>IFERROR(VLOOKUP(A388,Flete!$A:$J,10,0),"")</f>
        <v/>
      </c>
      <c r="P388" s="8" t="inlineStr">
        <is>
          <t>TN</t>
        </is>
      </c>
      <c r="Q388" s="10">
        <f>IFERROR(IFERROR(VLOOKUP(A388,TRAOPE!$A:$U,21,0),VLOOKUP(B388,TRAOPE!$A:$U,21,0)),"")</f>
        <v/>
      </c>
      <c r="R388" s="8">
        <f>IFERROR(IFERROR(VLOOKUP(A388,TRAOPE!$A:$W,23,0),VLOOKUP(B388,TRAOPE!$A:$W,23,0)),"")</f>
        <v/>
      </c>
      <c r="S388" s="10">
        <f>IF(AND(P388="TN",R388="TN"),N388+N(O388),IF(G388&amp;""="1",N(K388)*N388,(N388+N(O388))*N(K388)))</f>
        <v/>
      </c>
      <c r="T388" s="10">
        <f>IF(Q388="","",Q388-S388)</f>
        <v/>
      </c>
    </row>
    <row r="389">
      <c r="A389" s="7">
        <f>CONCATENATE(C389,E389,F389,I389)</f>
        <v/>
      </c>
      <c r="B389" s="7">
        <f>CONCATENATE(C389,E389,I389)</f>
        <v/>
      </c>
      <c r="C389" s="8" t="n">
        <v>900007931</v>
      </c>
      <c r="D389" s="7">
        <f>IFERROR(VLOOKUP(C389,TRAOPE!$G:$H,2,0),"")</f>
        <v/>
      </c>
      <c r="E389" s="8" t="inlineStr">
        <is>
          <t>DW55</t>
        </is>
      </c>
      <c r="F389" s="8" t="inlineStr">
        <is>
          <t>D309</t>
        </is>
      </c>
      <c r="G389" s="8">
        <f>IFERROR(VLOOKUP(A389,Flete!$A:$E,5,0),"")</f>
        <v/>
      </c>
      <c r="H389" s="7">
        <f>IFERROR(VLOOKUP(F389,TRAOPE!$AA:$AB,2,0),"")</f>
        <v/>
      </c>
      <c r="I389" s="7" t="n">
        <v>10000372</v>
      </c>
      <c r="J389" s="7">
        <f>IFERROR(VLOOKUP(I389,Materiales!$A:$H,8,0),"")</f>
        <v/>
      </c>
      <c r="K389" s="9">
        <f>IFERROR(VLOOKUP(I389,Materiales!$A:$G,7,0),"")</f>
        <v/>
      </c>
      <c r="L389" s="8" t="inlineStr">
        <is>
          <t>20260707</t>
        </is>
      </c>
      <c r="M389" s="8" t="inlineStr">
        <is>
          <t>99991231</t>
        </is>
      </c>
      <c r="N389" s="10" t="n">
        <v>234.81</v>
      </c>
      <c r="O389" s="10">
        <f>IFERROR(VLOOKUP(A389,Flete!$A:$J,10,0),"")</f>
        <v/>
      </c>
      <c r="P389" s="8" t="inlineStr">
        <is>
          <t>TN</t>
        </is>
      </c>
      <c r="Q389" s="10">
        <f>IFERROR(IFERROR(VLOOKUP(A389,TRAOPE!$A:$U,21,0),VLOOKUP(B389,TRAOPE!$A:$U,21,0)),"")</f>
        <v/>
      </c>
      <c r="R389" s="8">
        <f>IFERROR(IFERROR(VLOOKUP(A389,TRAOPE!$A:$W,23,0),VLOOKUP(B389,TRAOPE!$A:$W,23,0)),"")</f>
        <v/>
      </c>
      <c r="S389" s="10">
        <f>IF(AND(P389="TN",R389="TN"),N389+N(O389),IF(G389&amp;""="1",N(K389)*N389,(N389+N(O389))*N(K389)))</f>
        <v/>
      </c>
      <c r="T389" s="10">
        <f>IF(Q389="","",Q389-S389)</f>
        <v/>
      </c>
    </row>
    <row r="390">
      <c r="A390" s="7">
        <f>CONCATENATE(C390,E390,F390,I390)</f>
        <v/>
      </c>
      <c r="B390" s="7">
        <f>CONCATENATE(C390,E390,I390)</f>
        <v/>
      </c>
      <c r="C390" s="8" t="n">
        <v>900007931</v>
      </c>
      <c r="D390" s="7">
        <f>IFERROR(VLOOKUP(C390,TRAOPE!$G:$H,2,0),"")</f>
        <v/>
      </c>
      <c r="E390" s="8" t="inlineStr">
        <is>
          <t>DW55</t>
        </is>
      </c>
      <c r="F390" s="8" t="inlineStr">
        <is>
          <t>D309</t>
        </is>
      </c>
      <c r="G390" s="8">
        <f>IFERROR(VLOOKUP(A390,Flete!$A:$E,5,0),"")</f>
        <v/>
      </c>
      <c r="H390" s="7">
        <f>IFERROR(VLOOKUP(F390,TRAOPE!$AA:$AB,2,0),"")</f>
        <v/>
      </c>
      <c r="I390" s="7" t="n">
        <v>10000623</v>
      </c>
      <c r="J390" s="7">
        <f>IFERROR(VLOOKUP(I390,Materiales!$A:$H,8,0),"")</f>
        <v/>
      </c>
      <c r="K390" s="9">
        <f>IFERROR(VLOOKUP(I390,Materiales!$A:$G,7,0),"")</f>
        <v/>
      </c>
      <c r="L390" s="8" t="inlineStr">
        <is>
          <t>20260716</t>
        </is>
      </c>
      <c r="M390" s="8" t="inlineStr">
        <is>
          <t>99991231</t>
        </is>
      </c>
      <c r="N390" s="10" t="n">
        <v>297.87</v>
      </c>
      <c r="O390" s="10">
        <f>IFERROR(VLOOKUP(A390,Flete!$A:$J,10,0),"")</f>
        <v/>
      </c>
      <c r="P390" s="8" t="inlineStr">
        <is>
          <t>TN</t>
        </is>
      </c>
      <c r="Q390" s="10">
        <f>IFERROR(IFERROR(VLOOKUP(A390,TRAOPE!$A:$U,21,0),VLOOKUP(B390,TRAOPE!$A:$U,21,0)),"")</f>
        <v/>
      </c>
      <c r="R390" s="8">
        <f>IFERROR(IFERROR(VLOOKUP(A390,TRAOPE!$A:$W,23,0),VLOOKUP(B390,TRAOPE!$A:$W,23,0)),"")</f>
        <v/>
      </c>
      <c r="S390" s="10">
        <f>IF(AND(P390="TN",R390="TN"),N390+N(O390),IF(G390&amp;""="1",N(K390)*N390,(N390+N(O390))*N(K390)))</f>
        <v/>
      </c>
      <c r="T390" s="10">
        <f>IF(Q390="","",Q390-S390)</f>
        <v/>
      </c>
    </row>
    <row r="391">
      <c r="A391" s="7">
        <f>CONCATENATE(C391,E391,F391,I391)</f>
        <v/>
      </c>
      <c r="B391" s="7">
        <f>CONCATENATE(C391,E391,I391)</f>
        <v/>
      </c>
      <c r="C391" s="8" t="n">
        <v>900007932</v>
      </c>
      <c r="D391" s="7">
        <f>IFERROR(VLOOKUP(C391,TRAOPE!$G:$H,2,0),"")</f>
        <v/>
      </c>
      <c r="E391" s="8" t="inlineStr">
        <is>
          <t>DW55</t>
        </is>
      </c>
      <c r="F391" s="8" t="inlineStr">
        <is>
          <t>D309</t>
        </is>
      </c>
      <c r="G391" s="8">
        <f>IFERROR(VLOOKUP(A391,Flete!$A:$E,5,0),"")</f>
        <v/>
      </c>
      <c r="H391" s="7">
        <f>IFERROR(VLOOKUP(F391,TRAOPE!$AA:$AB,2,0),"")</f>
        <v/>
      </c>
      <c r="I391" s="7" t="n">
        <v>10000372</v>
      </c>
      <c r="J391" s="7">
        <f>IFERROR(VLOOKUP(I391,Materiales!$A:$H,8,0),"")</f>
        <v/>
      </c>
      <c r="K391" s="9">
        <f>IFERROR(VLOOKUP(I391,Materiales!$A:$G,7,0),"")</f>
        <v/>
      </c>
      <c r="L391" s="8" t="inlineStr">
        <is>
          <t>20260707</t>
        </is>
      </c>
      <c r="M391" s="8" t="inlineStr">
        <is>
          <t>99991231</t>
        </is>
      </c>
      <c r="N391" s="10" t="n">
        <v>234.81</v>
      </c>
      <c r="O391" s="10">
        <f>IFERROR(VLOOKUP(A391,Flete!$A:$J,10,0),"")</f>
        <v/>
      </c>
      <c r="P391" s="8" t="inlineStr">
        <is>
          <t>TN</t>
        </is>
      </c>
      <c r="Q391" s="10">
        <f>IFERROR(IFERROR(VLOOKUP(A391,TRAOPE!$A:$U,21,0),VLOOKUP(B391,TRAOPE!$A:$U,21,0)),"")</f>
        <v/>
      </c>
      <c r="R391" s="8">
        <f>IFERROR(IFERROR(VLOOKUP(A391,TRAOPE!$A:$W,23,0),VLOOKUP(B391,TRAOPE!$A:$W,23,0)),"")</f>
        <v/>
      </c>
      <c r="S391" s="10">
        <f>IF(AND(P391="TN",R391="TN"),N391+N(O391),IF(G391&amp;""="1",N(K391)*N391,(N391+N(O391))*N(K391)))</f>
        <v/>
      </c>
      <c r="T391" s="10">
        <f>IF(Q391="","",Q391-S391)</f>
        <v/>
      </c>
    </row>
    <row r="392">
      <c r="A392" s="7">
        <f>CONCATENATE(C392,E392,F392,I392)</f>
        <v/>
      </c>
      <c r="B392" s="7">
        <f>CONCATENATE(C392,E392,I392)</f>
        <v/>
      </c>
      <c r="C392" s="8" t="n">
        <v>900007932</v>
      </c>
      <c r="D392" s="7">
        <f>IFERROR(VLOOKUP(C392,TRAOPE!$G:$H,2,0),"")</f>
        <v/>
      </c>
      <c r="E392" s="8" t="inlineStr">
        <is>
          <t>DW55</t>
        </is>
      </c>
      <c r="F392" s="8" t="inlineStr">
        <is>
          <t>D325</t>
        </is>
      </c>
      <c r="G392" s="8">
        <f>IFERROR(VLOOKUP(A392,Flete!$A:$E,5,0),"")</f>
        <v/>
      </c>
      <c r="H392" s="7">
        <f>IFERROR(VLOOKUP(F392,TRAOPE!$AA:$AB,2,0),"")</f>
        <v/>
      </c>
      <c r="I392" s="7" t="n">
        <v>10000372</v>
      </c>
      <c r="J392" s="7">
        <f>IFERROR(VLOOKUP(I392,Materiales!$A:$H,8,0),"")</f>
        <v/>
      </c>
      <c r="K392" s="9">
        <f>IFERROR(VLOOKUP(I392,Materiales!$A:$G,7,0),"")</f>
        <v/>
      </c>
      <c r="L392" s="8" t="inlineStr">
        <is>
          <t>20220504</t>
        </is>
      </c>
      <c r="M392" s="8" t="inlineStr">
        <is>
          <t>99991231</t>
        </is>
      </c>
      <c r="N392" s="10" t="n">
        <v>158.84</v>
      </c>
      <c r="O392" s="10">
        <f>IFERROR(VLOOKUP(A392,Flete!$A:$J,10,0),"")</f>
        <v/>
      </c>
      <c r="P392" s="8" t="inlineStr">
        <is>
          <t>TN</t>
        </is>
      </c>
      <c r="Q392" s="10">
        <f>IFERROR(IFERROR(VLOOKUP(A392,TRAOPE!$A:$U,21,0),VLOOKUP(B392,TRAOPE!$A:$U,21,0)),"")</f>
        <v/>
      </c>
      <c r="R392" s="8">
        <f>IFERROR(IFERROR(VLOOKUP(A392,TRAOPE!$A:$W,23,0),VLOOKUP(B392,TRAOPE!$A:$W,23,0)),"")</f>
        <v/>
      </c>
      <c r="S392" s="10">
        <f>IF(AND(P392="TN",R392="TN"),N392+N(O392),IF(G392&amp;""="1",N(K392)*N392,(N392+N(O392))*N(K392)))</f>
        <v/>
      </c>
      <c r="T392" s="10">
        <f>IF(Q392="","",Q392-S392)</f>
        <v/>
      </c>
    </row>
    <row r="393">
      <c r="A393" s="7">
        <f>CONCATENATE(C393,E393,F393,I393)</f>
        <v/>
      </c>
      <c r="B393" s="7">
        <f>CONCATENATE(C393,E393,I393)</f>
        <v/>
      </c>
      <c r="C393" s="8" t="n">
        <v>900007932</v>
      </c>
      <c r="D393" s="7">
        <f>IFERROR(VLOOKUP(C393,TRAOPE!$G:$H,2,0),"")</f>
        <v/>
      </c>
      <c r="E393" s="8" t="inlineStr">
        <is>
          <t>DW55</t>
        </is>
      </c>
      <c r="F393" s="8" t="inlineStr">
        <is>
          <t>D325</t>
        </is>
      </c>
      <c r="G393" s="8">
        <f>IFERROR(VLOOKUP(A393,Flete!$A:$E,5,0),"")</f>
        <v/>
      </c>
      <c r="H393" s="7">
        <f>IFERROR(VLOOKUP(F393,TRAOPE!$AA:$AB,2,0),"")</f>
        <v/>
      </c>
      <c r="I393" s="7" t="n">
        <v>10000623</v>
      </c>
      <c r="J393" s="7">
        <f>IFERROR(VLOOKUP(I393,Materiales!$A:$H,8,0),"")</f>
        <v/>
      </c>
      <c r="K393" s="9">
        <f>IFERROR(VLOOKUP(I393,Materiales!$A:$G,7,0),"")</f>
        <v/>
      </c>
      <c r="L393" s="8" t="inlineStr">
        <is>
          <t>20260313</t>
        </is>
      </c>
      <c r="M393" s="8" t="inlineStr">
        <is>
          <t>99991231</t>
        </is>
      </c>
      <c r="N393" s="10" t="n">
        <v>425.53</v>
      </c>
      <c r="O393" s="10">
        <f>IFERROR(VLOOKUP(A393,Flete!$A:$J,10,0),"")</f>
        <v/>
      </c>
      <c r="P393" s="8" t="inlineStr">
        <is>
          <t>TN</t>
        </is>
      </c>
      <c r="Q393" s="10">
        <f>IFERROR(IFERROR(VLOOKUP(A393,TRAOPE!$A:$U,21,0),VLOOKUP(B393,TRAOPE!$A:$U,21,0)),"")</f>
        <v/>
      </c>
      <c r="R393" s="8">
        <f>IFERROR(IFERROR(VLOOKUP(A393,TRAOPE!$A:$W,23,0),VLOOKUP(B393,TRAOPE!$A:$W,23,0)),"")</f>
        <v/>
      </c>
      <c r="S393" s="10">
        <f>IF(AND(P393="TN",R393="TN"),N393+N(O393),IF(G393&amp;""="1",N(K393)*N393,(N393+N(O393))*N(K393)))</f>
        <v/>
      </c>
      <c r="T393" s="10">
        <f>IF(Q393="","",Q393-S393)</f>
        <v/>
      </c>
    </row>
    <row r="394">
      <c r="A394" s="7">
        <f>CONCATENATE(C394,E394,F394,I394)</f>
        <v/>
      </c>
      <c r="B394" s="7">
        <f>CONCATENATE(C394,E394,I394)</f>
        <v/>
      </c>
      <c r="C394" s="8" t="n">
        <v>900007932</v>
      </c>
      <c r="D394" s="7">
        <f>IFERROR(VLOOKUP(C394,TRAOPE!$G:$H,2,0),"")</f>
        <v/>
      </c>
      <c r="E394" s="8" t="inlineStr">
        <is>
          <t>DW55</t>
        </is>
      </c>
      <c r="F394" s="8" t="inlineStr">
        <is>
          <t>D325</t>
        </is>
      </c>
      <c r="G394" s="8">
        <f>IFERROR(VLOOKUP(A394,Flete!$A:$E,5,0),"")</f>
        <v/>
      </c>
      <c r="H394" s="7">
        <f>IFERROR(VLOOKUP(F394,TRAOPE!$AA:$AB,2,0),"")</f>
        <v/>
      </c>
      <c r="I394" s="7" t="n">
        <v>10000834</v>
      </c>
      <c r="J394" s="7">
        <f>IFERROR(VLOOKUP(I394,Materiales!$A:$H,8,0),"")</f>
        <v/>
      </c>
      <c r="K394" s="9">
        <f>IFERROR(VLOOKUP(I394,Materiales!$A:$G,7,0),"")</f>
        <v/>
      </c>
      <c r="L394" s="8" t="inlineStr">
        <is>
          <t>20250428</t>
        </is>
      </c>
      <c r="M394" s="8" t="inlineStr">
        <is>
          <t>20251031</t>
        </is>
      </c>
      <c r="N394" s="10" t="n">
        <v>184.6</v>
      </c>
      <c r="O394" s="10">
        <f>IFERROR(VLOOKUP(A394,Flete!$A:$J,10,0),"")</f>
        <v/>
      </c>
      <c r="P394" s="8" t="inlineStr">
        <is>
          <t>TN</t>
        </is>
      </c>
      <c r="Q394" s="10">
        <f>IFERROR(IFERROR(VLOOKUP(A394,TRAOPE!$A:$U,21,0),VLOOKUP(B394,TRAOPE!$A:$U,21,0)),"")</f>
        <v/>
      </c>
      <c r="R394" s="8">
        <f>IFERROR(IFERROR(VLOOKUP(A394,TRAOPE!$A:$W,23,0),VLOOKUP(B394,TRAOPE!$A:$W,23,0)),"")</f>
        <v/>
      </c>
      <c r="S394" s="10">
        <f>IF(AND(P394="TN",R394="TN"),N394+N(O394),IF(G394&amp;""="1",N(K394)*N394,(N394+N(O394))*N(K394)))</f>
        <v/>
      </c>
      <c r="T394" s="10">
        <f>IF(Q394="","",Q394-S394)</f>
        <v/>
      </c>
    </row>
    <row r="395">
      <c r="A395" s="7">
        <f>CONCATENATE(C395,E395,F395,I395)</f>
        <v/>
      </c>
      <c r="B395" s="7">
        <f>CONCATENATE(C395,E395,I395)</f>
        <v/>
      </c>
      <c r="C395" s="8" t="n">
        <v>900007932</v>
      </c>
      <c r="D395" s="7">
        <f>IFERROR(VLOOKUP(C395,TRAOPE!$G:$H,2,0),"")</f>
        <v/>
      </c>
      <c r="E395" s="8" t="inlineStr">
        <is>
          <t>DW55</t>
        </is>
      </c>
      <c r="F395" s="8" t="inlineStr">
        <is>
          <t>D325</t>
        </is>
      </c>
      <c r="G395" s="8">
        <f>IFERROR(VLOOKUP(A395,Flete!$A:$E,5,0),"")</f>
        <v/>
      </c>
      <c r="H395" s="7">
        <f>IFERROR(VLOOKUP(F395,TRAOPE!$AA:$AB,2,0),"")</f>
        <v/>
      </c>
      <c r="I395" s="7" t="n">
        <v>10023592</v>
      </c>
      <c r="J395" s="7">
        <f>IFERROR(VLOOKUP(I395,Materiales!$A:$H,8,0),"")</f>
        <v/>
      </c>
      <c r="K395" s="9">
        <f>IFERROR(VLOOKUP(I395,Materiales!$A:$G,7,0),"")</f>
        <v/>
      </c>
      <c r="L395" s="8" t="inlineStr">
        <is>
          <t>20240628</t>
        </is>
      </c>
      <c r="M395" s="8" t="inlineStr">
        <is>
          <t>99991231</t>
        </is>
      </c>
      <c r="N395" s="10" t="n">
        <v>106.93</v>
      </c>
      <c r="O395" s="10">
        <f>IFERROR(VLOOKUP(A395,Flete!$A:$J,10,0),"")</f>
        <v/>
      </c>
      <c r="P395" s="8" t="inlineStr">
        <is>
          <t>TN</t>
        </is>
      </c>
      <c r="Q395" s="10">
        <f>IFERROR(IFERROR(VLOOKUP(A395,TRAOPE!$A:$U,21,0),VLOOKUP(B395,TRAOPE!$A:$U,21,0)),"")</f>
        <v/>
      </c>
      <c r="R395" s="8">
        <f>IFERROR(IFERROR(VLOOKUP(A395,TRAOPE!$A:$W,23,0),VLOOKUP(B395,TRAOPE!$A:$W,23,0)),"")</f>
        <v/>
      </c>
      <c r="S395" s="10">
        <f>IF(AND(P395="TN",R395="TN"),N395+N(O395),IF(G395&amp;""="1",N(K395)*N395,(N395+N(O395))*N(K395)))</f>
        <v/>
      </c>
      <c r="T395" s="10">
        <f>IF(Q395="","",Q395-S395)</f>
        <v/>
      </c>
    </row>
    <row r="396">
      <c r="A396" s="7">
        <f>CONCATENATE(C396,E396,F396,I396)</f>
        <v/>
      </c>
      <c r="B396" s="7">
        <f>CONCATENATE(C396,E396,I396)</f>
        <v/>
      </c>
      <c r="C396" s="8" t="n">
        <v>900007932</v>
      </c>
      <c r="D396" s="7">
        <f>IFERROR(VLOOKUP(C396,TRAOPE!$G:$H,2,0),"")</f>
        <v/>
      </c>
      <c r="E396" s="8" t="inlineStr">
        <is>
          <t>DW55</t>
        </is>
      </c>
      <c r="F396" s="8" t="inlineStr">
        <is>
          <t>D348</t>
        </is>
      </c>
      <c r="G396" s="8">
        <f>IFERROR(VLOOKUP(A396,Flete!$A:$E,5,0),"")</f>
        <v/>
      </c>
      <c r="H396" s="7">
        <f>IFERROR(VLOOKUP(F396,TRAOPE!$AA:$AB,2,0),"")</f>
        <v/>
      </c>
      <c r="I396" s="7" t="n">
        <v>10000372</v>
      </c>
      <c r="J396" s="7">
        <f>IFERROR(VLOOKUP(I396,Materiales!$A:$H,8,0),"")</f>
        <v/>
      </c>
      <c r="K396" s="9">
        <f>IFERROR(VLOOKUP(I396,Materiales!$A:$G,7,0),"")</f>
        <v/>
      </c>
      <c r="L396" s="8" t="inlineStr">
        <is>
          <t>20250428</t>
        </is>
      </c>
      <c r="M396" s="8" t="inlineStr">
        <is>
          <t>20251031</t>
        </is>
      </c>
      <c r="N396" s="10" t="n">
        <v>151.93</v>
      </c>
      <c r="O396" s="10">
        <f>IFERROR(VLOOKUP(A396,Flete!$A:$J,10,0),"")</f>
        <v/>
      </c>
      <c r="P396" s="8" t="inlineStr">
        <is>
          <t>TN</t>
        </is>
      </c>
      <c r="Q396" s="10">
        <f>IFERROR(IFERROR(VLOOKUP(A396,TRAOPE!$A:$U,21,0),VLOOKUP(B396,TRAOPE!$A:$U,21,0)),"")</f>
        <v/>
      </c>
      <c r="R396" s="8">
        <f>IFERROR(IFERROR(VLOOKUP(A396,TRAOPE!$A:$W,23,0),VLOOKUP(B396,TRAOPE!$A:$W,23,0)),"")</f>
        <v/>
      </c>
      <c r="S396" s="10">
        <f>IF(AND(P396="TN",R396="TN"),N396+N(O396),IF(G396&amp;""="1",N(K396)*N396,(N396+N(O396))*N(K396)))</f>
        <v/>
      </c>
      <c r="T396" s="10">
        <f>IF(Q396="","",Q396-S396)</f>
        <v/>
      </c>
    </row>
    <row r="397">
      <c r="A397" s="7">
        <f>CONCATENATE(C397,E397,F397,I397)</f>
        <v/>
      </c>
      <c r="B397" s="7">
        <f>CONCATENATE(C397,E397,I397)</f>
        <v/>
      </c>
      <c r="C397" s="8" t="n">
        <v>900007932</v>
      </c>
      <c r="D397" s="7">
        <f>IFERROR(VLOOKUP(C397,TRAOPE!$G:$H,2,0),"")</f>
        <v/>
      </c>
      <c r="E397" s="8" t="inlineStr">
        <is>
          <t>DW55</t>
        </is>
      </c>
      <c r="F397" s="8" t="inlineStr">
        <is>
          <t>D348</t>
        </is>
      </c>
      <c r="G397" s="8">
        <f>IFERROR(VLOOKUP(A397,Flete!$A:$E,5,0),"")</f>
        <v/>
      </c>
      <c r="H397" s="7">
        <f>IFERROR(VLOOKUP(F397,TRAOPE!$AA:$AB,2,0),"")</f>
        <v/>
      </c>
      <c r="I397" s="7" t="n">
        <v>10000834</v>
      </c>
      <c r="J397" s="7">
        <f>IFERROR(VLOOKUP(I397,Materiales!$A:$H,8,0),"")</f>
        <v/>
      </c>
      <c r="K397" s="9">
        <f>IFERROR(VLOOKUP(I397,Materiales!$A:$G,7,0),"")</f>
        <v/>
      </c>
      <c r="L397" s="8" t="inlineStr">
        <is>
          <t>20250428</t>
        </is>
      </c>
      <c r="M397" s="8" t="inlineStr">
        <is>
          <t>20251031</t>
        </is>
      </c>
      <c r="N397" s="10" t="n">
        <v>78.55</v>
      </c>
      <c r="O397" s="10">
        <f>IFERROR(VLOOKUP(A397,Flete!$A:$J,10,0),"")</f>
        <v/>
      </c>
      <c r="P397" s="8" t="inlineStr">
        <is>
          <t>TN</t>
        </is>
      </c>
      <c r="Q397" s="10">
        <f>IFERROR(IFERROR(VLOOKUP(A397,TRAOPE!$A:$U,21,0),VLOOKUP(B397,TRAOPE!$A:$U,21,0)),"")</f>
        <v/>
      </c>
      <c r="R397" s="8">
        <f>IFERROR(IFERROR(VLOOKUP(A397,TRAOPE!$A:$W,23,0),VLOOKUP(B397,TRAOPE!$A:$W,23,0)),"")</f>
        <v/>
      </c>
      <c r="S397" s="10">
        <f>IF(AND(P397="TN",R397="TN"),N397+N(O397),IF(G397&amp;""="1",N(K397)*N397,(N397+N(O397))*N(K397)))</f>
        <v/>
      </c>
      <c r="T397" s="10">
        <f>IF(Q397="","",Q397-S397)</f>
        <v/>
      </c>
    </row>
    <row r="398">
      <c r="A398" s="7">
        <f>CONCATENATE(C398,E398,F398,I398)</f>
        <v/>
      </c>
      <c r="B398" s="7">
        <f>CONCATENATE(C398,E398,I398)</f>
        <v/>
      </c>
      <c r="C398" s="8" t="n">
        <v>900007933</v>
      </c>
      <c r="D398" s="7">
        <f>IFERROR(VLOOKUP(C398,TRAOPE!$G:$H,2,0),"")</f>
        <v/>
      </c>
      <c r="E398" s="8" t="inlineStr">
        <is>
          <t>DW55</t>
        </is>
      </c>
      <c r="F398" s="8" t="inlineStr">
        <is>
          <t>D348</t>
        </is>
      </c>
      <c r="G398" s="8">
        <f>IFERROR(VLOOKUP(A398,Flete!$A:$E,5,0),"")</f>
        <v/>
      </c>
      <c r="H398" s="7">
        <f>IFERROR(VLOOKUP(F398,TRAOPE!$AA:$AB,2,0),"")</f>
        <v/>
      </c>
      <c r="I398" s="7" t="n">
        <v>10000372</v>
      </c>
      <c r="J398" s="7">
        <f>IFERROR(VLOOKUP(I398,Materiales!$A:$H,8,0),"")</f>
        <v/>
      </c>
      <c r="K398" s="9">
        <f>IFERROR(VLOOKUP(I398,Materiales!$A:$G,7,0),"")</f>
        <v/>
      </c>
      <c r="L398" s="8" t="inlineStr">
        <is>
          <t>20240628</t>
        </is>
      </c>
      <c r="M398" s="8" t="inlineStr">
        <is>
          <t>20240726</t>
        </is>
      </c>
      <c r="N398" s="10" t="n">
        <v>151.93</v>
      </c>
      <c r="O398" s="10">
        <f>IFERROR(VLOOKUP(A398,Flete!$A:$J,10,0),"")</f>
        <v/>
      </c>
      <c r="P398" s="8" t="inlineStr">
        <is>
          <t>TN</t>
        </is>
      </c>
      <c r="Q398" s="10">
        <f>IFERROR(IFERROR(VLOOKUP(A398,TRAOPE!$A:$U,21,0),VLOOKUP(B398,TRAOPE!$A:$U,21,0)),"")</f>
        <v/>
      </c>
      <c r="R398" s="8">
        <f>IFERROR(IFERROR(VLOOKUP(A398,TRAOPE!$A:$W,23,0),VLOOKUP(B398,TRAOPE!$A:$W,23,0)),"")</f>
        <v/>
      </c>
      <c r="S398" s="10">
        <f>IF(AND(P398="TN",R398="TN"),N398+N(O398),IF(G398&amp;""="1",N(K398)*N398,(N398+N(O398))*N(K398)))</f>
        <v/>
      </c>
      <c r="T398" s="10">
        <f>IF(Q398="","",Q398-S398)</f>
        <v/>
      </c>
    </row>
    <row r="399">
      <c r="A399" s="7">
        <f>CONCATENATE(C399,E399,F399,I399)</f>
        <v/>
      </c>
      <c r="B399" s="7">
        <f>CONCATENATE(C399,E399,I399)</f>
        <v/>
      </c>
      <c r="C399" s="8" t="n">
        <v>900007952</v>
      </c>
      <c r="D399" s="7">
        <f>IFERROR(VLOOKUP(C399,TRAOPE!$G:$H,2,0),"")</f>
        <v/>
      </c>
      <c r="E399" s="8" t="inlineStr">
        <is>
          <t>DW55</t>
        </is>
      </c>
      <c r="F399" s="8" t="inlineStr">
        <is>
          <t>D284</t>
        </is>
      </c>
      <c r="G399" s="8">
        <f>IFERROR(VLOOKUP(A399,Flete!$A:$E,5,0),"")</f>
        <v/>
      </c>
      <c r="H399" s="7">
        <f>IFERROR(VLOOKUP(F399,TRAOPE!$AA:$AB,2,0),"")</f>
        <v/>
      </c>
      <c r="I399" s="7" t="n">
        <v>10217663</v>
      </c>
      <c r="J399" s="7">
        <f>IFERROR(VLOOKUP(I399,Materiales!$A:$H,8,0),"")</f>
        <v/>
      </c>
      <c r="K399" s="9">
        <f>IFERROR(VLOOKUP(I399,Materiales!$A:$G,7,0),"")</f>
        <v/>
      </c>
      <c r="L399" s="8" t="inlineStr">
        <is>
          <t>20240313</t>
        </is>
      </c>
      <c r="M399" s="8" t="inlineStr">
        <is>
          <t>99991231</t>
        </is>
      </c>
      <c r="N399" s="10" t="n">
        <v>51.17</v>
      </c>
      <c r="O399" s="10">
        <f>IFERROR(VLOOKUP(A399,Flete!$A:$J,10,0),"")</f>
        <v/>
      </c>
      <c r="P399" s="8" t="inlineStr">
        <is>
          <t>TN</t>
        </is>
      </c>
      <c r="Q399" s="10">
        <f>IFERROR(IFERROR(VLOOKUP(A399,TRAOPE!$A:$U,21,0),VLOOKUP(B399,TRAOPE!$A:$U,21,0)),"")</f>
        <v/>
      </c>
      <c r="R399" s="8">
        <f>IFERROR(IFERROR(VLOOKUP(A399,TRAOPE!$A:$W,23,0),VLOOKUP(B399,TRAOPE!$A:$W,23,0)),"")</f>
        <v/>
      </c>
      <c r="S399" s="10">
        <f>IF(AND(P399="TN",R399="TN"),N399+N(O399),IF(G399&amp;""="1",N(K399)*N399,(N399+N(O399))*N(K399)))</f>
        <v/>
      </c>
      <c r="T399" s="10">
        <f>IF(Q399="","",Q399-S399)</f>
        <v/>
      </c>
    </row>
    <row r="400">
      <c r="A400" s="7">
        <f>CONCATENATE(C400,E400,F400,I400)</f>
        <v/>
      </c>
      <c r="B400" s="7">
        <f>CONCATENATE(C400,E400,I400)</f>
        <v/>
      </c>
      <c r="C400" s="8" t="n">
        <v>900007952</v>
      </c>
      <c r="D400" s="7">
        <f>IFERROR(VLOOKUP(C400,TRAOPE!$G:$H,2,0),"")</f>
        <v/>
      </c>
      <c r="E400" s="8" t="inlineStr">
        <is>
          <t>DW55</t>
        </is>
      </c>
      <c r="F400" s="8" t="inlineStr">
        <is>
          <t>D309</t>
        </is>
      </c>
      <c r="G400" s="8">
        <f>IFERROR(VLOOKUP(A400,Flete!$A:$E,5,0),"")</f>
        <v/>
      </c>
      <c r="H400" s="7">
        <f>IFERROR(VLOOKUP(F400,TRAOPE!$AA:$AB,2,0),"")</f>
        <v/>
      </c>
      <c r="I400" s="7" t="n">
        <v>10217663</v>
      </c>
      <c r="J400" s="7">
        <f>IFERROR(VLOOKUP(I400,Materiales!$A:$H,8,0),"")</f>
        <v/>
      </c>
      <c r="K400" s="9">
        <f>IFERROR(VLOOKUP(I400,Materiales!$A:$G,7,0),"")</f>
        <v/>
      </c>
      <c r="L400" s="8" t="inlineStr">
        <is>
          <t>20240313</t>
        </is>
      </c>
      <c r="M400" s="8" t="inlineStr">
        <is>
          <t>99991231</t>
        </is>
      </c>
      <c r="N400" s="10" t="n">
        <v>51.17</v>
      </c>
      <c r="O400" s="10">
        <f>IFERROR(VLOOKUP(A400,Flete!$A:$J,10,0),"")</f>
        <v/>
      </c>
      <c r="P400" s="8" t="inlineStr">
        <is>
          <t>TN</t>
        </is>
      </c>
      <c r="Q400" s="10">
        <f>IFERROR(IFERROR(VLOOKUP(A400,TRAOPE!$A:$U,21,0),VLOOKUP(B400,TRAOPE!$A:$U,21,0)),"")</f>
        <v/>
      </c>
      <c r="R400" s="8">
        <f>IFERROR(IFERROR(VLOOKUP(A400,TRAOPE!$A:$W,23,0),VLOOKUP(B400,TRAOPE!$A:$W,23,0)),"")</f>
        <v/>
      </c>
      <c r="S400" s="10">
        <f>IF(AND(P400="TN",R400="TN"),N400+N(O400),IF(G400&amp;""="1",N(K400)*N400,(N400+N(O400))*N(K400)))</f>
        <v/>
      </c>
      <c r="T400" s="10">
        <f>IF(Q400="","",Q400-S400)</f>
        <v/>
      </c>
    </row>
    <row r="401">
      <c r="A401" s="7">
        <f>CONCATENATE(C401,E401,F401,I401)</f>
        <v/>
      </c>
      <c r="B401" s="7">
        <f>CONCATENATE(C401,E401,I401)</f>
        <v/>
      </c>
      <c r="C401" s="8" t="n">
        <v>900007952</v>
      </c>
      <c r="D401" s="7">
        <f>IFERROR(VLOOKUP(C401,TRAOPE!$G:$H,2,0),"")</f>
        <v/>
      </c>
      <c r="E401" s="8" t="inlineStr">
        <is>
          <t>DW55</t>
        </is>
      </c>
      <c r="F401" s="8" t="inlineStr">
        <is>
          <t>D325</t>
        </is>
      </c>
      <c r="G401" s="8">
        <f>IFERROR(VLOOKUP(A401,Flete!$A:$E,5,0),"")</f>
        <v/>
      </c>
      <c r="H401" s="7">
        <f>IFERROR(VLOOKUP(F401,TRAOPE!$AA:$AB,2,0),"")</f>
        <v/>
      </c>
      <c r="I401" s="7" t="n">
        <v>10217663</v>
      </c>
      <c r="J401" s="7">
        <f>IFERROR(VLOOKUP(I401,Materiales!$A:$H,8,0),"")</f>
        <v/>
      </c>
      <c r="K401" s="9">
        <f>IFERROR(VLOOKUP(I401,Materiales!$A:$G,7,0),"")</f>
        <v/>
      </c>
      <c r="L401" s="8" t="inlineStr">
        <is>
          <t>20240313</t>
        </is>
      </c>
      <c r="M401" s="8" t="inlineStr">
        <is>
          <t>99991231</t>
        </is>
      </c>
      <c r="N401" s="10" t="n">
        <v>51.17</v>
      </c>
      <c r="O401" s="10">
        <f>IFERROR(VLOOKUP(A401,Flete!$A:$J,10,0),"")</f>
        <v/>
      </c>
      <c r="P401" s="8" t="inlineStr">
        <is>
          <t>TN</t>
        </is>
      </c>
      <c r="Q401" s="10">
        <f>IFERROR(IFERROR(VLOOKUP(A401,TRAOPE!$A:$U,21,0),VLOOKUP(B401,TRAOPE!$A:$U,21,0)),"")</f>
        <v/>
      </c>
      <c r="R401" s="8">
        <f>IFERROR(IFERROR(VLOOKUP(A401,TRAOPE!$A:$W,23,0),VLOOKUP(B401,TRAOPE!$A:$W,23,0)),"")</f>
        <v/>
      </c>
      <c r="S401" s="10">
        <f>IF(AND(P401="TN",R401="TN"),N401+N(O401),IF(G401&amp;""="1",N(K401)*N401,(N401+N(O401))*N(K401)))</f>
        <v/>
      </c>
      <c r="T401" s="10">
        <f>IF(Q401="","",Q401-S401)</f>
        <v/>
      </c>
    </row>
    <row r="402">
      <c r="A402" s="7">
        <f>CONCATENATE(C402,E402,F402,I402)</f>
        <v/>
      </c>
      <c r="B402" s="7">
        <f>CONCATENATE(C402,E402,I402)</f>
        <v/>
      </c>
      <c r="C402" s="8" t="n">
        <v>900007952</v>
      </c>
      <c r="D402" s="7">
        <f>IFERROR(VLOOKUP(C402,TRAOPE!$G:$H,2,0),"")</f>
        <v/>
      </c>
      <c r="E402" s="8" t="inlineStr">
        <is>
          <t>DW55</t>
        </is>
      </c>
      <c r="F402" s="8" t="inlineStr">
        <is>
          <t>D342</t>
        </is>
      </c>
      <c r="G402" s="8">
        <f>IFERROR(VLOOKUP(A402,Flete!$A:$E,5,0),"")</f>
        <v/>
      </c>
      <c r="H402" s="7">
        <f>IFERROR(VLOOKUP(F402,TRAOPE!$AA:$AB,2,0),"")</f>
        <v/>
      </c>
      <c r="I402" s="7" t="n">
        <v>10217663</v>
      </c>
      <c r="J402" s="7">
        <f>IFERROR(VLOOKUP(I402,Materiales!$A:$H,8,0),"")</f>
        <v/>
      </c>
      <c r="K402" s="9">
        <f>IFERROR(VLOOKUP(I402,Materiales!$A:$G,7,0),"")</f>
        <v/>
      </c>
      <c r="L402" s="8" t="inlineStr">
        <is>
          <t>20240313</t>
        </is>
      </c>
      <c r="M402" s="8" t="inlineStr">
        <is>
          <t>99991231</t>
        </is>
      </c>
      <c r="N402" s="10" t="n">
        <v>51.17</v>
      </c>
      <c r="O402" s="10">
        <f>IFERROR(VLOOKUP(A402,Flete!$A:$J,10,0),"")</f>
        <v/>
      </c>
      <c r="P402" s="8" t="inlineStr">
        <is>
          <t>TN</t>
        </is>
      </c>
      <c r="Q402" s="10">
        <f>IFERROR(IFERROR(VLOOKUP(A402,TRAOPE!$A:$U,21,0),VLOOKUP(B402,TRAOPE!$A:$U,21,0)),"")</f>
        <v/>
      </c>
      <c r="R402" s="8">
        <f>IFERROR(IFERROR(VLOOKUP(A402,TRAOPE!$A:$W,23,0),VLOOKUP(B402,TRAOPE!$A:$W,23,0)),"")</f>
        <v/>
      </c>
      <c r="S402" s="10">
        <f>IF(AND(P402="TN",R402="TN"),N402+N(O402),IF(G402&amp;""="1",N(K402)*N402,(N402+N(O402))*N(K402)))</f>
        <v/>
      </c>
      <c r="T402" s="10">
        <f>IF(Q402="","",Q402-S402)</f>
        <v/>
      </c>
    </row>
    <row r="403">
      <c r="A403" s="7">
        <f>CONCATENATE(C403,E403,F403,I403)</f>
        <v/>
      </c>
      <c r="B403" s="7">
        <f>CONCATENATE(C403,E403,I403)</f>
        <v/>
      </c>
      <c r="C403" s="8" t="n">
        <v>900007952</v>
      </c>
      <c r="D403" s="7">
        <f>IFERROR(VLOOKUP(C403,TRAOPE!$G:$H,2,0),"")</f>
        <v/>
      </c>
      <c r="E403" s="8" t="inlineStr">
        <is>
          <t>DW55</t>
        </is>
      </c>
      <c r="F403" s="8" t="inlineStr">
        <is>
          <t>D348</t>
        </is>
      </c>
      <c r="G403" s="8">
        <f>IFERROR(VLOOKUP(A403,Flete!$A:$E,5,0),"")</f>
        <v/>
      </c>
      <c r="H403" s="7">
        <f>IFERROR(VLOOKUP(F403,TRAOPE!$AA:$AB,2,0),"")</f>
        <v/>
      </c>
      <c r="I403" s="7" t="n">
        <v>10217663</v>
      </c>
      <c r="J403" s="7">
        <f>IFERROR(VLOOKUP(I403,Materiales!$A:$H,8,0),"")</f>
        <v/>
      </c>
      <c r="K403" s="9">
        <f>IFERROR(VLOOKUP(I403,Materiales!$A:$G,7,0),"")</f>
        <v/>
      </c>
      <c r="L403" s="8" t="inlineStr">
        <is>
          <t>20240313</t>
        </is>
      </c>
      <c r="M403" s="8" t="inlineStr">
        <is>
          <t>99991231</t>
        </is>
      </c>
      <c r="N403" s="10" t="n">
        <v>51.17</v>
      </c>
      <c r="O403" s="10">
        <f>IFERROR(VLOOKUP(A403,Flete!$A:$J,10,0),"")</f>
        <v/>
      </c>
      <c r="P403" s="8" t="inlineStr">
        <is>
          <t>TN</t>
        </is>
      </c>
      <c r="Q403" s="10">
        <f>IFERROR(IFERROR(VLOOKUP(A403,TRAOPE!$A:$U,21,0),VLOOKUP(B403,TRAOPE!$A:$U,21,0)),"")</f>
        <v/>
      </c>
      <c r="R403" s="8">
        <f>IFERROR(IFERROR(VLOOKUP(A403,TRAOPE!$A:$W,23,0),VLOOKUP(B403,TRAOPE!$A:$W,23,0)),"")</f>
        <v/>
      </c>
      <c r="S403" s="10">
        <f>IF(AND(P403="TN",R403="TN"),N403+N(O403),IF(G403&amp;""="1",N(K403)*N403,(N403+N(O403))*N(K403)))</f>
        <v/>
      </c>
      <c r="T403" s="10">
        <f>IF(Q403="","",Q403-S403)</f>
        <v/>
      </c>
    </row>
    <row r="404">
      <c r="A404" s="7">
        <f>CONCATENATE(C404,E404,F404,I404)</f>
        <v/>
      </c>
      <c r="B404" s="7">
        <f>CONCATENATE(C404,E404,I404)</f>
        <v/>
      </c>
      <c r="C404" s="8" t="n">
        <v>900007953</v>
      </c>
      <c r="D404" s="7">
        <f>IFERROR(VLOOKUP(C404,TRAOPE!$G:$H,2,0),"")</f>
        <v/>
      </c>
      <c r="E404" s="8" t="inlineStr">
        <is>
          <t>DW55</t>
        </is>
      </c>
      <c r="F404" s="8" t="inlineStr">
        <is>
          <t>D284</t>
        </is>
      </c>
      <c r="G404" s="8">
        <f>IFERROR(VLOOKUP(A404,Flete!$A:$E,5,0),"")</f>
        <v/>
      </c>
      <c r="H404" s="7">
        <f>IFERROR(VLOOKUP(F404,TRAOPE!$AA:$AB,2,0),"")</f>
        <v/>
      </c>
      <c r="I404" s="7" t="n">
        <v>10000372</v>
      </c>
      <c r="J404" s="7">
        <f>IFERROR(VLOOKUP(I404,Materiales!$A:$H,8,0),"")</f>
        <v/>
      </c>
      <c r="K404" s="9">
        <f>IFERROR(VLOOKUP(I404,Materiales!$A:$G,7,0),"")</f>
        <v/>
      </c>
      <c r="L404" s="8" t="inlineStr">
        <is>
          <t>20240617</t>
        </is>
      </c>
      <c r="M404" s="8" t="inlineStr">
        <is>
          <t>99991231</t>
        </is>
      </c>
      <c r="N404" s="10" t="n">
        <v>158.84</v>
      </c>
      <c r="O404" s="10">
        <f>IFERROR(VLOOKUP(A404,Flete!$A:$J,10,0),"")</f>
        <v/>
      </c>
      <c r="P404" s="8" t="inlineStr">
        <is>
          <t>TN</t>
        </is>
      </c>
      <c r="Q404" s="10">
        <f>IFERROR(IFERROR(VLOOKUP(A404,TRAOPE!$A:$U,21,0),VLOOKUP(B404,TRAOPE!$A:$U,21,0)),"")</f>
        <v/>
      </c>
      <c r="R404" s="8">
        <f>IFERROR(IFERROR(VLOOKUP(A404,TRAOPE!$A:$W,23,0),VLOOKUP(B404,TRAOPE!$A:$W,23,0)),"")</f>
        <v/>
      </c>
      <c r="S404" s="10">
        <f>IF(AND(P404="TN",R404="TN"),N404+N(O404),IF(G404&amp;""="1",N(K404)*N404,(N404+N(O404))*N(K404)))</f>
        <v/>
      </c>
      <c r="T404" s="10">
        <f>IF(Q404="","",Q404-S404)</f>
        <v/>
      </c>
    </row>
    <row r="405">
      <c r="A405" s="7">
        <f>CONCATENATE(C405,E405,F405,I405)</f>
        <v/>
      </c>
      <c r="B405" s="7">
        <f>CONCATENATE(C405,E405,I405)</f>
        <v/>
      </c>
      <c r="C405" s="8" t="n">
        <v>900007953</v>
      </c>
      <c r="D405" s="7">
        <f>IFERROR(VLOOKUP(C405,TRAOPE!$G:$H,2,0),"")</f>
        <v/>
      </c>
      <c r="E405" s="8" t="inlineStr">
        <is>
          <t>DW55</t>
        </is>
      </c>
      <c r="F405" s="8" t="inlineStr">
        <is>
          <t>D284</t>
        </is>
      </c>
      <c r="G405" s="8">
        <f>IFERROR(VLOOKUP(A405,Flete!$A:$E,5,0),"")</f>
        <v/>
      </c>
      <c r="H405" s="7">
        <f>IFERROR(VLOOKUP(F405,TRAOPE!$AA:$AB,2,0),"")</f>
        <v/>
      </c>
      <c r="I405" s="7" t="n">
        <v>10217663</v>
      </c>
      <c r="J405" s="7">
        <f>IFERROR(VLOOKUP(I405,Materiales!$A:$H,8,0),"")</f>
        <v/>
      </c>
      <c r="K405" s="9">
        <f>IFERROR(VLOOKUP(I405,Materiales!$A:$G,7,0),"")</f>
        <v/>
      </c>
      <c r="L405" s="8" t="inlineStr">
        <is>
          <t>20220516</t>
        </is>
      </c>
      <c r="M405" s="8" t="inlineStr">
        <is>
          <t>20240320</t>
        </is>
      </c>
      <c r="N405" s="10" t="n">
        <v>44.64</v>
      </c>
      <c r="O405" s="10">
        <f>IFERROR(VLOOKUP(A405,Flete!$A:$J,10,0),"")</f>
        <v/>
      </c>
      <c r="P405" s="8" t="inlineStr">
        <is>
          <t>TN</t>
        </is>
      </c>
      <c r="Q405" s="10">
        <f>IFERROR(IFERROR(VLOOKUP(A405,TRAOPE!$A:$U,21,0),VLOOKUP(B405,TRAOPE!$A:$U,21,0)),"")</f>
        <v/>
      </c>
      <c r="R405" s="8">
        <f>IFERROR(IFERROR(VLOOKUP(A405,TRAOPE!$A:$W,23,0),VLOOKUP(B405,TRAOPE!$A:$W,23,0)),"")</f>
        <v/>
      </c>
      <c r="S405" s="10">
        <f>IF(AND(P405="TN",R405="TN"),N405+N(O405),IF(G405&amp;""="1",N(K405)*N405,(N405+N(O405))*N(K405)))</f>
        <v/>
      </c>
      <c r="T405" s="10">
        <f>IF(Q405="","",Q405-S405)</f>
        <v/>
      </c>
    </row>
    <row r="406">
      <c r="A406" s="7">
        <f>CONCATENATE(C406,E406,F406,I406)</f>
        <v/>
      </c>
      <c r="B406" s="7">
        <f>CONCATENATE(C406,E406,I406)</f>
        <v/>
      </c>
      <c r="C406" s="8" t="n">
        <v>900007953</v>
      </c>
      <c r="D406" s="7">
        <f>IFERROR(VLOOKUP(C406,TRAOPE!$G:$H,2,0),"")</f>
        <v/>
      </c>
      <c r="E406" s="8" t="inlineStr">
        <is>
          <t>DW55</t>
        </is>
      </c>
      <c r="F406" s="8" t="inlineStr">
        <is>
          <t>D309</t>
        </is>
      </c>
      <c r="G406" s="8">
        <f>IFERROR(VLOOKUP(A406,Flete!$A:$E,5,0),"")</f>
        <v/>
      </c>
      <c r="H406" s="7">
        <f>IFERROR(VLOOKUP(F406,TRAOPE!$AA:$AB,2,0),"")</f>
        <v/>
      </c>
      <c r="I406" s="7" t="n">
        <v>10000372</v>
      </c>
      <c r="J406" s="7">
        <f>IFERROR(VLOOKUP(I406,Materiales!$A:$H,8,0),"")</f>
        <v/>
      </c>
      <c r="K406" s="9">
        <f>IFERROR(VLOOKUP(I406,Materiales!$A:$G,7,0),"")</f>
        <v/>
      </c>
      <c r="L406" s="8" t="inlineStr">
        <is>
          <t>20240628</t>
        </is>
      </c>
      <c r="M406" s="8" t="inlineStr">
        <is>
          <t>99991231</t>
        </is>
      </c>
      <c r="N406" s="10" t="n">
        <v>158.84</v>
      </c>
      <c r="O406" s="10">
        <f>IFERROR(VLOOKUP(A406,Flete!$A:$J,10,0),"")</f>
        <v/>
      </c>
      <c r="P406" s="8" t="inlineStr">
        <is>
          <t>TN</t>
        </is>
      </c>
      <c r="Q406" s="10">
        <f>IFERROR(IFERROR(VLOOKUP(A406,TRAOPE!$A:$U,21,0),VLOOKUP(B406,TRAOPE!$A:$U,21,0)),"")</f>
        <v/>
      </c>
      <c r="R406" s="8">
        <f>IFERROR(IFERROR(VLOOKUP(A406,TRAOPE!$A:$W,23,0),VLOOKUP(B406,TRAOPE!$A:$W,23,0)),"")</f>
        <v/>
      </c>
      <c r="S406" s="10">
        <f>IF(AND(P406="TN",R406="TN"),N406+N(O406),IF(G406&amp;""="1",N(K406)*N406,(N406+N(O406))*N(K406)))</f>
        <v/>
      </c>
      <c r="T406" s="10">
        <f>IF(Q406="","",Q406-S406)</f>
        <v/>
      </c>
    </row>
    <row r="407">
      <c r="A407" s="7">
        <f>CONCATENATE(C407,E407,F407,I407)</f>
        <v/>
      </c>
      <c r="B407" s="7">
        <f>CONCATENATE(C407,E407,I407)</f>
        <v/>
      </c>
      <c r="C407" s="8" t="n">
        <v>900007953</v>
      </c>
      <c r="D407" s="7">
        <f>IFERROR(VLOOKUP(C407,TRAOPE!$G:$H,2,0),"")</f>
        <v/>
      </c>
      <c r="E407" s="8" t="inlineStr">
        <is>
          <t>DW55</t>
        </is>
      </c>
      <c r="F407" s="8" t="inlineStr">
        <is>
          <t>D309</t>
        </is>
      </c>
      <c r="G407" s="8">
        <f>IFERROR(VLOOKUP(A407,Flete!$A:$E,5,0),"")</f>
        <v/>
      </c>
      <c r="H407" s="7">
        <f>IFERROR(VLOOKUP(F407,TRAOPE!$AA:$AB,2,0),"")</f>
        <v/>
      </c>
      <c r="I407" s="7" t="n">
        <v>10217663</v>
      </c>
      <c r="J407" s="7">
        <f>IFERROR(VLOOKUP(I407,Materiales!$A:$H,8,0),"")</f>
        <v/>
      </c>
      <c r="K407" s="9">
        <f>IFERROR(VLOOKUP(I407,Materiales!$A:$G,7,0),"")</f>
        <v/>
      </c>
      <c r="L407" s="8" t="inlineStr">
        <is>
          <t>20220516</t>
        </is>
      </c>
      <c r="M407" s="8" t="inlineStr">
        <is>
          <t>20240320</t>
        </is>
      </c>
      <c r="N407" s="10" t="n">
        <v>44.64</v>
      </c>
      <c r="O407" s="10">
        <f>IFERROR(VLOOKUP(A407,Flete!$A:$J,10,0),"")</f>
        <v/>
      </c>
      <c r="P407" s="8" t="inlineStr">
        <is>
          <t>TN</t>
        </is>
      </c>
      <c r="Q407" s="10">
        <f>IFERROR(IFERROR(VLOOKUP(A407,TRAOPE!$A:$U,21,0),VLOOKUP(B407,TRAOPE!$A:$U,21,0)),"")</f>
        <v/>
      </c>
      <c r="R407" s="8">
        <f>IFERROR(IFERROR(VLOOKUP(A407,TRAOPE!$A:$W,23,0),VLOOKUP(B407,TRAOPE!$A:$W,23,0)),"")</f>
        <v/>
      </c>
      <c r="S407" s="10">
        <f>IF(AND(P407="TN",R407="TN"),N407+N(O407),IF(G407&amp;""="1",N(K407)*N407,(N407+N(O407))*N(K407)))</f>
        <v/>
      </c>
      <c r="T407" s="10">
        <f>IF(Q407="","",Q407-S407)</f>
        <v/>
      </c>
    </row>
    <row r="408">
      <c r="A408" s="7">
        <f>CONCATENATE(C408,E408,F408,I408)</f>
        <v/>
      </c>
      <c r="B408" s="7">
        <f>CONCATENATE(C408,E408,I408)</f>
        <v/>
      </c>
      <c r="C408" s="8" t="n">
        <v>900007953</v>
      </c>
      <c r="D408" s="7">
        <f>IFERROR(VLOOKUP(C408,TRAOPE!$G:$H,2,0),"")</f>
        <v/>
      </c>
      <c r="E408" s="8" t="inlineStr">
        <is>
          <t>DW55</t>
        </is>
      </c>
      <c r="F408" s="8" t="inlineStr">
        <is>
          <t>D325</t>
        </is>
      </c>
      <c r="G408" s="8">
        <f>IFERROR(VLOOKUP(A408,Flete!$A:$E,5,0),"")</f>
        <v/>
      </c>
      <c r="H408" s="7">
        <f>IFERROR(VLOOKUP(F408,TRAOPE!$AA:$AB,2,0),"")</f>
        <v/>
      </c>
      <c r="I408" s="7" t="n">
        <v>10217663</v>
      </c>
      <c r="J408" s="7">
        <f>IFERROR(VLOOKUP(I408,Materiales!$A:$H,8,0),"")</f>
        <v/>
      </c>
      <c r="K408" s="9">
        <f>IFERROR(VLOOKUP(I408,Materiales!$A:$G,7,0),"")</f>
        <v/>
      </c>
      <c r="L408" s="8" t="inlineStr">
        <is>
          <t>20220516</t>
        </is>
      </c>
      <c r="M408" s="8" t="inlineStr">
        <is>
          <t>20240320</t>
        </is>
      </c>
      <c r="N408" s="10" t="n">
        <v>44.64</v>
      </c>
      <c r="O408" s="10">
        <f>IFERROR(VLOOKUP(A408,Flete!$A:$J,10,0),"")</f>
        <v/>
      </c>
      <c r="P408" s="8" t="inlineStr">
        <is>
          <t>TN</t>
        </is>
      </c>
      <c r="Q408" s="10">
        <f>IFERROR(IFERROR(VLOOKUP(A408,TRAOPE!$A:$U,21,0),VLOOKUP(B408,TRAOPE!$A:$U,21,0)),"")</f>
        <v/>
      </c>
      <c r="R408" s="8">
        <f>IFERROR(IFERROR(VLOOKUP(A408,TRAOPE!$A:$W,23,0),VLOOKUP(B408,TRAOPE!$A:$W,23,0)),"")</f>
        <v/>
      </c>
      <c r="S408" s="10">
        <f>IF(AND(P408="TN",R408="TN"),N408+N(O408),IF(G408&amp;""="1",N(K408)*N408,(N408+N(O408))*N(K408)))</f>
        <v/>
      </c>
      <c r="T408" s="10">
        <f>IF(Q408="","",Q408-S408)</f>
        <v/>
      </c>
    </row>
    <row r="409">
      <c r="A409" s="7">
        <f>CONCATENATE(C409,E409,F409,I409)</f>
        <v/>
      </c>
      <c r="B409" s="7">
        <f>CONCATENATE(C409,E409,I409)</f>
        <v/>
      </c>
      <c r="C409" s="8" t="n">
        <v>900007953</v>
      </c>
      <c r="D409" s="7">
        <f>IFERROR(VLOOKUP(C409,TRAOPE!$G:$H,2,0),"")</f>
        <v/>
      </c>
      <c r="E409" s="8" t="inlineStr">
        <is>
          <t>DW55</t>
        </is>
      </c>
      <c r="F409" s="8" t="inlineStr">
        <is>
          <t>D342</t>
        </is>
      </c>
      <c r="G409" s="8">
        <f>IFERROR(VLOOKUP(A409,Flete!$A:$E,5,0),"")</f>
        <v/>
      </c>
      <c r="H409" s="7">
        <f>IFERROR(VLOOKUP(F409,TRAOPE!$AA:$AB,2,0),"")</f>
        <v/>
      </c>
      <c r="I409" s="7" t="n">
        <v>10217663</v>
      </c>
      <c r="J409" s="7">
        <f>IFERROR(VLOOKUP(I409,Materiales!$A:$H,8,0),"")</f>
        <v/>
      </c>
      <c r="K409" s="9">
        <f>IFERROR(VLOOKUP(I409,Materiales!$A:$G,7,0),"")</f>
        <v/>
      </c>
      <c r="L409" s="8" t="inlineStr">
        <is>
          <t>20220516</t>
        </is>
      </c>
      <c r="M409" s="8" t="inlineStr">
        <is>
          <t>20240320</t>
        </is>
      </c>
      <c r="N409" s="10" t="n">
        <v>44.64</v>
      </c>
      <c r="O409" s="10">
        <f>IFERROR(VLOOKUP(A409,Flete!$A:$J,10,0),"")</f>
        <v/>
      </c>
      <c r="P409" s="8" t="inlineStr">
        <is>
          <t>TN</t>
        </is>
      </c>
      <c r="Q409" s="10">
        <f>IFERROR(IFERROR(VLOOKUP(A409,TRAOPE!$A:$U,21,0),VLOOKUP(B409,TRAOPE!$A:$U,21,0)),"")</f>
        <v/>
      </c>
      <c r="R409" s="8">
        <f>IFERROR(IFERROR(VLOOKUP(A409,TRAOPE!$A:$W,23,0),VLOOKUP(B409,TRAOPE!$A:$W,23,0)),"")</f>
        <v/>
      </c>
      <c r="S409" s="10">
        <f>IF(AND(P409="TN",R409="TN"),N409+N(O409),IF(G409&amp;""="1",N(K409)*N409,(N409+N(O409))*N(K409)))</f>
        <v/>
      </c>
      <c r="T409" s="10">
        <f>IF(Q409="","",Q409-S409)</f>
        <v/>
      </c>
    </row>
    <row r="410">
      <c r="A410" s="7">
        <f>CONCATENATE(C410,E410,F410,I410)</f>
        <v/>
      </c>
      <c r="B410" s="7">
        <f>CONCATENATE(C410,E410,I410)</f>
        <v/>
      </c>
      <c r="C410" s="8" t="n">
        <v>900007953</v>
      </c>
      <c r="D410" s="7">
        <f>IFERROR(VLOOKUP(C410,TRAOPE!$G:$H,2,0),"")</f>
        <v/>
      </c>
      <c r="E410" s="8" t="inlineStr">
        <is>
          <t>DW55</t>
        </is>
      </c>
      <c r="F410" s="8" t="inlineStr">
        <is>
          <t>D348</t>
        </is>
      </c>
      <c r="G410" s="8">
        <f>IFERROR(VLOOKUP(A410,Flete!$A:$E,5,0),"")</f>
        <v/>
      </c>
      <c r="H410" s="7">
        <f>IFERROR(VLOOKUP(F410,TRAOPE!$AA:$AB,2,0),"")</f>
        <v/>
      </c>
      <c r="I410" s="7" t="n">
        <v>10217663</v>
      </c>
      <c r="J410" s="7">
        <f>IFERROR(VLOOKUP(I410,Materiales!$A:$H,8,0),"")</f>
        <v/>
      </c>
      <c r="K410" s="9">
        <f>IFERROR(VLOOKUP(I410,Materiales!$A:$G,7,0),"")</f>
        <v/>
      </c>
      <c r="L410" s="8" t="inlineStr">
        <is>
          <t>20220516</t>
        </is>
      </c>
      <c r="M410" s="8" t="inlineStr">
        <is>
          <t>20240320</t>
        </is>
      </c>
      <c r="N410" s="10" t="n">
        <v>44.64</v>
      </c>
      <c r="O410" s="10">
        <f>IFERROR(VLOOKUP(A410,Flete!$A:$J,10,0),"")</f>
        <v/>
      </c>
      <c r="P410" s="8" t="inlineStr">
        <is>
          <t>TN</t>
        </is>
      </c>
      <c r="Q410" s="10">
        <f>IFERROR(IFERROR(VLOOKUP(A410,TRAOPE!$A:$U,21,0),VLOOKUP(B410,TRAOPE!$A:$U,21,0)),"")</f>
        <v/>
      </c>
      <c r="R410" s="8">
        <f>IFERROR(IFERROR(VLOOKUP(A410,TRAOPE!$A:$W,23,0),VLOOKUP(B410,TRAOPE!$A:$W,23,0)),"")</f>
        <v/>
      </c>
      <c r="S410" s="10">
        <f>IF(AND(P410="TN",R410="TN"),N410+N(O410),IF(G410&amp;""="1",N(K410)*N410,(N410+N(O410))*N(K410)))</f>
        <v/>
      </c>
      <c r="T410" s="10">
        <f>IF(Q410="","",Q410-S410)</f>
        <v/>
      </c>
    </row>
    <row r="411">
      <c r="A411" s="7">
        <f>CONCATENATE(C411,E411,F411,I411)</f>
        <v/>
      </c>
      <c r="B411" s="7">
        <f>CONCATENATE(C411,E411,I411)</f>
        <v/>
      </c>
      <c r="C411" s="8" t="n">
        <v>900008077</v>
      </c>
      <c r="D411" s="7">
        <f>IFERROR(VLOOKUP(C411,TRAOPE!$G:$H,2,0),"")</f>
        <v/>
      </c>
      <c r="E411" s="8" t="inlineStr">
        <is>
          <t>DW55</t>
        </is>
      </c>
      <c r="F411" s="8" t="inlineStr">
        <is>
          <t>D348</t>
        </is>
      </c>
      <c r="G411" s="8">
        <f>IFERROR(VLOOKUP(A411,Flete!$A:$E,5,0),"")</f>
        <v/>
      </c>
      <c r="H411" s="7">
        <f>IFERROR(VLOOKUP(F411,TRAOPE!$AA:$AB,2,0),"")</f>
        <v/>
      </c>
      <c r="I411" s="7" t="n">
        <v>10000372</v>
      </c>
      <c r="J411" s="7">
        <f>IFERROR(VLOOKUP(I411,Materiales!$A:$H,8,0),"")</f>
        <v/>
      </c>
      <c r="K411" s="9">
        <f>IFERROR(VLOOKUP(I411,Materiales!$A:$G,7,0),"")</f>
        <v/>
      </c>
      <c r="L411" s="8" t="inlineStr">
        <is>
          <t>20240122</t>
        </is>
      </c>
      <c r="M411" s="8" t="inlineStr">
        <is>
          <t>20241015</t>
        </is>
      </c>
      <c r="N411" s="10" t="n">
        <v>214.09</v>
      </c>
      <c r="O411" s="10">
        <f>IFERROR(VLOOKUP(A411,Flete!$A:$J,10,0),"")</f>
        <v/>
      </c>
      <c r="P411" s="8" t="inlineStr">
        <is>
          <t>TN</t>
        </is>
      </c>
      <c r="Q411" s="10">
        <f>IFERROR(IFERROR(VLOOKUP(A411,TRAOPE!$A:$U,21,0),VLOOKUP(B411,TRAOPE!$A:$U,21,0)),"")</f>
        <v/>
      </c>
      <c r="R411" s="8">
        <f>IFERROR(IFERROR(VLOOKUP(A411,TRAOPE!$A:$W,23,0),VLOOKUP(B411,TRAOPE!$A:$W,23,0)),"")</f>
        <v/>
      </c>
      <c r="S411" s="10">
        <f>IF(AND(P411="TN",R411="TN"),N411+N(O411),IF(G411&amp;""="1",N(K411)*N411,(N411+N(O411))*N(K411)))</f>
        <v/>
      </c>
      <c r="T411" s="10">
        <f>IF(Q411="","",Q411-S411)</f>
        <v/>
      </c>
    </row>
    <row r="412">
      <c r="A412" s="7">
        <f>CONCATENATE(C412,E412,F412,I412)</f>
        <v/>
      </c>
      <c r="B412" s="7">
        <f>CONCATENATE(C412,E412,I412)</f>
        <v/>
      </c>
      <c r="C412" s="8" t="n">
        <v>900008241</v>
      </c>
      <c r="D412" s="7">
        <f>IFERROR(VLOOKUP(C412,TRAOPE!$G:$H,2,0),"")</f>
        <v/>
      </c>
      <c r="E412" s="8" t="inlineStr">
        <is>
          <t>DW55</t>
        </is>
      </c>
      <c r="F412" s="8" t="inlineStr">
        <is>
          <t>D284</t>
        </is>
      </c>
      <c r="G412" s="8">
        <f>IFERROR(VLOOKUP(A412,Flete!$A:$E,5,0),"")</f>
        <v/>
      </c>
      <c r="H412" s="7">
        <f>IFERROR(VLOOKUP(F412,TRAOPE!$AA:$AB,2,0),"")</f>
        <v/>
      </c>
      <c r="I412" s="7" t="n">
        <v>10217663</v>
      </c>
      <c r="J412" s="7">
        <f>IFERROR(VLOOKUP(I412,Materiales!$A:$H,8,0),"")</f>
        <v/>
      </c>
      <c r="K412" s="9">
        <f>IFERROR(VLOOKUP(I412,Materiales!$A:$G,7,0),"")</f>
        <v/>
      </c>
      <c r="L412" s="8" t="inlineStr">
        <is>
          <t>20220713</t>
        </is>
      </c>
      <c r="M412" s="8" t="inlineStr">
        <is>
          <t>20240726</t>
        </is>
      </c>
      <c r="N412" s="10" t="n">
        <v>41.21</v>
      </c>
      <c r="O412" s="10">
        <f>IFERROR(VLOOKUP(A412,Flete!$A:$J,10,0),"")</f>
        <v/>
      </c>
      <c r="P412" s="8" t="inlineStr">
        <is>
          <t>TN</t>
        </is>
      </c>
      <c r="Q412" s="10">
        <f>IFERROR(IFERROR(VLOOKUP(A412,TRAOPE!$A:$U,21,0),VLOOKUP(B412,TRAOPE!$A:$U,21,0)),"")</f>
        <v/>
      </c>
      <c r="R412" s="8">
        <f>IFERROR(IFERROR(VLOOKUP(A412,TRAOPE!$A:$W,23,0),VLOOKUP(B412,TRAOPE!$A:$W,23,0)),"")</f>
        <v/>
      </c>
      <c r="S412" s="10">
        <f>IF(AND(P412="TN",R412="TN"),N412+N(O412),IF(G412&amp;""="1",N(K412)*N412,(N412+N(O412))*N(K412)))</f>
        <v/>
      </c>
      <c r="T412" s="10">
        <f>IF(Q412="","",Q412-S412)</f>
        <v/>
      </c>
    </row>
    <row r="413">
      <c r="A413" s="7">
        <f>CONCATENATE(C413,E413,F413,I413)</f>
        <v/>
      </c>
      <c r="B413" s="7">
        <f>CONCATENATE(C413,E413,I413)</f>
        <v/>
      </c>
      <c r="C413" s="8" t="n">
        <v>900008330</v>
      </c>
      <c r="D413" s="7">
        <f>IFERROR(VLOOKUP(C413,TRAOPE!$G:$H,2,0),"")</f>
        <v/>
      </c>
      <c r="E413" s="8" t="inlineStr">
        <is>
          <t>DW55</t>
        </is>
      </c>
      <c r="F413" s="8" t="inlineStr">
        <is>
          <t>D284</t>
        </is>
      </c>
      <c r="G413" s="8">
        <f>IFERROR(VLOOKUP(A413,Flete!$A:$E,5,0),"")</f>
        <v/>
      </c>
      <c r="H413" s="7">
        <f>IFERROR(VLOOKUP(F413,TRAOPE!$AA:$AB,2,0),"")</f>
        <v/>
      </c>
      <c r="I413" s="7" t="n">
        <v>10000372</v>
      </c>
      <c r="J413" s="7">
        <f>IFERROR(VLOOKUP(I413,Materiales!$A:$H,8,0),"")</f>
        <v/>
      </c>
      <c r="K413" s="9">
        <f>IFERROR(VLOOKUP(I413,Materiales!$A:$G,7,0),"")</f>
        <v/>
      </c>
      <c r="L413" s="8" t="inlineStr">
        <is>
          <t>20230818</t>
        </is>
      </c>
      <c r="M413" s="8" t="inlineStr">
        <is>
          <t>20240318</t>
        </is>
      </c>
      <c r="N413" s="10" t="n">
        <v>241.71</v>
      </c>
      <c r="O413" s="10">
        <f>IFERROR(VLOOKUP(A413,Flete!$A:$J,10,0),"")</f>
        <v/>
      </c>
      <c r="P413" s="8" t="inlineStr">
        <is>
          <t>TN</t>
        </is>
      </c>
      <c r="Q413" s="10">
        <f>IFERROR(IFERROR(VLOOKUP(A413,TRAOPE!$A:$U,21,0),VLOOKUP(B413,TRAOPE!$A:$U,21,0)),"")</f>
        <v/>
      </c>
      <c r="R413" s="8">
        <f>IFERROR(IFERROR(VLOOKUP(A413,TRAOPE!$A:$W,23,0),VLOOKUP(B413,TRAOPE!$A:$W,23,0)),"")</f>
        <v/>
      </c>
      <c r="S413" s="10">
        <f>IF(AND(P413="TN",R413="TN"),N413+N(O413),IF(G413&amp;""="1",N(K413)*N413,(N413+N(O413))*N(K413)))</f>
        <v/>
      </c>
      <c r="T413" s="10">
        <f>IF(Q413="","",Q413-S413)</f>
        <v/>
      </c>
    </row>
    <row r="414">
      <c r="A414" s="7">
        <f>CONCATENATE(C414,E414,F414,I414)</f>
        <v/>
      </c>
      <c r="B414" s="7">
        <f>CONCATENATE(C414,E414,I414)</f>
        <v/>
      </c>
      <c r="C414" s="8" t="n">
        <v>900008330</v>
      </c>
      <c r="D414" s="7">
        <f>IFERROR(VLOOKUP(C414,TRAOPE!$G:$H,2,0),"")</f>
        <v/>
      </c>
      <c r="E414" s="8" t="inlineStr">
        <is>
          <t>DW55</t>
        </is>
      </c>
      <c r="F414" s="8" t="inlineStr">
        <is>
          <t>D284</t>
        </is>
      </c>
      <c r="G414" s="8">
        <f>IFERROR(VLOOKUP(A414,Flete!$A:$E,5,0),"")</f>
        <v/>
      </c>
      <c r="H414" s="7">
        <f>IFERROR(VLOOKUP(F414,TRAOPE!$AA:$AB,2,0),"")</f>
        <v/>
      </c>
      <c r="I414" s="7" t="n">
        <v>10255395</v>
      </c>
      <c r="J414" s="7">
        <f>IFERROR(VLOOKUP(I414,Materiales!$A:$H,8,0),"")</f>
        <v/>
      </c>
      <c r="K414" s="9">
        <f>IFERROR(VLOOKUP(I414,Materiales!$A:$G,7,0),"")</f>
        <v/>
      </c>
      <c r="L414" s="8" t="inlineStr">
        <is>
          <t>20250428</t>
        </is>
      </c>
      <c r="M414" s="8" t="inlineStr">
        <is>
          <t>20251031</t>
        </is>
      </c>
      <c r="N414" s="10" t="n">
        <v>241.71</v>
      </c>
      <c r="O414" s="10">
        <f>IFERROR(VLOOKUP(A414,Flete!$A:$J,10,0),"")</f>
        <v/>
      </c>
      <c r="P414" s="8" t="inlineStr">
        <is>
          <t>TN</t>
        </is>
      </c>
      <c r="Q414" s="10">
        <f>IFERROR(IFERROR(VLOOKUP(A414,TRAOPE!$A:$U,21,0),VLOOKUP(B414,TRAOPE!$A:$U,21,0)),"")</f>
        <v/>
      </c>
      <c r="R414" s="8">
        <f>IFERROR(IFERROR(VLOOKUP(A414,TRAOPE!$A:$W,23,0),VLOOKUP(B414,TRAOPE!$A:$W,23,0)),"")</f>
        <v/>
      </c>
      <c r="S414" s="10">
        <f>IF(AND(P414="TN",R414="TN"),N414+N(O414),IF(G414&amp;""="1",N(K414)*N414,(N414+N(O414))*N(K414)))</f>
        <v/>
      </c>
      <c r="T414" s="10">
        <f>IF(Q414="","",Q414-S414)</f>
        <v/>
      </c>
    </row>
    <row r="415">
      <c r="A415" s="7">
        <f>CONCATENATE(C415,E415,F415,I415)</f>
        <v/>
      </c>
      <c r="B415" s="7">
        <f>CONCATENATE(C415,E415,I415)</f>
        <v/>
      </c>
      <c r="C415" s="8" t="n">
        <v>900008330</v>
      </c>
      <c r="D415" s="7">
        <f>IFERROR(VLOOKUP(C415,TRAOPE!$G:$H,2,0),"")</f>
        <v/>
      </c>
      <c r="E415" s="8" t="inlineStr">
        <is>
          <t>DW55</t>
        </is>
      </c>
      <c r="F415" s="8" t="inlineStr">
        <is>
          <t>D309</t>
        </is>
      </c>
      <c r="G415" s="8">
        <f>IFERROR(VLOOKUP(A415,Flete!$A:$E,5,0),"")</f>
        <v/>
      </c>
      <c r="H415" s="7">
        <f>IFERROR(VLOOKUP(F415,TRAOPE!$AA:$AB,2,0),"")</f>
        <v/>
      </c>
      <c r="I415" s="7" t="n">
        <v>10000372</v>
      </c>
      <c r="J415" s="7">
        <f>IFERROR(VLOOKUP(I415,Materiales!$A:$H,8,0),"")</f>
        <v/>
      </c>
      <c r="K415" s="9">
        <f>IFERROR(VLOOKUP(I415,Materiales!$A:$G,7,0),"")</f>
        <v/>
      </c>
      <c r="L415" s="8" t="inlineStr">
        <is>
          <t>20230818</t>
        </is>
      </c>
      <c r="M415" s="8" t="inlineStr">
        <is>
          <t>20240318</t>
        </is>
      </c>
      <c r="N415" s="10" t="n">
        <v>241.71</v>
      </c>
      <c r="O415" s="10">
        <f>IFERROR(VLOOKUP(A415,Flete!$A:$J,10,0),"")</f>
        <v/>
      </c>
      <c r="P415" s="8" t="inlineStr">
        <is>
          <t>TN</t>
        </is>
      </c>
      <c r="Q415" s="10">
        <f>IFERROR(IFERROR(VLOOKUP(A415,TRAOPE!$A:$U,21,0),VLOOKUP(B415,TRAOPE!$A:$U,21,0)),"")</f>
        <v/>
      </c>
      <c r="R415" s="8">
        <f>IFERROR(IFERROR(VLOOKUP(A415,TRAOPE!$A:$W,23,0),VLOOKUP(B415,TRAOPE!$A:$W,23,0)),"")</f>
        <v/>
      </c>
      <c r="S415" s="10">
        <f>IF(AND(P415="TN",R415="TN"),N415+N(O415),IF(G415&amp;""="1",N(K415)*N415,(N415+N(O415))*N(K415)))</f>
        <v/>
      </c>
      <c r="T415" s="10">
        <f>IF(Q415="","",Q415-S415)</f>
        <v/>
      </c>
    </row>
    <row r="416">
      <c r="A416" s="7">
        <f>CONCATENATE(C416,E416,F416,I416)</f>
        <v/>
      </c>
      <c r="B416" s="7">
        <f>CONCATENATE(C416,E416,I416)</f>
        <v/>
      </c>
      <c r="C416" s="8" t="n">
        <v>900008330</v>
      </c>
      <c r="D416" s="7">
        <f>IFERROR(VLOOKUP(C416,TRAOPE!$G:$H,2,0),"")</f>
        <v/>
      </c>
      <c r="E416" s="8" t="inlineStr">
        <is>
          <t>DW55</t>
        </is>
      </c>
      <c r="F416" s="8" t="inlineStr">
        <is>
          <t>D309</t>
        </is>
      </c>
      <c r="G416" s="8">
        <f>IFERROR(VLOOKUP(A416,Flete!$A:$E,5,0),"")</f>
        <v/>
      </c>
      <c r="H416" s="7">
        <f>IFERROR(VLOOKUP(F416,TRAOPE!$AA:$AB,2,0),"")</f>
        <v/>
      </c>
      <c r="I416" s="7" t="n">
        <v>10255395</v>
      </c>
      <c r="J416" s="7">
        <f>IFERROR(VLOOKUP(I416,Materiales!$A:$H,8,0),"")</f>
        <v/>
      </c>
      <c r="K416" s="9">
        <f>IFERROR(VLOOKUP(I416,Materiales!$A:$G,7,0),"")</f>
        <v/>
      </c>
      <c r="L416" s="8" t="inlineStr">
        <is>
          <t>20240318</t>
        </is>
      </c>
      <c r="M416" s="8" t="inlineStr">
        <is>
          <t>99991231</t>
        </is>
      </c>
      <c r="N416" s="10" t="n">
        <v>241.71</v>
      </c>
      <c r="O416" s="10">
        <f>IFERROR(VLOOKUP(A416,Flete!$A:$J,10,0),"")</f>
        <v/>
      </c>
      <c r="P416" s="8" t="inlineStr">
        <is>
          <t>TN</t>
        </is>
      </c>
      <c r="Q416" s="10">
        <f>IFERROR(IFERROR(VLOOKUP(A416,TRAOPE!$A:$U,21,0),VLOOKUP(B416,TRAOPE!$A:$U,21,0)),"")</f>
        <v/>
      </c>
      <c r="R416" s="8">
        <f>IFERROR(IFERROR(VLOOKUP(A416,TRAOPE!$A:$W,23,0),VLOOKUP(B416,TRAOPE!$A:$W,23,0)),"")</f>
        <v/>
      </c>
      <c r="S416" s="10">
        <f>IF(AND(P416="TN",R416="TN"),N416+N(O416),IF(G416&amp;""="1",N(K416)*N416,(N416+N(O416))*N(K416)))</f>
        <v/>
      </c>
      <c r="T416" s="10">
        <f>IF(Q416="","",Q416-S416)</f>
        <v/>
      </c>
    </row>
    <row r="417">
      <c r="A417" s="7">
        <f>CONCATENATE(C417,E417,F417,I417)</f>
        <v/>
      </c>
      <c r="B417" s="7">
        <f>CONCATENATE(C417,E417,I417)</f>
        <v/>
      </c>
      <c r="C417" s="8" t="n">
        <v>900008330</v>
      </c>
      <c r="D417" s="7">
        <f>IFERROR(VLOOKUP(C417,TRAOPE!$G:$H,2,0),"")</f>
        <v/>
      </c>
      <c r="E417" s="8" t="inlineStr">
        <is>
          <t>DW55</t>
        </is>
      </c>
      <c r="F417" s="8" t="inlineStr">
        <is>
          <t>D325</t>
        </is>
      </c>
      <c r="G417" s="8">
        <f>IFERROR(VLOOKUP(A417,Flete!$A:$E,5,0),"")</f>
        <v/>
      </c>
      <c r="H417" s="7">
        <f>IFERROR(VLOOKUP(F417,TRAOPE!$AA:$AB,2,0),"")</f>
        <v/>
      </c>
      <c r="I417" s="7" t="n">
        <v>10000372</v>
      </c>
      <c r="J417" s="7">
        <f>IFERROR(VLOOKUP(I417,Materiales!$A:$H,8,0),"")</f>
        <v/>
      </c>
      <c r="K417" s="9">
        <f>IFERROR(VLOOKUP(I417,Materiales!$A:$G,7,0),"")</f>
        <v/>
      </c>
      <c r="L417" s="8" t="inlineStr">
        <is>
          <t>20230818</t>
        </is>
      </c>
      <c r="M417" s="8" t="inlineStr">
        <is>
          <t>20240318</t>
        </is>
      </c>
      <c r="N417" s="10" t="n">
        <v>241.71</v>
      </c>
      <c r="O417" s="10">
        <f>IFERROR(VLOOKUP(A417,Flete!$A:$J,10,0),"")</f>
        <v/>
      </c>
      <c r="P417" s="8" t="inlineStr">
        <is>
          <t>TN</t>
        </is>
      </c>
      <c r="Q417" s="10">
        <f>IFERROR(IFERROR(VLOOKUP(A417,TRAOPE!$A:$U,21,0),VLOOKUP(B417,TRAOPE!$A:$U,21,0)),"")</f>
        <v/>
      </c>
      <c r="R417" s="8">
        <f>IFERROR(IFERROR(VLOOKUP(A417,TRAOPE!$A:$W,23,0),VLOOKUP(B417,TRAOPE!$A:$W,23,0)),"")</f>
        <v/>
      </c>
      <c r="S417" s="10">
        <f>IF(AND(P417="TN",R417="TN"),N417+N(O417),IF(G417&amp;""="1",N(K417)*N417,(N417+N(O417))*N(K417)))</f>
        <v/>
      </c>
      <c r="T417" s="10">
        <f>IF(Q417="","",Q417-S417)</f>
        <v/>
      </c>
    </row>
    <row r="418">
      <c r="A418" s="7">
        <f>CONCATENATE(C418,E418,F418,I418)</f>
        <v/>
      </c>
      <c r="B418" s="7">
        <f>CONCATENATE(C418,E418,I418)</f>
        <v/>
      </c>
      <c r="C418" s="8" t="n">
        <v>900008330</v>
      </c>
      <c r="D418" s="7">
        <f>IFERROR(VLOOKUP(C418,TRAOPE!$G:$H,2,0),"")</f>
        <v/>
      </c>
      <c r="E418" s="8" t="inlineStr">
        <is>
          <t>DW55</t>
        </is>
      </c>
      <c r="F418" s="8" t="inlineStr">
        <is>
          <t>D325</t>
        </is>
      </c>
      <c r="G418" s="8">
        <f>IFERROR(VLOOKUP(A418,Flete!$A:$E,5,0),"")</f>
        <v/>
      </c>
      <c r="H418" s="7">
        <f>IFERROR(VLOOKUP(F418,TRAOPE!$AA:$AB,2,0),"")</f>
        <v/>
      </c>
      <c r="I418" s="7" t="n">
        <v>10255395</v>
      </c>
      <c r="J418" s="7">
        <f>IFERROR(VLOOKUP(I418,Materiales!$A:$H,8,0),"")</f>
        <v/>
      </c>
      <c r="K418" s="9">
        <f>IFERROR(VLOOKUP(I418,Materiales!$A:$G,7,0),"")</f>
        <v/>
      </c>
      <c r="L418" s="8" t="inlineStr">
        <is>
          <t>20250428</t>
        </is>
      </c>
      <c r="M418" s="8" t="inlineStr">
        <is>
          <t>20251031</t>
        </is>
      </c>
      <c r="N418" s="10" t="n">
        <v>241.71</v>
      </c>
      <c r="O418" s="10">
        <f>IFERROR(VLOOKUP(A418,Flete!$A:$J,10,0),"")</f>
        <v/>
      </c>
      <c r="P418" s="8" t="inlineStr">
        <is>
          <t>TN</t>
        </is>
      </c>
      <c r="Q418" s="10">
        <f>IFERROR(IFERROR(VLOOKUP(A418,TRAOPE!$A:$U,21,0),VLOOKUP(B418,TRAOPE!$A:$U,21,0)),"")</f>
        <v/>
      </c>
      <c r="R418" s="8">
        <f>IFERROR(IFERROR(VLOOKUP(A418,TRAOPE!$A:$W,23,0),VLOOKUP(B418,TRAOPE!$A:$W,23,0)),"")</f>
        <v/>
      </c>
      <c r="S418" s="10">
        <f>IF(AND(P418="TN",R418="TN"),N418+N(O418),IF(G418&amp;""="1",N(K418)*N418,(N418+N(O418))*N(K418)))</f>
        <v/>
      </c>
      <c r="T418" s="10">
        <f>IF(Q418="","",Q418-S418)</f>
        <v/>
      </c>
    </row>
    <row r="419">
      <c r="A419" s="7">
        <f>CONCATENATE(C419,E419,F419,I419)</f>
        <v/>
      </c>
      <c r="B419" s="7">
        <f>CONCATENATE(C419,E419,I419)</f>
        <v/>
      </c>
      <c r="C419" s="8" t="n">
        <v>900008330</v>
      </c>
      <c r="D419" s="7">
        <f>IFERROR(VLOOKUP(C419,TRAOPE!$G:$H,2,0),"")</f>
        <v/>
      </c>
      <c r="E419" s="8" t="inlineStr">
        <is>
          <t>DW55</t>
        </is>
      </c>
      <c r="F419" s="8" t="inlineStr">
        <is>
          <t>D342</t>
        </is>
      </c>
      <c r="G419" s="8">
        <f>IFERROR(VLOOKUP(A419,Flete!$A:$E,5,0),"")</f>
        <v/>
      </c>
      <c r="H419" s="7">
        <f>IFERROR(VLOOKUP(F419,TRAOPE!$AA:$AB,2,0),"")</f>
        <v/>
      </c>
      <c r="I419" s="7" t="n">
        <v>10000372</v>
      </c>
      <c r="J419" s="7">
        <f>IFERROR(VLOOKUP(I419,Materiales!$A:$H,8,0),"")</f>
        <v/>
      </c>
      <c r="K419" s="9">
        <f>IFERROR(VLOOKUP(I419,Materiales!$A:$G,7,0),"")</f>
        <v/>
      </c>
      <c r="L419" s="8" t="inlineStr">
        <is>
          <t>20230818</t>
        </is>
      </c>
      <c r="M419" s="8" t="inlineStr">
        <is>
          <t>20240318</t>
        </is>
      </c>
      <c r="N419" s="10" t="n">
        <v>241.71</v>
      </c>
      <c r="O419" s="10">
        <f>IFERROR(VLOOKUP(A419,Flete!$A:$J,10,0),"")</f>
        <v/>
      </c>
      <c r="P419" s="8" t="inlineStr">
        <is>
          <t>TN</t>
        </is>
      </c>
      <c r="Q419" s="10">
        <f>IFERROR(IFERROR(VLOOKUP(A419,TRAOPE!$A:$U,21,0),VLOOKUP(B419,TRAOPE!$A:$U,21,0)),"")</f>
        <v/>
      </c>
      <c r="R419" s="8">
        <f>IFERROR(IFERROR(VLOOKUP(A419,TRAOPE!$A:$W,23,0),VLOOKUP(B419,TRAOPE!$A:$W,23,0)),"")</f>
        <v/>
      </c>
      <c r="S419" s="10">
        <f>IF(AND(P419="TN",R419="TN"),N419+N(O419),IF(G419&amp;""="1",N(K419)*N419,(N419+N(O419))*N(K419)))</f>
        <v/>
      </c>
      <c r="T419" s="10">
        <f>IF(Q419="","",Q419-S419)</f>
        <v/>
      </c>
    </row>
    <row r="420">
      <c r="A420" s="7">
        <f>CONCATENATE(C420,E420,F420,I420)</f>
        <v/>
      </c>
      <c r="B420" s="7">
        <f>CONCATENATE(C420,E420,I420)</f>
        <v/>
      </c>
      <c r="C420" s="8" t="n">
        <v>900008330</v>
      </c>
      <c r="D420" s="7">
        <f>IFERROR(VLOOKUP(C420,TRAOPE!$G:$H,2,0),"")</f>
        <v/>
      </c>
      <c r="E420" s="8" t="inlineStr">
        <is>
          <t>DW55</t>
        </is>
      </c>
      <c r="F420" s="8" t="inlineStr">
        <is>
          <t>D342</t>
        </is>
      </c>
      <c r="G420" s="8">
        <f>IFERROR(VLOOKUP(A420,Flete!$A:$E,5,0),"")</f>
        <v/>
      </c>
      <c r="H420" s="7">
        <f>IFERROR(VLOOKUP(F420,TRAOPE!$AA:$AB,2,0),"")</f>
        <v/>
      </c>
      <c r="I420" s="7" t="n">
        <v>10255395</v>
      </c>
      <c r="J420" s="7">
        <f>IFERROR(VLOOKUP(I420,Materiales!$A:$H,8,0),"")</f>
        <v/>
      </c>
      <c r="K420" s="9">
        <f>IFERROR(VLOOKUP(I420,Materiales!$A:$G,7,0),"")</f>
        <v/>
      </c>
      <c r="L420" s="8" t="inlineStr">
        <is>
          <t>20250428</t>
        </is>
      </c>
      <c r="M420" s="8" t="inlineStr">
        <is>
          <t>20251031</t>
        </is>
      </c>
      <c r="N420" s="10" t="n">
        <v>241.71</v>
      </c>
      <c r="O420" s="10">
        <f>IFERROR(VLOOKUP(A420,Flete!$A:$J,10,0),"")</f>
        <v/>
      </c>
      <c r="P420" s="8" t="inlineStr">
        <is>
          <t>TN</t>
        </is>
      </c>
      <c r="Q420" s="10">
        <f>IFERROR(IFERROR(VLOOKUP(A420,TRAOPE!$A:$U,21,0),VLOOKUP(B420,TRAOPE!$A:$U,21,0)),"")</f>
        <v/>
      </c>
      <c r="R420" s="8">
        <f>IFERROR(IFERROR(VLOOKUP(A420,TRAOPE!$A:$W,23,0),VLOOKUP(B420,TRAOPE!$A:$W,23,0)),"")</f>
        <v/>
      </c>
      <c r="S420" s="10">
        <f>IF(AND(P420="TN",R420="TN"),N420+N(O420),IF(G420&amp;""="1",N(K420)*N420,(N420+N(O420))*N(K420)))</f>
        <v/>
      </c>
      <c r="T420" s="10">
        <f>IF(Q420="","",Q420-S420)</f>
        <v/>
      </c>
    </row>
    <row r="421">
      <c r="A421" s="7">
        <f>CONCATENATE(C421,E421,F421,I421)</f>
        <v/>
      </c>
      <c r="B421" s="7">
        <f>CONCATENATE(C421,E421,I421)</f>
        <v/>
      </c>
      <c r="C421" s="8" t="n">
        <v>900008330</v>
      </c>
      <c r="D421" s="7">
        <f>IFERROR(VLOOKUP(C421,TRAOPE!$G:$H,2,0),"")</f>
        <v/>
      </c>
      <c r="E421" s="8" t="inlineStr">
        <is>
          <t>DW55</t>
        </is>
      </c>
      <c r="F421" s="8" t="inlineStr">
        <is>
          <t>D348</t>
        </is>
      </c>
      <c r="G421" s="8">
        <f>IFERROR(VLOOKUP(A421,Flete!$A:$E,5,0),"")</f>
        <v/>
      </c>
      <c r="H421" s="7">
        <f>IFERROR(VLOOKUP(F421,TRAOPE!$AA:$AB,2,0),"")</f>
        <v/>
      </c>
      <c r="I421" s="7" t="n">
        <v>10000372</v>
      </c>
      <c r="J421" s="7">
        <f>IFERROR(VLOOKUP(I421,Materiales!$A:$H,8,0),"")</f>
        <v/>
      </c>
      <c r="K421" s="9">
        <f>IFERROR(VLOOKUP(I421,Materiales!$A:$G,7,0),"")</f>
        <v/>
      </c>
      <c r="L421" s="8" t="inlineStr">
        <is>
          <t>20230818</t>
        </is>
      </c>
      <c r="M421" s="8" t="inlineStr">
        <is>
          <t>20240318</t>
        </is>
      </c>
      <c r="N421" s="10" t="n">
        <v>241.71</v>
      </c>
      <c r="O421" s="10">
        <f>IFERROR(VLOOKUP(A421,Flete!$A:$J,10,0),"")</f>
        <v/>
      </c>
      <c r="P421" s="8" t="inlineStr">
        <is>
          <t>TN</t>
        </is>
      </c>
      <c r="Q421" s="10">
        <f>IFERROR(IFERROR(VLOOKUP(A421,TRAOPE!$A:$U,21,0),VLOOKUP(B421,TRAOPE!$A:$U,21,0)),"")</f>
        <v/>
      </c>
      <c r="R421" s="8">
        <f>IFERROR(IFERROR(VLOOKUP(A421,TRAOPE!$A:$W,23,0),VLOOKUP(B421,TRAOPE!$A:$W,23,0)),"")</f>
        <v/>
      </c>
      <c r="S421" s="10">
        <f>IF(AND(P421="TN",R421="TN"),N421+N(O421),IF(G421&amp;""="1",N(K421)*N421,(N421+N(O421))*N(K421)))</f>
        <v/>
      </c>
      <c r="T421" s="10">
        <f>IF(Q421="","",Q421-S421)</f>
        <v/>
      </c>
    </row>
    <row r="422">
      <c r="A422" s="7">
        <f>CONCATENATE(C422,E422,F422,I422)</f>
        <v/>
      </c>
      <c r="B422" s="7">
        <f>CONCATENATE(C422,E422,I422)</f>
        <v/>
      </c>
      <c r="C422" s="8" t="n">
        <v>900008330</v>
      </c>
      <c r="D422" s="7">
        <f>IFERROR(VLOOKUP(C422,TRAOPE!$G:$H,2,0),"")</f>
        <v/>
      </c>
      <c r="E422" s="8" t="inlineStr">
        <is>
          <t>DW55</t>
        </is>
      </c>
      <c r="F422" s="8" t="inlineStr">
        <is>
          <t>D348</t>
        </is>
      </c>
      <c r="G422" s="8">
        <f>IFERROR(VLOOKUP(A422,Flete!$A:$E,5,0),"")</f>
        <v/>
      </c>
      <c r="H422" s="7">
        <f>IFERROR(VLOOKUP(F422,TRAOPE!$AA:$AB,2,0),"")</f>
        <v/>
      </c>
      <c r="I422" s="7" t="n">
        <v>10255395</v>
      </c>
      <c r="J422" s="7">
        <f>IFERROR(VLOOKUP(I422,Materiales!$A:$H,8,0),"")</f>
        <v/>
      </c>
      <c r="K422" s="9">
        <f>IFERROR(VLOOKUP(I422,Materiales!$A:$G,7,0),"")</f>
        <v/>
      </c>
      <c r="L422" s="8" t="inlineStr">
        <is>
          <t>20250428</t>
        </is>
      </c>
      <c r="M422" s="8" t="inlineStr">
        <is>
          <t>20251031</t>
        </is>
      </c>
      <c r="N422" s="10" t="n">
        <v>241.71</v>
      </c>
      <c r="O422" s="10">
        <f>IFERROR(VLOOKUP(A422,Flete!$A:$J,10,0),"")</f>
        <v/>
      </c>
      <c r="P422" s="8" t="inlineStr">
        <is>
          <t>TN</t>
        </is>
      </c>
      <c r="Q422" s="10">
        <f>IFERROR(IFERROR(VLOOKUP(A422,TRAOPE!$A:$U,21,0),VLOOKUP(B422,TRAOPE!$A:$U,21,0)),"")</f>
        <v/>
      </c>
      <c r="R422" s="8">
        <f>IFERROR(IFERROR(VLOOKUP(A422,TRAOPE!$A:$W,23,0),VLOOKUP(B422,TRAOPE!$A:$W,23,0)),"")</f>
        <v/>
      </c>
      <c r="S422" s="10">
        <f>IF(AND(P422="TN",R422="TN"),N422+N(O422),IF(G422&amp;""="1",N(K422)*N422,(N422+N(O422))*N(K422)))</f>
        <v/>
      </c>
      <c r="T422" s="10">
        <f>IF(Q422="","",Q422-S422)</f>
        <v/>
      </c>
    </row>
    <row r="423">
      <c r="A423" s="7">
        <f>CONCATENATE(C423,E423,F423,I423)</f>
        <v/>
      </c>
      <c r="B423" s="7">
        <f>CONCATENATE(C423,E423,I423)</f>
        <v/>
      </c>
      <c r="C423" s="8" t="n">
        <v>900008331</v>
      </c>
      <c r="D423" s="7">
        <f>IFERROR(VLOOKUP(C423,TRAOPE!$G:$H,2,0),"")</f>
        <v/>
      </c>
      <c r="E423" s="8" t="inlineStr">
        <is>
          <t>DW55</t>
        </is>
      </c>
      <c r="F423" s="8" t="inlineStr">
        <is>
          <t>D302</t>
        </is>
      </c>
      <c r="G423" s="8">
        <f>IFERROR(VLOOKUP(A423,Flete!$A:$E,5,0),"")</f>
        <v/>
      </c>
      <c r="H423" s="7">
        <f>IFERROR(VLOOKUP(F423,TRAOPE!$AA:$AB,2,0),"")</f>
        <v/>
      </c>
      <c r="I423" s="7" t="n">
        <v>10000541</v>
      </c>
      <c r="J423" s="7">
        <f>IFERROR(VLOOKUP(I423,Materiales!$A:$H,8,0),"")</f>
        <v/>
      </c>
      <c r="K423" s="9">
        <f>IFERROR(VLOOKUP(I423,Materiales!$A:$G,7,0),"")</f>
        <v/>
      </c>
      <c r="L423" s="8" t="inlineStr">
        <is>
          <t>20240318</t>
        </is>
      </c>
      <c r="M423" s="8" t="inlineStr">
        <is>
          <t>20240409</t>
        </is>
      </c>
      <c r="N423" s="10" t="n">
        <v>229.06</v>
      </c>
      <c r="O423" s="10">
        <f>IFERROR(VLOOKUP(A423,Flete!$A:$J,10,0),"")</f>
        <v/>
      </c>
      <c r="P423" s="8" t="inlineStr">
        <is>
          <t>TN</t>
        </is>
      </c>
      <c r="Q423" s="10">
        <f>IFERROR(IFERROR(VLOOKUP(A423,TRAOPE!$A:$U,21,0),VLOOKUP(B423,TRAOPE!$A:$U,21,0)),"")</f>
        <v/>
      </c>
      <c r="R423" s="8">
        <f>IFERROR(IFERROR(VLOOKUP(A423,TRAOPE!$A:$W,23,0),VLOOKUP(B423,TRAOPE!$A:$W,23,0)),"")</f>
        <v/>
      </c>
      <c r="S423" s="10">
        <f>IF(AND(P423="TN",R423="TN"),N423+N(O423),IF(G423&amp;""="1",N(K423)*N423,(N423+N(O423))*N(K423)))</f>
        <v/>
      </c>
      <c r="T423" s="10">
        <f>IF(Q423="","",Q423-S423)</f>
        <v/>
      </c>
    </row>
    <row r="424">
      <c r="A424" s="7">
        <f>CONCATENATE(C424,E424,F424,I424)</f>
        <v/>
      </c>
      <c r="B424" s="7">
        <f>CONCATENATE(C424,E424,I424)</f>
        <v/>
      </c>
      <c r="C424" s="8" t="n">
        <v>900008935</v>
      </c>
      <c r="D424" s="7">
        <f>IFERROR(VLOOKUP(C424,TRAOPE!$G:$H,2,0),"")</f>
        <v/>
      </c>
      <c r="E424" s="8" t="inlineStr">
        <is>
          <t>DW55</t>
        </is>
      </c>
      <c r="F424" s="8" t="inlineStr">
        <is>
          <t>D284</t>
        </is>
      </c>
      <c r="G424" s="8">
        <f>IFERROR(VLOOKUP(A424,Flete!$A:$E,5,0),"")</f>
        <v/>
      </c>
      <c r="H424" s="7">
        <f>IFERROR(VLOOKUP(F424,TRAOPE!$AA:$AB,2,0),"")</f>
        <v/>
      </c>
      <c r="I424" s="7" t="n">
        <v>10217663</v>
      </c>
      <c r="J424" s="7">
        <f>IFERROR(VLOOKUP(I424,Materiales!$A:$H,8,0),"")</f>
        <v/>
      </c>
      <c r="K424" s="9">
        <f>IFERROR(VLOOKUP(I424,Materiales!$A:$G,7,0),"")</f>
        <v/>
      </c>
      <c r="L424" s="8" t="inlineStr">
        <is>
          <t>20240821</t>
        </is>
      </c>
      <c r="M424" s="8" t="inlineStr">
        <is>
          <t>99991231</t>
        </is>
      </c>
      <c r="N424" s="10" t="n">
        <v>46.7</v>
      </c>
      <c r="O424" s="10">
        <f>IFERROR(VLOOKUP(A424,Flete!$A:$J,10,0),"")</f>
        <v/>
      </c>
      <c r="P424" s="8" t="inlineStr">
        <is>
          <t>TN</t>
        </is>
      </c>
      <c r="Q424" s="10">
        <f>IFERROR(IFERROR(VLOOKUP(A424,TRAOPE!$A:$U,21,0),VLOOKUP(B424,TRAOPE!$A:$U,21,0)),"")</f>
        <v/>
      </c>
      <c r="R424" s="8">
        <f>IFERROR(IFERROR(VLOOKUP(A424,TRAOPE!$A:$W,23,0),VLOOKUP(B424,TRAOPE!$A:$W,23,0)),"")</f>
        <v/>
      </c>
      <c r="S424" s="10">
        <f>IF(AND(P424="TN",R424="TN"),N424+N(O424),IF(G424&amp;""="1",N(K424)*N424,(N424+N(O424))*N(K424)))</f>
        <v/>
      </c>
      <c r="T424" s="10">
        <f>IF(Q424="","",Q424-S424)</f>
        <v/>
      </c>
    </row>
    <row r="425">
      <c r="A425" s="7">
        <f>CONCATENATE(C425,E425,F425,I425)</f>
        <v/>
      </c>
      <c r="B425" s="7">
        <f>CONCATENATE(C425,E425,I425)</f>
        <v/>
      </c>
      <c r="C425" s="8" t="n">
        <v>900008935</v>
      </c>
      <c r="D425" s="7">
        <f>IFERROR(VLOOKUP(C425,TRAOPE!$G:$H,2,0),"")</f>
        <v/>
      </c>
      <c r="E425" s="8" t="inlineStr">
        <is>
          <t>DW55</t>
        </is>
      </c>
      <c r="F425" s="8" t="inlineStr">
        <is>
          <t>D309</t>
        </is>
      </c>
      <c r="G425" s="8">
        <f>IFERROR(VLOOKUP(A425,Flete!$A:$E,5,0),"")</f>
        <v/>
      </c>
      <c r="H425" s="7">
        <f>IFERROR(VLOOKUP(F425,TRAOPE!$AA:$AB,2,0),"")</f>
        <v/>
      </c>
      <c r="I425" s="7" t="n">
        <v>10217663</v>
      </c>
      <c r="J425" s="7">
        <f>IFERROR(VLOOKUP(I425,Materiales!$A:$H,8,0),"")</f>
        <v/>
      </c>
      <c r="K425" s="9">
        <f>IFERROR(VLOOKUP(I425,Materiales!$A:$G,7,0),"")</f>
        <v/>
      </c>
      <c r="L425" s="8" t="inlineStr">
        <is>
          <t>20240821</t>
        </is>
      </c>
      <c r="M425" s="8" t="inlineStr">
        <is>
          <t>99991231</t>
        </is>
      </c>
      <c r="N425" s="10" t="n">
        <v>46.7</v>
      </c>
      <c r="O425" s="10">
        <f>IFERROR(VLOOKUP(A425,Flete!$A:$J,10,0),"")</f>
        <v/>
      </c>
      <c r="P425" s="8" t="inlineStr">
        <is>
          <t>TN</t>
        </is>
      </c>
      <c r="Q425" s="10">
        <f>IFERROR(IFERROR(VLOOKUP(A425,TRAOPE!$A:$U,21,0),VLOOKUP(B425,TRAOPE!$A:$U,21,0)),"")</f>
        <v/>
      </c>
      <c r="R425" s="8">
        <f>IFERROR(IFERROR(VLOOKUP(A425,TRAOPE!$A:$W,23,0),VLOOKUP(B425,TRAOPE!$A:$W,23,0)),"")</f>
        <v/>
      </c>
      <c r="S425" s="10">
        <f>IF(AND(P425="TN",R425="TN"),N425+N(O425),IF(G425&amp;""="1",N(K425)*N425,(N425+N(O425))*N(K425)))</f>
        <v/>
      </c>
      <c r="T425" s="10">
        <f>IF(Q425="","",Q425-S425)</f>
        <v/>
      </c>
    </row>
    <row r="426">
      <c r="A426" s="7">
        <f>CONCATENATE(C426,E426,F426,I426)</f>
        <v/>
      </c>
      <c r="B426" s="7">
        <f>CONCATENATE(C426,E426,I426)</f>
        <v/>
      </c>
      <c r="C426" s="8" t="n">
        <v>900008935</v>
      </c>
      <c r="D426" s="7">
        <f>IFERROR(VLOOKUP(C426,TRAOPE!$G:$H,2,0),"")</f>
        <v/>
      </c>
      <c r="E426" s="8" t="inlineStr">
        <is>
          <t>DW55</t>
        </is>
      </c>
      <c r="F426" s="8" t="inlineStr">
        <is>
          <t>D325</t>
        </is>
      </c>
      <c r="G426" s="8">
        <f>IFERROR(VLOOKUP(A426,Flete!$A:$E,5,0),"")</f>
        <v/>
      </c>
      <c r="H426" s="7">
        <f>IFERROR(VLOOKUP(F426,TRAOPE!$AA:$AB,2,0),"")</f>
        <v/>
      </c>
      <c r="I426" s="7" t="n">
        <v>10217663</v>
      </c>
      <c r="J426" s="7">
        <f>IFERROR(VLOOKUP(I426,Materiales!$A:$H,8,0),"")</f>
        <v/>
      </c>
      <c r="K426" s="9">
        <f>IFERROR(VLOOKUP(I426,Materiales!$A:$G,7,0),"")</f>
        <v/>
      </c>
      <c r="L426" s="8" t="inlineStr">
        <is>
          <t>20240821</t>
        </is>
      </c>
      <c r="M426" s="8" t="inlineStr">
        <is>
          <t>99991231</t>
        </is>
      </c>
      <c r="N426" s="10" t="n">
        <v>46.7</v>
      </c>
      <c r="O426" s="10">
        <f>IFERROR(VLOOKUP(A426,Flete!$A:$J,10,0),"")</f>
        <v/>
      </c>
      <c r="P426" s="8" t="inlineStr">
        <is>
          <t>TN</t>
        </is>
      </c>
      <c r="Q426" s="10">
        <f>IFERROR(IFERROR(VLOOKUP(A426,TRAOPE!$A:$U,21,0),VLOOKUP(B426,TRAOPE!$A:$U,21,0)),"")</f>
        <v/>
      </c>
      <c r="R426" s="8">
        <f>IFERROR(IFERROR(VLOOKUP(A426,TRAOPE!$A:$W,23,0),VLOOKUP(B426,TRAOPE!$A:$W,23,0)),"")</f>
        <v/>
      </c>
      <c r="S426" s="10">
        <f>IF(AND(P426="TN",R426="TN"),N426+N(O426),IF(G426&amp;""="1",N(K426)*N426,(N426+N(O426))*N(K426)))</f>
        <v/>
      </c>
      <c r="T426" s="10">
        <f>IF(Q426="","",Q426-S426)</f>
        <v/>
      </c>
    </row>
    <row r="427">
      <c r="A427" s="7">
        <f>CONCATENATE(C427,E427,F427,I427)</f>
        <v/>
      </c>
      <c r="B427" s="7">
        <f>CONCATENATE(C427,E427,I427)</f>
        <v/>
      </c>
      <c r="C427" s="8" t="n">
        <v>900008935</v>
      </c>
      <c r="D427" s="7">
        <f>IFERROR(VLOOKUP(C427,TRAOPE!$G:$H,2,0),"")</f>
        <v/>
      </c>
      <c r="E427" s="8" t="inlineStr">
        <is>
          <t>DW55</t>
        </is>
      </c>
      <c r="F427" s="8" t="inlineStr">
        <is>
          <t>D342</t>
        </is>
      </c>
      <c r="G427" s="8">
        <f>IFERROR(VLOOKUP(A427,Flete!$A:$E,5,0),"")</f>
        <v/>
      </c>
      <c r="H427" s="7">
        <f>IFERROR(VLOOKUP(F427,TRAOPE!$AA:$AB,2,0),"")</f>
        <v/>
      </c>
      <c r="I427" s="7" t="n">
        <v>10217663</v>
      </c>
      <c r="J427" s="7">
        <f>IFERROR(VLOOKUP(I427,Materiales!$A:$H,8,0),"")</f>
        <v/>
      </c>
      <c r="K427" s="9">
        <f>IFERROR(VLOOKUP(I427,Materiales!$A:$G,7,0),"")</f>
        <v/>
      </c>
      <c r="L427" s="8" t="inlineStr">
        <is>
          <t>20240821</t>
        </is>
      </c>
      <c r="M427" s="8" t="inlineStr">
        <is>
          <t>99991231</t>
        </is>
      </c>
      <c r="N427" s="10" t="n">
        <v>46.7</v>
      </c>
      <c r="O427" s="10">
        <f>IFERROR(VLOOKUP(A427,Flete!$A:$J,10,0),"")</f>
        <v/>
      </c>
      <c r="P427" s="8" t="inlineStr">
        <is>
          <t>TN</t>
        </is>
      </c>
      <c r="Q427" s="10">
        <f>IFERROR(IFERROR(VLOOKUP(A427,TRAOPE!$A:$U,21,0),VLOOKUP(B427,TRAOPE!$A:$U,21,0)),"")</f>
        <v/>
      </c>
      <c r="R427" s="8">
        <f>IFERROR(IFERROR(VLOOKUP(A427,TRAOPE!$A:$W,23,0),VLOOKUP(B427,TRAOPE!$A:$W,23,0)),"")</f>
        <v/>
      </c>
      <c r="S427" s="10">
        <f>IF(AND(P427="TN",R427="TN"),N427+N(O427),IF(G427&amp;""="1",N(K427)*N427,(N427+N(O427))*N(K427)))</f>
        <v/>
      </c>
      <c r="T427" s="10">
        <f>IF(Q427="","",Q427-S427)</f>
        <v/>
      </c>
    </row>
    <row r="428">
      <c r="A428" s="7">
        <f>CONCATENATE(C428,E428,F428,I428)</f>
        <v/>
      </c>
      <c r="B428" s="7">
        <f>CONCATENATE(C428,E428,I428)</f>
        <v/>
      </c>
      <c r="C428" s="8" t="n">
        <v>900008935</v>
      </c>
      <c r="D428" s="7">
        <f>IFERROR(VLOOKUP(C428,TRAOPE!$G:$H,2,0),"")</f>
        <v/>
      </c>
      <c r="E428" s="8" t="inlineStr">
        <is>
          <t>DW55</t>
        </is>
      </c>
      <c r="F428" s="8" t="inlineStr">
        <is>
          <t>D348</t>
        </is>
      </c>
      <c r="G428" s="8">
        <f>IFERROR(VLOOKUP(A428,Flete!$A:$E,5,0),"")</f>
        <v/>
      </c>
      <c r="H428" s="7">
        <f>IFERROR(VLOOKUP(F428,TRAOPE!$AA:$AB,2,0),"")</f>
        <v/>
      </c>
      <c r="I428" s="7" t="n">
        <v>10217663</v>
      </c>
      <c r="J428" s="7">
        <f>IFERROR(VLOOKUP(I428,Materiales!$A:$H,8,0),"")</f>
        <v/>
      </c>
      <c r="K428" s="9">
        <f>IFERROR(VLOOKUP(I428,Materiales!$A:$G,7,0),"")</f>
        <v/>
      </c>
      <c r="L428" s="8" t="inlineStr">
        <is>
          <t>20240821</t>
        </is>
      </c>
      <c r="M428" s="8" t="inlineStr">
        <is>
          <t>99991231</t>
        </is>
      </c>
      <c r="N428" s="10" t="n">
        <v>46.7</v>
      </c>
      <c r="O428" s="10">
        <f>IFERROR(VLOOKUP(A428,Flete!$A:$J,10,0),"")</f>
        <v/>
      </c>
      <c r="P428" s="8" t="inlineStr">
        <is>
          <t>TN</t>
        </is>
      </c>
      <c r="Q428" s="10">
        <f>IFERROR(IFERROR(VLOOKUP(A428,TRAOPE!$A:$U,21,0),VLOOKUP(B428,TRAOPE!$A:$U,21,0)),"")</f>
        <v/>
      </c>
      <c r="R428" s="8">
        <f>IFERROR(IFERROR(VLOOKUP(A428,TRAOPE!$A:$W,23,0),VLOOKUP(B428,TRAOPE!$A:$W,23,0)),"")</f>
        <v/>
      </c>
      <c r="S428" s="10">
        <f>IF(AND(P428="TN",R428="TN"),N428+N(O428),IF(G428&amp;""="1",N(K428)*N428,(N428+N(O428))*N(K428)))</f>
        <v/>
      </c>
      <c r="T428" s="10">
        <f>IF(Q428="","",Q428-S428)</f>
        <v/>
      </c>
    </row>
    <row r="429">
      <c r="A429" s="7">
        <f>CONCATENATE(C429,E429,F429,I429)</f>
        <v/>
      </c>
      <c r="B429" s="7">
        <f>CONCATENATE(C429,E429,I429)</f>
        <v/>
      </c>
      <c r="C429" s="8" t="n">
        <v>900008972</v>
      </c>
      <c r="D429" s="7">
        <f>IFERROR(VLOOKUP(C429,TRAOPE!$G:$H,2,0),"")</f>
        <v/>
      </c>
      <c r="E429" s="8" t="inlineStr">
        <is>
          <t>DW55</t>
        </is>
      </c>
      <c r="F429" s="8" t="inlineStr">
        <is>
          <t>D284</t>
        </is>
      </c>
      <c r="G429" s="8">
        <f>IFERROR(VLOOKUP(A429,Flete!$A:$E,5,0),"")</f>
        <v/>
      </c>
      <c r="H429" s="7">
        <f>IFERROR(VLOOKUP(F429,TRAOPE!$AA:$AB,2,0),"")</f>
        <v/>
      </c>
      <c r="I429" s="7" t="n">
        <v>10000541</v>
      </c>
      <c r="J429" s="7">
        <f>IFERROR(VLOOKUP(I429,Materiales!$A:$H,8,0),"")</f>
        <v/>
      </c>
      <c r="K429" s="9">
        <f>IFERROR(VLOOKUP(I429,Materiales!$A:$G,7,0),"")</f>
        <v/>
      </c>
      <c r="L429" s="8" t="inlineStr">
        <is>
          <t>20241030</t>
        </is>
      </c>
      <c r="M429" s="8" t="inlineStr">
        <is>
          <t>99991231</t>
        </is>
      </c>
      <c r="N429" s="10" t="n">
        <v>189.79</v>
      </c>
      <c r="O429" s="10">
        <f>IFERROR(VLOOKUP(A429,Flete!$A:$J,10,0),"")</f>
        <v/>
      </c>
      <c r="P429" s="8" t="inlineStr">
        <is>
          <t>TN</t>
        </is>
      </c>
      <c r="Q429" s="10">
        <f>IFERROR(IFERROR(VLOOKUP(A429,TRAOPE!$A:$U,21,0),VLOOKUP(B429,TRAOPE!$A:$U,21,0)),"")</f>
        <v/>
      </c>
      <c r="R429" s="8">
        <f>IFERROR(IFERROR(VLOOKUP(A429,TRAOPE!$A:$W,23,0),VLOOKUP(B429,TRAOPE!$A:$W,23,0)),"")</f>
        <v/>
      </c>
      <c r="S429" s="10">
        <f>IF(AND(P429="TN",R429="TN"),N429+N(O429),IF(G429&amp;""="1",N(K429)*N429,(N429+N(O429))*N(K429)))</f>
        <v/>
      </c>
      <c r="T429" s="10">
        <f>IF(Q429="","",Q429-S429)</f>
        <v/>
      </c>
    </row>
    <row r="430">
      <c r="A430" s="7">
        <f>CONCATENATE(C430,E430,F430,I430)</f>
        <v/>
      </c>
      <c r="B430" s="7">
        <f>CONCATENATE(C430,E430,I430)</f>
        <v/>
      </c>
      <c r="C430" s="8" t="n">
        <v>900008972</v>
      </c>
      <c r="D430" s="7">
        <f>IFERROR(VLOOKUP(C430,TRAOPE!$G:$H,2,0),"")</f>
        <v/>
      </c>
      <c r="E430" s="8" t="inlineStr">
        <is>
          <t>DW55</t>
        </is>
      </c>
      <c r="F430" s="8" t="inlineStr">
        <is>
          <t>D309</t>
        </is>
      </c>
      <c r="G430" s="8">
        <f>IFERROR(VLOOKUP(A430,Flete!$A:$E,5,0),"")</f>
        <v/>
      </c>
      <c r="H430" s="7">
        <f>IFERROR(VLOOKUP(F430,TRAOPE!$AA:$AB,2,0),"")</f>
        <v/>
      </c>
      <c r="I430" s="7" t="n">
        <v>10000541</v>
      </c>
      <c r="J430" s="7">
        <f>IFERROR(VLOOKUP(I430,Materiales!$A:$H,8,0),"")</f>
        <v/>
      </c>
      <c r="K430" s="9">
        <f>IFERROR(VLOOKUP(I430,Materiales!$A:$G,7,0),"")</f>
        <v/>
      </c>
      <c r="L430" s="8" t="inlineStr">
        <is>
          <t>20241030</t>
        </is>
      </c>
      <c r="M430" s="8" t="inlineStr">
        <is>
          <t>99991231</t>
        </is>
      </c>
      <c r="N430" s="10" t="n">
        <v>189.79</v>
      </c>
      <c r="O430" s="10">
        <f>IFERROR(VLOOKUP(A430,Flete!$A:$J,10,0),"")</f>
        <v/>
      </c>
      <c r="P430" s="8" t="inlineStr">
        <is>
          <t>TN</t>
        </is>
      </c>
      <c r="Q430" s="10">
        <f>IFERROR(IFERROR(VLOOKUP(A430,TRAOPE!$A:$U,21,0),VLOOKUP(B430,TRAOPE!$A:$U,21,0)),"")</f>
        <v/>
      </c>
      <c r="R430" s="8">
        <f>IFERROR(IFERROR(VLOOKUP(A430,TRAOPE!$A:$W,23,0),VLOOKUP(B430,TRAOPE!$A:$W,23,0)),"")</f>
        <v/>
      </c>
      <c r="S430" s="10">
        <f>IF(AND(P430="TN",R430="TN"),N430+N(O430),IF(G430&amp;""="1",N(K430)*N430,(N430+N(O430))*N(K430)))</f>
        <v/>
      </c>
      <c r="T430" s="10">
        <f>IF(Q430="","",Q430-S430)</f>
        <v/>
      </c>
    </row>
    <row r="431">
      <c r="A431" s="7">
        <f>CONCATENATE(C431,E431,F431,I431)</f>
        <v/>
      </c>
      <c r="B431" s="7">
        <f>CONCATENATE(C431,E431,I431)</f>
        <v/>
      </c>
      <c r="C431" s="8" t="n">
        <v>900008972</v>
      </c>
      <c r="D431" s="7">
        <f>IFERROR(VLOOKUP(C431,TRAOPE!$G:$H,2,0),"")</f>
        <v/>
      </c>
      <c r="E431" s="8" t="inlineStr">
        <is>
          <t>DW55</t>
        </is>
      </c>
      <c r="F431" s="8" t="inlineStr">
        <is>
          <t>D325</t>
        </is>
      </c>
      <c r="G431" s="8">
        <f>IFERROR(VLOOKUP(A431,Flete!$A:$E,5,0),"")</f>
        <v/>
      </c>
      <c r="H431" s="7">
        <f>IFERROR(VLOOKUP(F431,TRAOPE!$AA:$AB,2,0),"")</f>
        <v/>
      </c>
      <c r="I431" s="7" t="n">
        <v>10000541</v>
      </c>
      <c r="J431" s="7">
        <f>IFERROR(VLOOKUP(I431,Materiales!$A:$H,8,0),"")</f>
        <v/>
      </c>
      <c r="K431" s="9">
        <f>IFERROR(VLOOKUP(I431,Materiales!$A:$G,7,0),"")</f>
        <v/>
      </c>
      <c r="L431" s="8" t="inlineStr">
        <is>
          <t>20241030</t>
        </is>
      </c>
      <c r="M431" s="8" t="inlineStr">
        <is>
          <t>99991231</t>
        </is>
      </c>
      <c r="N431" s="10" t="n">
        <v>189.79</v>
      </c>
      <c r="O431" s="10">
        <f>IFERROR(VLOOKUP(A431,Flete!$A:$J,10,0),"")</f>
        <v/>
      </c>
      <c r="P431" s="8" t="inlineStr">
        <is>
          <t>TN</t>
        </is>
      </c>
      <c r="Q431" s="10">
        <f>IFERROR(IFERROR(VLOOKUP(A431,TRAOPE!$A:$U,21,0),VLOOKUP(B431,TRAOPE!$A:$U,21,0)),"")</f>
        <v/>
      </c>
      <c r="R431" s="8">
        <f>IFERROR(IFERROR(VLOOKUP(A431,TRAOPE!$A:$W,23,0),VLOOKUP(B431,TRAOPE!$A:$W,23,0)),"")</f>
        <v/>
      </c>
      <c r="S431" s="10">
        <f>IF(AND(P431="TN",R431="TN"),N431+N(O431),IF(G431&amp;""="1",N(K431)*N431,(N431+N(O431))*N(K431)))</f>
        <v/>
      </c>
      <c r="T431" s="10">
        <f>IF(Q431="","",Q431-S431)</f>
        <v/>
      </c>
    </row>
    <row r="432">
      <c r="A432" s="7">
        <f>CONCATENATE(C432,E432,F432,I432)</f>
        <v/>
      </c>
      <c r="B432" s="7">
        <f>CONCATENATE(C432,E432,I432)</f>
        <v/>
      </c>
      <c r="C432" s="8" t="n">
        <v>900009308</v>
      </c>
      <c r="D432" s="7">
        <f>IFERROR(VLOOKUP(C432,TRAOPE!$G:$H,2,0),"")</f>
        <v/>
      </c>
      <c r="E432" s="8" t="inlineStr">
        <is>
          <t>DW55</t>
        </is>
      </c>
      <c r="F432" s="8" t="inlineStr">
        <is>
          <t>D284</t>
        </is>
      </c>
      <c r="G432" s="8">
        <f>IFERROR(VLOOKUP(A432,Flete!$A:$E,5,0),"")</f>
        <v/>
      </c>
      <c r="H432" s="7">
        <f>IFERROR(VLOOKUP(F432,TRAOPE!$AA:$AB,2,0),"")</f>
        <v/>
      </c>
      <c r="I432" s="7" t="n">
        <v>10000372</v>
      </c>
      <c r="J432" s="7">
        <f>IFERROR(VLOOKUP(I432,Materiales!$A:$H,8,0),"")</f>
        <v/>
      </c>
      <c r="K432" s="9">
        <f>IFERROR(VLOOKUP(I432,Materiales!$A:$G,7,0),"")</f>
        <v/>
      </c>
      <c r="L432" s="8" t="inlineStr">
        <is>
          <t>20260511</t>
        </is>
      </c>
      <c r="M432" s="8" t="inlineStr">
        <is>
          <t>99991231</t>
        </is>
      </c>
      <c r="N432" s="10" t="n">
        <v>212.71</v>
      </c>
      <c r="O432" s="10">
        <f>IFERROR(VLOOKUP(A432,Flete!$A:$J,10,0),"")</f>
        <v/>
      </c>
      <c r="P432" s="8" t="inlineStr">
        <is>
          <t>TN</t>
        </is>
      </c>
      <c r="Q432" s="10">
        <f>IFERROR(IFERROR(VLOOKUP(A432,TRAOPE!$A:$U,21,0),VLOOKUP(B432,TRAOPE!$A:$U,21,0)),"")</f>
        <v/>
      </c>
      <c r="R432" s="8">
        <f>IFERROR(IFERROR(VLOOKUP(A432,TRAOPE!$A:$W,23,0),VLOOKUP(B432,TRAOPE!$A:$W,23,0)),"")</f>
        <v/>
      </c>
      <c r="S432" s="10">
        <f>IF(AND(P432="TN",R432="TN"),N432+N(O432),IF(G432&amp;""="1",N(K432)*N432,(N432+N(O432))*N(K432)))</f>
        <v/>
      </c>
      <c r="T432" s="10">
        <f>IF(Q432="","",Q432-S432)</f>
        <v/>
      </c>
    </row>
    <row r="433">
      <c r="A433" s="7">
        <f>CONCATENATE(C433,E433,F433,I433)</f>
        <v/>
      </c>
      <c r="B433" s="7">
        <f>CONCATENATE(C433,E433,I433)</f>
        <v/>
      </c>
      <c r="C433" s="8" t="n">
        <v>900009308</v>
      </c>
      <c r="D433" s="7">
        <f>IFERROR(VLOOKUP(C433,TRAOPE!$G:$H,2,0),"")</f>
        <v/>
      </c>
      <c r="E433" s="8" t="inlineStr">
        <is>
          <t>DW55</t>
        </is>
      </c>
      <c r="F433" s="8" t="inlineStr">
        <is>
          <t>D284</t>
        </is>
      </c>
      <c r="G433" s="8">
        <f>IFERROR(VLOOKUP(A433,Flete!$A:$E,5,0),"")</f>
        <v/>
      </c>
      <c r="H433" s="7">
        <f>IFERROR(VLOOKUP(F433,TRAOPE!$AA:$AB,2,0),"")</f>
        <v/>
      </c>
      <c r="I433" s="7" t="n">
        <v>10000623</v>
      </c>
      <c r="J433" s="7">
        <f>IFERROR(VLOOKUP(I433,Materiales!$A:$H,8,0),"")</f>
        <v/>
      </c>
      <c r="K433" s="9">
        <f>IFERROR(VLOOKUP(I433,Materiales!$A:$G,7,0),"")</f>
        <v/>
      </c>
      <c r="L433" s="8" t="inlineStr">
        <is>
          <t>20250822</t>
        </is>
      </c>
      <c r="M433" s="8" t="inlineStr">
        <is>
          <t>99991231</t>
        </is>
      </c>
      <c r="N433" s="10" t="n">
        <v>297.87</v>
      </c>
      <c r="O433" s="10">
        <f>IFERROR(VLOOKUP(A433,Flete!$A:$J,10,0),"")</f>
        <v/>
      </c>
      <c r="P433" s="8" t="inlineStr">
        <is>
          <t>TN</t>
        </is>
      </c>
      <c r="Q433" s="10">
        <f>IFERROR(IFERROR(VLOOKUP(A433,TRAOPE!$A:$U,21,0),VLOOKUP(B433,TRAOPE!$A:$U,21,0)),"")</f>
        <v/>
      </c>
      <c r="R433" s="8">
        <f>IFERROR(IFERROR(VLOOKUP(A433,TRAOPE!$A:$W,23,0),VLOOKUP(B433,TRAOPE!$A:$W,23,0)),"")</f>
        <v/>
      </c>
      <c r="S433" s="10">
        <f>IF(AND(P433="TN",R433="TN"),N433+N(O433),IF(G433&amp;""="1",N(K433)*N433,(N433+N(O433))*N(K433)))</f>
        <v/>
      </c>
      <c r="T433" s="10">
        <f>IF(Q433="","",Q433-S433)</f>
        <v/>
      </c>
    </row>
    <row r="434">
      <c r="A434" s="7">
        <f>CONCATENATE(C434,E434,F434,I434)</f>
        <v/>
      </c>
      <c r="B434" s="7">
        <f>CONCATENATE(C434,E434,I434)</f>
        <v/>
      </c>
      <c r="C434" s="8" t="n">
        <v>900009308</v>
      </c>
      <c r="D434" s="7">
        <f>IFERROR(VLOOKUP(C434,TRAOPE!$G:$H,2,0),"")</f>
        <v/>
      </c>
      <c r="E434" s="8" t="inlineStr">
        <is>
          <t>DW55</t>
        </is>
      </c>
      <c r="F434" s="8" t="inlineStr">
        <is>
          <t>D284</t>
        </is>
      </c>
      <c r="G434" s="8">
        <f>IFERROR(VLOOKUP(A434,Flete!$A:$E,5,0),"")</f>
        <v/>
      </c>
      <c r="H434" s="7">
        <f>IFERROR(VLOOKUP(F434,TRAOPE!$AA:$AB,2,0),"")</f>
        <v/>
      </c>
      <c r="I434" s="7" t="n">
        <v>10123034</v>
      </c>
      <c r="J434" s="7">
        <f>IFERROR(VLOOKUP(I434,Materiales!$A:$H,8,0),"")</f>
        <v/>
      </c>
      <c r="K434" s="9">
        <f>IFERROR(VLOOKUP(I434,Materiales!$A:$G,7,0),"")</f>
        <v/>
      </c>
      <c r="L434" s="8" t="inlineStr">
        <is>
          <t>20250919</t>
        </is>
      </c>
      <c r="M434" s="8" t="inlineStr">
        <is>
          <t>99991231</t>
        </is>
      </c>
      <c r="N434" s="10" t="n">
        <v>98.17</v>
      </c>
      <c r="O434" s="10">
        <f>IFERROR(VLOOKUP(A434,Flete!$A:$J,10,0),"")</f>
        <v/>
      </c>
      <c r="P434" s="8" t="inlineStr">
        <is>
          <t>TN</t>
        </is>
      </c>
      <c r="Q434" s="10">
        <f>IFERROR(IFERROR(VLOOKUP(A434,TRAOPE!$A:$U,21,0),VLOOKUP(B434,TRAOPE!$A:$U,21,0)),"")</f>
        <v/>
      </c>
      <c r="R434" s="8">
        <f>IFERROR(IFERROR(VLOOKUP(A434,TRAOPE!$A:$W,23,0),VLOOKUP(B434,TRAOPE!$A:$W,23,0)),"")</f>
        <v/>
      </c>
      <c r="S434" s="10">
        <f>IF(AND(P434="TN",R434="TN"),N434+N(O434),IF(G434&amp;""="1",N(K434)*N434,(N434+N(O434))*N(K434)))</f>
        <v/>
      </c>
      <c r="T434" s="10">
        <f>IF(Q434="","",Q434-S434)</f>
        <v/>
      </c>
    </row>
    <row r="435">
      <c r="A435" s="7">
        <f>CONCATENATE(C435,E435,F435,I435)</f>
        <v/>
      </c>
      <c r="B435" s="7">
        <f>CONCATENATE(C435,E435,I435)</f>
        <v/>
      </c>
      <c r="C435" s="8" t="n">
        <v>900009308</v>
      </c>
      <c r="D435" s="7">
        <f>IFERROR(VLOOKUP(C435,TRAOPE!$G:$H,2,0),"")</f>
        <v/>
      </c>
      <c r="E435" s="8" t="inlineStr">
        <is>
          <t>DW55</t>
        </is>
      </c>
      <c r="F435" s="8" t="inlineStr">
        <is>
          <t>D304</t>
        </is>
      </c>
      <c r="G435" s="8">
        <f>IFERROR(VLOOKUP(A435,Flete!$A:$E,5,0),"")</f>
        <v/>
      </c>
      <c r="H435" s="7">
        <f>IFERROR(VLOOKUP(F435,TRAOPE!$AA:$AB,2,0),"")</f>
        <v/>
      </c>
      <c r="I435" s="7" t="n">
        <v>10000372</v>
      </c>
      <c r="J435" s="7">
        <f>IFERROR(VLOOKUP(I435,Materiales!$A:$H,8,0),"")</f>
        <v/>
      </c>
      <c r="K435" s="9">
        <f>IFERROR(VLOOKUP(I435,Materiales!$A:$G,7,0),"")</f>
        <v/>
      </c>
      <c r="L435" s="8" t="inlineStr">
        <is>
          <t>20260511</t>
        </is>
      </c>
      <c r="M435" s="8" t="inlineStr">
        <is>
          <t>99991231</t>
        </is>
      </c>
      <c r="N435" s="10" t="n">
        <v>212.71</v>
      </c>
      <c r="O435" s="10">
        <f>IFERROR(VLOOKUP(A435,Flete!$A:$J,10,0),"")</f>
        <v/>
      </c>
      <c r="P435" s="8" t="inlineStr">
        <is>
          <t>TN</t>
        </is>
      </c>
      <c r="Q435" s="10">
        <f>IFERROR(IFERROR(VLOOKUP(A435,TRAOPE!$A:$U,21,0),VLOOKUP(B435,TRAOPE!$A:$U,21,0)),"")</f>
        <v/>
      </c>
      <c r="R435" s="8">
        <f>IFERROR(IFERROR(VLOOKUP(A435,TRAOPE!$A:$W,23,0),VLOOKUP(B435,TRAOPE!$A:$W,23,0)),"")</f>
        <v/>
      </c>
      <c r="S435" s="10">
        <f>IF(AND(P435="TN",R435="TN"),N435+N(O435),IF(G435&amp;""="1",N(K435)*N435,(N435+N(O435))*N(K435)))</f>
        <v/>
      </c>
      <c r="T435" s="10">
        <f>IF(Q435="","",Q435-S435)</f>
        <v/>
      </c>
    </row>
    <row r="436">
      <c r="A436" s="7">
        <f>CONCATENATE(C436,E436,F436,I436)</f>
        <v/>
      </c>
      <c r="B436" s="7">
        <f>CONCATENATE(C436,E436,I436)</f>
        <v/>
      </c>
      <c r="C436" s="8" t="n">
        <v>900009308</v>
      </c>
      <c r="D436" s="7">
        <f>IFERROR(VLOOKUP(C436,TRAOPE!$G:$H,2,0),"")</f>
        <v/>
      </c>
      <c r="E436" s="8" t="inlineStr">
        <is>
          <t>DW55</t>
        </is>
      </c>
      <c r="F436" s="8" t="inlineStr">
        <is>
          <t>D304</t>
        </is>
      </c>
      <c r="G436" s="8">
        <f>IFERROR(VLOOKUP(A436,Flete!$A:$E,5,0),"")</f>
        <v/>
      </c>
      <c r="H436" s="7">
        <f>IFERROR(VLOOKUP(F436,TRAOPE!$AA:$AB,2,0),"")</f>
        <v/>
      </c>
      <c r="I436" s="7" t="n">
        <v>10000623</v>
      </c>
      <c r="J436" s="7">
        <f>IFERROR(VLOOKUP(I436,Materiales!$A:$H,8,0),"")</f>
        <v/>
      </c>
      <c r="K436" s="9">
        <f>IFERROR(VLOOKUP(I436,Materiales!$A:$G,7,0),"")</f>
        <v/>
      </c>
      <c r="L436" s="8" t="inlineStr">
        <is>
          <t>20260107</t>
        </is>
      </c>
      <c r="M436" s="8" t="inlineStr">
        <is>
          <t>99991231</t>
        </is>
      </c>
      <c r="N436" s="10" t="n">
        <v>297.87</v>
      </c>
      <c r="O436" s="10">
        <f>IFERROR(VLOOKUP(A436,Flete!$A:$J,10,0),"")</f>
        <v/>
      </c>
      <c r="P436" s="8" t="inlineStr">
        <is>
          <t>TN</t>
        </is>
      </c>
      <c r="Q436" s="10">
        <f>IFERROR(IFERROR(VLOOKUP(A436,TRAOPE!$A:$U,21,0),VLOOKUP(B436,TRAOPE!$A:$U,21,0)),"")</f>
        <v/>
      </c>
      <c r="R436" s="8">
        <f>IFERROR(IFERROR(VLOOKUP(A436,TRAOPE!$A:$W,23,0),VLOOKUP(B436,TRAOPE!$A:$W,23,0)),"")</f>
        <v/>
      </c>
      <c r="S436" s="10">
        <f>IF(AND(P436="TN",R436="TN"),N436+N(O436),IF(G436&amp;""="1",N(K436)*N436,(N436+N(O436))*N(K436)))</f>
        <v/>
      </c>
      <c r="T436" s="10">
        <f>IF(Q436="","",Q436-S436)</f>
        <v/>
      </c>
    </row>
    <row r="437">
      <c r="A437" s="7">
        <f>CONCATENATE(C437,E437,F437,I437)</f>
        <v/>
      </c>
      <c r="B437" s="7">
        <f>CONCATENATE(C437,E437,I437)</f>
        <v/>
      </c>
      <c r="C437" s="8" t="n">
        <v>900009308</v>
      </c>
      <c r="D437" s="7">
        <f>IFERROR(VLOOKUP(C437,TRAOPE!$G:$H,2,0),"")</f>
        <v/>
      </c>
      <c r="E437" s="8" t="inlineStr">
        <is>
          <t>DW55</t>
        </is>
      </c>
      <c r="F437" s="8" t="inlineStr">
        <is>
          <t>D304</t>
        </is>
      </c>
      <c r="G437" s="8">
        <f>IFERROR(VLOOKUP(A437,Flete!$A:$E,5,0),"")</f>
        <v/>
      </c>
      <c r="H437" s="7">
        <f>IFERROR(VLOOKUP(F437,TRAOPE!$AA:$AB,2,0),"")</f>
        <v/>
      </c>
      <c r="I437" s="7" t="n">
        <v>10123034</v>
      </c>
      <c r="J437" s="7">
        <f>IFERROR(VLOOKUP(I437,Materiales!$A:$H,8,0),"")</f>
        <v/>
      </c>
      <c r="K437" s="9">
        <f>IFERROR(VLOOKUP(I437,Materiales!$A:$G,7,0),"")</f>
        <v/>
      </c>
      <c r="L437" s="8" t="inlineStr">
        <is>
          <t>20260107</t>
        </is>
      </c>
      <c r="M437" s="8" t="inlineStr">
        <is>
          <t>99991231</t>
        </is>
      </c>
      <c r="N437" s="10" t="n">
        <v>98.17</v>
      </c>
      <c r="O437" s="10">
        <f>IFERROR(VLOOKUP(A437,Flete!$A:$J,10,0),"")</f>
        <v/>
      </c>
      <c r="P437" s="8" t="inlineStr">
        <is>
          <t>TN</t>
        </is>
      </c>
      <c r="Q437" s="10">
        <f>IFERROR(IFERROR(VLOOKUP(A437,TRAOPE!$A:$U,21,0),VLOOKUP(B437,TRAOPE!$A:$U,21,0)),"")</f>
        <v/>
      </c>
      <c r="R437" s="8">
        <f>IFERROR(IFERROR(VLOOKUP(A437,TRAOPE!$A:$W,23,0),VLOOKUP(B437,TRAOPE!$A:$W,23,0)),"")</f>
        <v/>
      </c>
      <c r="S437" s="10">
        <f>IF(AND(P437="TN",R437="TN"),N437+N(O437),IF(G437&amp;""="1",N(K437)*N437,(N437+N(O437))*N(K437)))</f>
        <v/>
      </c>
      <c r="T437" s="10">
        <f>IF(Q437="","",Q437-S437)</f>
        <v/>
      </c>
    </row>
    <row r="438">
      <c r="A438" s="7">
        <f>CONCATENATE(C438,E438,F438,I438)</f>
        <v/>
      </c>
      <c r="B438" s="7">
        <f>CONCATENATE(C438,E438,I438)</f>
        <v/>
      </c>
      <c r="C438" s="8" t="n">
        <v>900009308</v>
      </c>
      <c r="D438" s="7">
        <f>IFERROR(VLOOKUP(C438,TRAOPE!$G:$H,2,0),"")</f>
        <v/>
      </c>
      <c r="E438" s="8" t="inlineStr">
        <is>
          <t>DW55</t>
        </is>
      </c>
      <c r="F438" s="8" t="inlineStr">
        <is>
          <t>D309</t>
        </is>
      </c>
      <c r="G438" s="8">
        <f>IFERROR(VLOOKUP(A438,Flete!$A:$E,5,0),"")</f>
        <v/>
      </c>
      <c r="H438" s="7">
        <f>IFERROR(VLOOKUP(F438,TRAOPE!$AA:$AB,2,0),"")</f>
        <v/>
      </c>
      <c r="I438" s="7" t="n">
        <v>10000372</v>
      </c>
      <c r="J438" s="7">
        <f>IFERROR(VLOOKUP(I438,Materiales!$A:$H,8,0),"")</f>
        <v/>
      </c>
      <c r="K438" s="9">
        <f>IFERROR(VLOOKUP(I438,Materiales!$A:$G,7,0),"")</f>
        <v/>
      </c>
      <c r="L438" s="8" t="inlineStr">
        <is>
          <t>20260511</t>
        </is>
      </c>
      <c r="M438" s="8" t="inlineStr">
        <is>
          <t>99991231</t>
        </is>
      </c>
      <c r="N438" s="10" t="n">
        <v>212.71</v>
      </c>
      <c r="O438" s="10">
        <f>IFERROR(VLOOKUP(A438,Flete!$A:$J,10,0),"")</f>
        <v/>
      </c>
      <c r="P438" s="8" t="inlineStr">
        <is>
          <t>TN</t>
        </is>
      </c>
      <c r="Q438" s="10">
        <f>IFERROR(IFERROR(VLOOKUP(A438,TRAOPE!$A:$U,21,0),VLOOKUP(B438,TRAOPE!$A:$U,21,0)),"")</f>
        <v/>
      </c>
      <c r="R438" s="8">
        <f>IFERROR(IFERROR(VLOOKUP(A438,TRAOPE!$A:$W,23,0),VLOOKUP(B438,TRAOPE!$A:$W,23,0)),"")</f>
        <v/>
      </c>
      <c r="S438" s="10">
        <f>IF(AND(P438="TN",R438="TN"),N438+N(O438),IF(G438&amp;""="1",N(K438)*N438,(N438+N(O438))*N(K438)))</f>
        <v/>
      </c>
      <c r="T438" s="10">
        <f>IF(Q438="","",Q438-S438)</f>
        <v/>
      </c>
    </row>
    <row r="439">
      <c r="A439" s="7">
        <f>CONCATENATE(C439,E439,F439,I439)</f>
        <v/>
      </c>
      <c r="B439" s="7">
        <f>CONCATENATE(C439,E439,I439)</f>
        <v/>
      </c>
      <c r="C439" s="8" t="n">
        <v>900009308</v>
      </c>
      <c r="D439" s="7">
        <f>IFERROR(VLOOKUP(C439,TRAOPE!$G:$H,2,0),"")</f>
        <v/>
      </c>
      <c r="E439" s="8" t="inlineStr">
        <is>
          <t>DW55</t>
        </is>
      </c>
      <c r="F439" s="8" t="inlineStr">
        <is>
          <t>D309</t>
        </is>
      </c>
      <c r="G439" s="8">
        <f>IFERROR(VLOOKUP(A439,Flete!$A:$E,5,0),"")</f>
        <v/>
      </c>
      <c r="H439" s="7">
        <f>IFERROR(VLOOKUP(F439,TRAOPE!$AA:$AB,2,0),"")</f>
        <v/>
      </c>
      <c r="I439" s="7" t="n">
        <v>10000623</v>
      </c>
      <c r="J439" s="7">
        <f>IFERROR(VLOOKUP(I439,Materiales!$A:$H,8,0),"")</f>
        <v/>
      </c>
      <c r="K439" s="9">
        <f>IFERROR(VLOOKUP(I439,Materiales!$A:$G,7,0),"")</f>
        <v/>
      </c>
      <c r="L439" s="8" t="inlineStr">
        <is>
          <t>20250822</t>
        </is>
      </c>
      <c r="M439" s="8" t="inlineStr">
        <is>
          <t>99991231</t>
        </is>
      </c>
      <c r="N439" s="10" t="n">
        <v>297.87</v>
      </c>
      <c r="O439" s="10">
        <f>IFERROR(VLOOKUP(A439,Flete!$A:$J,10,0),"")</f>
        <v/>
      </c>
      <c r="P439" s="8" t="inlineStr">
        <is>
          <t>TN</t>
        </is>
      </c>
      <c r="Q439" s="10">
        <f>IFERROR(IFERROR(VLOOKUP(A439,TRAOPE!$A:$U,21,0),VLOOKUP(B439,TRAOPE!$A:$U,21,0)),"")</f>
        <v/>
      </c>
      <c r="R439" s="8">
        <f>IFERROR(IFERROR(VLOOKUP(A439,TRAOPE!$A:$W,23,0),VLOOKUP(B439,TRAOPE!$A:$W,23,0)),"")</f>
        <v/>
      </c>
      <c r="S439" s="10">
        <f>IF(AND(P439="TN",R439="TN"),N439+N(O439),IF(G439&amp;""="1",N(K439)*N439,(N439+N(O439))*N(K439)))</f>
        <v/>
      </c>
      <c r="T439" s="10">
        <f>IF(Q439="","",Q439-S439)</f>
        <v/>
      </c>
    </row>
    <row r="440">
      <c r="A440" s="7">
        <f>CONCATENATE(C440,E440,F440,I440)</f>
        <v/>
      </c>
      <c r="B440" s="7">
        <f>CONCATENATE(C440,E440,I440)</f>
        <v/>
      </c>
      <c r="C440" s="8" t="n">
        <v>900009308</v>
      </c>
      <c r="D440" s="7">
        <f>IFERROR(VLOOKUP(C440,TRAOPE!$G:$H,2,0),"")</f>
        <v/>
      </c>
      <c r="E440" s="8" t="inlineStr">
        <is>
          <t>DW55</t>
        </is>
      </c>
      <c r="F440" s="8" t="inlineStr">
        <is>
          <t>D309</t>
        </is>
      </c>
      <c r="G440" s="8">
        <f>IFERROR(VLOOKUP(A440,Flete!$A:$E,5,0),"")</f>
        <v/>
      </c>
      <c r="H440" s="7">
        <f>IFERROR(VLOOKUP(F440,TRAOPE!$AA:$AB,2,0),"")</f>
        <v/>
      </c>
      <c r="I440" s="7" t="n">
        <v>10123034</v>
      </c>
      <c r="J440" s="7">
        <f>IFERROR(VLOOKUP(I440,Materiales!$A:$H,8,0),"")</f>
        <v/>
      </c>
      <c r="K440" s="9">
        <f>IFERROR(VLOOKUP(I440,Materiales!$A:$G,7,0),"")</f>
        <v/>
      </c>
      <c r="L440" s="8" t="inlineStr">
        <is>
          <t>20250919</t>
        </is>
      </c>
      <c r="M440" s="8" t="inlineStr">
        <is>
          <t>99991231</t>
        </is>
      </c>
      <c r="N440" s="10" t="n">
        <v>98.17</v>
      </c>
      <c r="O440" s="10">
        <f>IFERROR(VLOOKUP(A440,Flete!$A:$J,10,0),"")</f>
        <v/>
      </c>
      <c r="P440" s="8" t="inlineStr">
        <is>
          <t>TN</t>
        </is>
      </c>
      <c r="Q440" s="10">
        <f>IFERROR(IFERROR(VLOOKUP(A440,TRAOPE!$A:$U,21,0),VLOOKUP(B440,TRAOPE!$A:$U,21,0)),"")</f>
        <v/>
      </c>
      <c r="R440" s="8">
        <f>IFERROR(IFERROR(VLOOKUP(A440,TRAOPE!$A:$W,23,0),VLOOKUP(B440,TRAOPE!$A:$W,23,0)),"")</f>
        <v/>
      </c>
      <c r="S440" s="10">
        <f>IF(AND(P440="TN",R440="TN"),N440+N(O440),IF(G440&amp;""="1",N(K440)*N440,(N440+N(O440))*N(K440)))</f>
        <v/>
      </c>
      <c r="T440" s="10">
        <f>IF(Q440="","",Q440-S440)</f>
        <v/>
      </c>
    </row>
    <row r="441">
      <c r="A441" s="7">
        <f>CONCATENATE(C441,E441,F441,I441)</f>
        <v/>
      </c>
      <c r="B441" s="7">
        <f>CONCATENATE(C441,E441,I441)</f>
        <v/>
      </c>
      <c r="C441" s="8" t="n">
        <v>900009308</v>
      </c>
      <c r="D441" s="7">
        <f>IFERROR(VLOOKUP(C441,TRAOPE!$G:$H,2,0),"")</f>
        <v/>
      </c>
      <c r="E441" s="8" t="inlineStr">
        <is>
          <t>DW55</t>
        </is>
      </c>
      <c r="F441" s="8" t="inlineStr">
        <is>
          <t>D325</t>
        </is>
      </c>
      <c r="G441" s="8">
        <f>IFERROR(VLOOKUP(A441,Flete!$A:$E,5,0),"")</f>
        <v/>
      </c>
      <c r="H441" s="7">
        <f>IFERROR(VLOOKUP(F441,TRAOPE!$AA:$AB,2,0),"")</f>
        <v/>
      </c>
      <c r="I441" s="7" t="n">
        <v>10000372</v>
      </c>
      <c r="J441" s="7">
        <f>IFERROR(VLOOKUP(I441,Materiales!$A:$H,8,0),"")</f>
        <v/>
      </c>
      <c r="K441" s="9">
        <f>IFERROR(VLOOKUP(I441,Materiales!$A:$G,7,0),"")</f>
        <v/>
      </c>
      <c r="L441" s="8" t="inlineStr">
        <is>
          <t>20250822</t>
        </is>
      </c>
      <c r="M441" s="8" t="inlineStr">
        <is>
          <t>99991231</t>
        </is>
      </c>
      <c r="N441" s="10" t="n">
        <v>198.2</v>
      </c>
      <c r="O441" s="10">
        <f>IFERROR(VLOOKUP(A441,Flete!$A:$J,10,0),"")</f>
        <v/>
      </c>
      <c r="P441" s="8" t="inlineStr">
        <is>
          <t>TN</t>
        </is>
      </c>
      <c r="Q441" s="10">
        <f>IFERROR(IFERROR(VLOOKUP(A441,TRAOPE!$A:$U,21,0),VLOOKUP(B441,TRAOPE!$A:$U,21,0)),"")</f>
        <v/>
      </c>
      <c r="R441" s="8">
        <f>IFERROR(IFERROR(VLOOKUP(A441,TRAOPE!$A:$W,23,0),VLOOKUP(B441,TRAOPE!$A:$W,23,0)),"")</f>
        <v/>
      </c>
      <c r="S441" s="10">
        <f>IF(AND(P441="TN",R441="TN"),N441+N(O441),IF(G441&amp;""="1",N(K441)*N441,(N441+N(O441))*N(K441)))</f>
        <v/>
      </c>
      <c r="T441" s="10">
        <f>IF(Q441="","",Q441-S441)</f>
        <v/>
      </c>
    </row>
    <row r="442">
      <c r="A442" s="7">
        <f>CONCATENATE(C442,E442,F442,I442)</f>
        <v/>
      </c>
      <c r="B442" s="7">
        <f>CONCATENATE(C442,E442,I442)</f>
        <v/>
      </c>
      <c r="C442" s="8" t="n">
        <v>900009308</v>
      </c>
      <c r="D442" s="7">
        <f>IFERROR(VLOOKUP(C442,TRAOPE!$G:$H,2,0),"")</f>
        <v/>
      </c>
      <c r="E442" s="8" t="inlineStr">
        <is>
          <t>DW55</t>
        </is>
      </c>
      <c r="F442" s="8" t="inlineStr">
        <is>
          <t>D325</t>
        </is>
      </c>
      <c r="G442" s="8">
        <f>IFERROR(VLOOKUP(A442,Flete!$A:$E,5,0),"")</f>
        <v/>
      </c>
      <c r="H442" s="7">
        <f>IFERROR(VLOOKUP(F442,TRAOPE!$AA:$AB,2,0),"")</f>
        <v/>
      </c>
      <c r="I442" s="7" t="n">
        <v>10000623</v>
      </c>
      <c r="J442" s="7">
        <f>IFERROR(VLOOKUP(I442,Materiales!$A:$H,8,0),"")</f>
        <v/>
      </c>
      <c r="K442" s="9">
        <f>IFERROR(VLOOKUP(I442,Materiales!$A:$G,7,0),"")</f>
        <v/>
      </c>
      <c r="L442" s="8" t="inlineStr">
        <is>
          <t>20250822</t>
        </is>
      </c>
      <c r="M442" s="8" t="inlineStr">
        <is>
          <t>99991231</t>
        </is>
      </c>
      <c r="N442" s="10" t="n">
        <v>297.87</v>
      </c>
      <c r="O442" s="10">
        <f>IFERROR(VLOOKUP(A442,Flete!$A:$J,10,0),"")</f>
        <v/>
      </c>
      <c r="P442" s="8" t="inlineStr">
        <is>
          <t>TN</t>
        </is>
      </c>
      <c r="Q442" s="10">
        <f>IFERROR(IFERROR(VLOOKUP(A442,TRAOPE!$A:$U,21,0),VLOOKUP(B442,TRAOPE!$A:$U,21,0)),"")</f>
        <v/>
      </c>
      <c r="R442" s="8">
        <f>IFERROR(IFERROR(VLOOKUP(A442,TRAOPE!$A:$W,23,0),VLOOKUP(B442,TRAOPE!$A:$W,23,0)),"")</f>
        <v/>
      </c>
      <c r="S442" s="10">
        <f>IF(AND(P442="TN",R442="TN"),N442+N(O442),IF(G442&amp;""="1",N(K442)*N442,(N442+N(O442))*N(K442)))</f>
        <v/>
      </c>
      <c r="T442" s="10">
        <f>IF(Q442="","",Q442-S442)</f>
        <v/>
      </c>
    </row>
    <row r="443">
      <c r="A443" s="7">
        <f>CONCATENATE(C443,E443,F443,I443)</f>
        <v/>
      </c>
      <c r="B443" s="7">
        <f>CONCATENATE(C443,E443,I443)</f>
        <v/>
      </c>
      <c r="C443" s="8" t="n">
        <v>900009308</v>
      </c>
      <c r="D443" s="7">
        <f>IFERROR(VLOOKUP(C443,TRAOPE!$G:$H,2,0),"")</f>
        <v/>
      </c>
      <c r="E443" s="8" t="inlineStr">
        <is>
          <t>DW55</t>
        </is>
      </c>
      <c r="F443" s="8" t="inlineStr">
        <is>
          <t>D325</t>
        </is>
      </c>
      <c r="G443" s="8">
        <f>IFERROR(VLOOKUP(A443,Flete!$A:$E,5,0),"")</f>
        <v/>
      </c>
      <c r="H443" s="7">
        <f>IFERROR(VLOOKUP(F443,TRAOPE!$AA:$AB,2,0),"")</f>
        <v/>
      </c>
      <c r="I443" s="7" t="n">
        <v>10123034</v>
      </c>
      <c r="J443" s="7">
        <f>IFERROR(VLOOKUP(I443,Materiales!$A:$H,8,0),"")</f>
        <v/>
      </c>
      <c r="K443" s="9">
        <f>IFERROR(VLOOKUP(I443,Materiales!$A:$G,7,0),"")</f>
        <v/>
      </c>
      <c r="L443" s="8" t="inlineStr">
        <is>
          <t>20250919</t>
        </is>
      </c>
      <c r="M443" s="8" t="inlineStr">
        <is>
          <t>99991231</t>
        </is>
      </c>
      <c r="N443" s="10" t="n">
        <v>98.17</v>
      </c>
      <c r="O443" s="10">
        <f>IFERROR(VLOOKUP(A443,Flete!$A:$J,10,0),"")</f>
        <v/>
      </c>
      <c r="P443" s="8" t="inlineStr">
        <is>
          <t>TN</t>
        </is>
      </c>
      <c r="Q443" s="10">
        <f>IFERROR(IFERROR(VLOOKUP(A443,TRAOPE!$A:$U,21,0),VLOOKUP(B443,TRAOPE!$A:$U,21,0)),"")</f>
        <v/>
      </c>
      <c r="R443" s="8">
        <f>IFERROR(IFERROR(VLOOKUP(A443,TRAOPE!$A:$W,23,0),VLOOKUP(B443,TRAOPE!$A:$W,23,0)),"")</f>
        <v/>
      </c>
      <c r="S443" s="10">
        <f>IF(AND(P443="TN",R443="TN"),N443+N(O443),IF(G443&amp;""="1",N(K443)*N443,(N443+N(O443))*N(K443)))</f>
        <v/>
      </c>
      <c r="T443" s="10">
        <f>IF(Q443="","",Q443-S443)</f>
        <v/>
      </c>
    </row>
    <row r="444">
      <c r="A444" s="7">
        <f>CONCATENATE(C444,E444,F444,I444)</f>
        <v/>
      </c>
      <c r="B444" s="7">
        <f>CONCATENATE(C444,E444,I444)</f>
        <v/>
      </c>
      <c r="C444" s="8" t="n">
        <v>900009308</v>
      </c>
      <c r="D444" s="7">
        <f>IFERROR(VLOOKUP(C444,TRAOPE!$G:$H,2,0),"")</f>
        <v/>
      </c>
      <c r="E444" s="8" t="inlineStr">
        <is>
          <t>DW55</t>
        </is>
      </c>
      <c r="F444" s="8" t="inlineStr">
        <is>
          <t>D342</t>
        </is>
      </c>
      <c r="G444" s="8">
        <f>IFERROR(VLOOKUP(A444,Flete!$A:$E,5,0),"")</f>
        <v/>
      </c>
      <c r="H444" s="7">
        <f>IFERROR(VLOOKUP(F444,TRAOPE!$AA:$AB,2,0),"")</f>
        <v/>
      </c>
      <c r="I444" s="7" t="n">
        <v>10000372</v>
      </c>
      <c r="J444" s="7">
        <f>IFERROR(VLOOKUP(I444,Materiales!$A:$H,8,0),"")</f>
        <v/>
      </c>
      <c r="K444" s="9">
        <f>IFERROR(VLOOKUP(I444,Materiales!$A:$G,7,0),"")</f>
        <v/>
      </c>
      <c r="L444" s="8" t="inlineStr">
        <is>
          <t>20260511</t>
        </is>
      </c>
      <c r="M444" s="8" t="inlineStr">
        <is>
          <t>99991231</t>
        </is>
      </c>
      <c r="N444" s="10" t="n">
        <v>212.71</v>
      </c>
      <c r="O444" s="10">
        <f>IFERROR(VLOOKUP(A444,Flete!$A:$J,10,0),"")</f>
        <v/>
      </c>
      <c r="P444" s="8" t="inlineStr">
        <is>
          <t>TN</t>
        </is>
      </c>
      <c r="Q444" s="10">
        <f>IFERROR(IFERROR(VLOOKUP(A444,TRAOPE!$A:$U,21,0),VLOOKUP(B444,TRAOPE!$A:$U,21,0)),"")</f>
        <v/>
      </c>
      <c r="R444" s="8">
        <f>IFERROR(IFERROR(VLOOKUP(A444,TRAOPE!$A:$W,23,0),VLOOKUP(B444,TRAOPE!$A:$W,23,0)),"")</f>
        <v/>
      </c>
      <c r="S444" s="10">
        <f>IF(AND(P444="TN",R444="TN"),N444+N(O444),IF(G444&amp;""="1",N(K444)*N444,(N444+N(O444))*N(K444)))</f>
        <v/>
      </c>
      <c r="T444" s="10">
        <f>IF(Q444="","",Q444-S444)</f>
        <v/>
      </c>
    </row>
    <row r="445">
      <c r="A445" s="7">
        <f>CONCATENATE(C445,E445,F445,I445)</f>
        <v/>
      </c>
      <c r="B445" s="7">
        <f>CONCATENATE(C445,E445,I445)</f>
        <v/>
      </c>
      <c r="C445" s="8" t="n">
        <v>900009308</v>
      </c>
      <c r="D445" s="7">
        <f>IFERROR(VLOOKUP(C445,TRAOPE!$G:$H,2,0),"")</f>
        <v/>
      </c>
      <c r="E445" s="8" t="inlineStr">
        <is>
          <t>DW55</t>
        </is>
      </c>
      <c r="F445" s="8" t="inlineStr">
        <is>
          <t>D342</t>
        </is>
      </c>
      <c r="G445" s="8">
        <f>IFERROR(VLOOKUP(A445,Flete!$A:$E,5,0),"")</f>
        <v/>
      </c>
      <c r="H445" s="7">
        <f>IFERROR(VLOOKUP(F445,TRAOPE!$AA:$AB,2,0),"")</f>
        <v/>
      </c>
      <c r="I445" s="7" t="n">
        <v>10000623</v>
      </c>
      <c r="J445" s="7">
        <f>IFERROR(VLOOKUP(I445,Materiales!$A:$H,8,0),"")</f>
        <v/>
      </c>
      <c r="K445" s="9">
        <f>IFERROR(VLOOKUP(I445,Materiales!$A:$G,7,0),"")</f>
        <v/>
      </c>
      <c r="L445" s="8" t="inlineStr">
        <is>
          <t>20250822</t>
        </is>
      </c>
      <c r="M445" s="8" t="inlineStr">
        <is>
          <t>99991231</t>
        </is>
      </c>
      <c r="N445" s="10" t="n">
        <v>297.87</v>
      </c>
      <c r="O445" s="10">
        <f>IFERROR(VLOOKUP(A445,Flete!$A:$J,10,0),"")</f>
        <v/>
      </c>
      <c r="P445" s="8" t="inlineStr">
        <is>
          <t>TN</t>
        </is>
      </c>
      <c r="Q445" s="10">
        <f>IFERROR(IFERROR(VLOOKUP(A445,TRAOPE!$A:$U,21,0),VLOOKUP(B445,TRAOPE!$A:$U,21,0)),"")</f>
        <v/>
      </c>
      <c r="R445" s="8">
        <f>IFERROR(IFERROR(VLOOKUP(A445,TRAOPE!$A:$W,23,0),VLOOKUP(B445,TRAOPE!$A:$W,23,0)),"")</f>
        <v/>
      </c>
      <c r="S445" s="10">
        <f>IF(AND(P445="TN",R445="TN"),N445+N(O445),IF(G445&amp;""="1",N(K445)*N445,(N445+N(O445))*N(K445)))</f>
        <v/>
      </c>
      <c r="T445" s="10">
        <f>IF(Q445="","",Q445-S445)</f>
        <v/>
      </c>
    </row>
    <row r="446">
      <c r="A446" s="7">
        <f>CONCATENATE(C446,E446,F446,I446)</f>
        <v/>
      </c>
      <c r="B446" s="7">
        <f>CONCATENATE(C446,E446,I446)</f>
        <v/>
      </c>
      <c r="C446" s="8" t="n">
        <v>900009308</v>
      </c>
      <c r="D446" s="7">
        <f>IFERROR(VLOOKUP(C446,TRAOPE!$G:$H,2,0),"")</f>
        <v/>
      </c>
      <c r="E446" s="8" t="inlineStr">
        <is>
          <t>DW55</t>
        </is>
      </c>
      <c r="F446" s="8" t="inlineStr">
        <is>
          <t>D342</t>
        </is>
      </c>
      <c r="G446" s="8">
        <f>IFERROR(VLOOKUP(A446,Flete!$A:$E,5,0),"")</f>
        <v/>
      </c>
      <c r="H446" s="7">
        <f>IFERROR(VLOOKUP(F446,TRAOPE!$AA:$AB,2,0),"")</f>
        <v/>
      </c>
      <c r="I446" s="7" t="n">
        <v>10123034</v>
      </c>
      <c r="J446" s="7">
        <f>IFERROR(VLOOKUP(I446,Materiales!$A:$H,8,0),"")</f>
        <v/>
      </c>
      <c r="K446" s="9">
        <f>IFERROR(VLOOKUP(I446,Materiales!$A:$G,7,0),"")</f>
        <v/>
      </c>
      <c r="L446" s="8" t="inlineStr">
        <is>
          <t>20250919</t>
        </is>
      </c>
      <c r="M446" s="8" t="inlineStr">
        <is>
          <t>99991231</t>
        </is>
      </c>
      <c r="N446" s="10" t="n">
        <v>98.17</v>
      </c>
      <c r="O446" s="10">
        <f>IFERROR(VLOOKUP(A446,Flete!$A:$J,10,0),"")</f>
        <v/>
      </c>
      <c r="P446" s="8" t="inlineStr">
        <is>
          <t>TN</t>
        </is>
      </c>
      <c r="Q446" s="10">
        <f>IFERROR(IFERROR(VLOOKUP(A446,TRAOPE!$A:$U,21,0),VLOOKUP(B446,TRAOPE!$A:$U,21,0)),"")</f>
        <v/>
      </c>
      <c r="R446" s="8">
        <f>IFERROR(IFERROR(VLOOKUP(A446,TRAOPE!$A:$W,23,0),VLOOKUP(B446,TRAOPE!$A:$W,23,0)),"")</f>
        <v/>
      </c>
      <c r="S446" s="10">
        <f>IF(AND(P446="TN",R446="TN"),N446+N(O446),IF(G446&amp;""="1",N(K446)*N446,(N446+N(O446))*N(K446)))</f>
        <v/>
      </c>
      <c r="T446" s="10">
        <f>IF(Q446="","",Q446-S446)</f>
        <v/>
      </c>
    </row>
    <row r="447">
      <c r="A447" s="7">
        <f>CONCATENATE(C447,E447,F447,I447)</f>
        <v/>
      </c>
      <c r="B447" s="7">
        <f>CONCATENATE(C447,E447,I447)</f>
        <v/>
      </c>
      <c r="C447" s="8" t="n">
        <v>900009523</v>
      </c>
      <c r="D447" s="7">
        <f>IFERROR(VLOOKUP(C447,TRAOPE!$G:$H,2,0),"")</f>
        <v/>
      </c>
      <c r="E447" s="8" t="inlineStr">
        <is>
          <t>DW55</t>
        </is>
      </c>
      <c r="F447" s="8" t="inlineStr">
        <is>
          <t>D284</t>
        </is>
      </c>
      <c r="G447" s="8">
        <f>IFERROR(VLOOKUP(A447,Flete!$A:$E,5,0),"")</f>
        <v/>
      </c>
      <c r="H447" s="7">
        <f>IFERROR(VLOOKUP(F447,TRAOPE!$AA:$AB,2,0),"")</f>
        <v/>
      </c>
      <c r="I447" s="7" t="n">
        <v>10217663</v>
      </c>
      <c r="J447" s="7">
        <f>IFERROR(VLOOKUP(I447,Materiales!$A:$H,8,0),"")</f>
        <v/>
      </c>
      <c r="K447" s="9">
        <f>IFERROR(VLOOKUP(I447,Materiales!$A:$G,7,0),"")</f>
        <v/>
      </c>
      <c r="L447" s="8" t="inlineStr">
        <is>
          <t>20260605</t>
        </is>
      </c>
      <c r="M447" s="8" t="inlineStr">
        <is>
          <t>99991231</t>
        </is>
      </c>
      <c r="N447" s="10" t="n">
        <v>51.51</v>
      </c>
      <c r="O447" s="10">
        <f>IFERROR(VLOOKUP(A447,Flete!$A:$J,10,0),"")</f>
        <v/>
      </c>
      <c r="P447" s="8" t="inlineStr">
        <is>
          <t>TN</t>
        </is>
      </c>
      <c r="Q447" s="10">
        <f>IFERROR(IFERROR(VLOOKUP(A447,TRAOPE!$A:$U,21,0),VLOOKUP(B447,TRAOPE!$A:$U,21,0)),"")</f>
        <v/>
      </c>
      <c r="R447" s="8">
        <f>IFERROR(IFERROR(VLOOKUP(A447,TRAOPE!$A:$W,23,0),VLOOKUP(B447,TRAOPE!$A:$W,23,0)),"")</f>
        <v/>
      </c>
      <c r="S447" s="10">
        <f>IF(AND(P447="TN",R447="TN"),N447+N(O447),IF(G447&amp;""="1",N(K447)*N447,(N447+N(O447))*N(K447)))</f>
        <v/>
      </c>
      <c r="T447" s="10">
        <f>IF(Q447="","",Q447-S447)</f>
        <v/>
      </c>
    </row>
    <row r="448">
      <c r="A448" s="7">
        <f>CONCATENATE(C448,E448,F448,I448)</f>
        <v/>
      </c>
      <c r="B448" s="7">
        <f>CONCATENATE(C448,E448,I448)</f>
        <v/>
      </c>
      <c r="C448" s="8" t="n">
        <v>900009523</v>
      </c>
      <c r="D448" s="7">
        <f>IFERROR(VLOOKUP(C448,TRAOPE!$G:$H,2,0),"")</f>
        <v/>
      </c>
      <c r="E448" s="8" t="inlineStr">
        <is>
          <t>DW55</t>
        </is>
      </c>
      <c r="F448" s="8" t="inlineStr">
        <is>
          <t>D304</t>
        </is>
      </c>
      <c r="G448" s="8">
        <f>IFERROR(VLOOKUP(A448,Flete!$A:$E,5,0),"")</f>
        <v/>
      </c>
      <c r="H448" s="7">
        <f>IFERROR(VLOOKUP(F448,TRAOPE!$AA:$AB,2,0),"")</f>
        <v/>
      </c>
      <c r="I448" s="7" t="n">
        <v>10217663</v>
      </c>
      <c r="J448" s="7">
        <f>IFERROR(VLOOKUP(I448,Materiales!$A:$H,8,0),"")</f>
        <v/>
      </c>
      <c r="K448" s="9">
        <f>IFERROR(VLOOKUP(I448,Materiales!$A:$G,7,0),"")</f>
        <v/>
      </c>
      <c r="L448" s="8" t="inlineStr">
        <is>
          <t>20260605</t>
        </is>
      </c>
      <c r="M448" s="8" t="inlineStr">
        <is>
          <t>99991231</t>
        </is>
      </c>
      <c r="N448" s="10" t="n">
        <v>51.51</v>
      </c>
      <c r="O448" s="10">
        <f>IFERROR(VLOOKUP(A448,Flete!$A:$J,10,0),"")</f>
        <v/>
      </c>
      <c r="P448" s="8" t="inlineStr">
        <is>
          <t>TN</t>
        </is>
      </c>
      <c r="Q448" s="10">
        <f>IFERROR(IFERROR(VLOOKUP(A448,TRAOPE!$A:$U,21,0),VLOOKUP(B448,TRAOPE!$A:$U,21,0)),"")</f>
        <v/>
      </c>
      <c r="R448" s="8">
        <f>IFERROR(IFERROR(VLOOKUP(A448,TRAOPE!$A:$W,23,0),VLOOKUP(B448,TRAOPE!$A:$W,23,0)),"")</f>
        <v/>
      </c>
      <c r="S448" s="10">
        <f>IF(AND(P448="TN",R448="TN"),N448+N(O448),IF(G448&amp;""="1",N(K448)*N448,(N448+N(O448))*N(K448)))</f>
        <v/>
      </c>
      <c r="T448" s="10">
        <f>IF(Q448="","",Q448-S448)</f>
        <v/>
      </c>
    </row>
    <row r="449">
      <c r="A449" s="7">
        <f>CONCATENATE(C449,E449,F449,I449)</f>
        <v/>
      </c>
      <c r="B449" s="7">
        <f>CONCATENATE(C449,E449,I449)</f>
        <v/>
      </c>
      <c r="C449" s="8" t="n">
        <v>900009523</v>
      </c>
      <c r="D449" s="7">
        <f>IFERROR(VLOOKUP(C449,TRAOPE!$G:$H,2,0),"")</f>
        <v/>
      </c>
      <c r="E449" s="8" t="inlineStr">
        <is>
          <t>DW55</t>
        </is>
      </c>
      <c r="F449" s="8" t="inlineStr">
        <is>
          <t>D309</t>
        </is>
      </c>
      <c r="G449" s="8">
        <f>IFERROR(VLOOKUP(A449,Flete!$A:$E,5,0),"")</f>
        <v/>
      </c>
      <c r="H449" s="7">
        <f>IFERROR(VLOOKUP(F449,TRAOPE!$AA:$AB,2,0),"")</f>
        <v/>
      </c>
      <c r="I449" s="7" t="n">
        <v>10217663</v>
      </c>
      <c r="J449" s="7">
        <f>IFERROR(VLOOKUP(I449,Materiales!$A:$H,8,0),"")</f>
        <v/>
      </c>
      <c r="K449" s="9">
        <f>IFERROR(VLOOKUP(I449,Materiales!$A:$G,7,0),"")</f>
        <v/>
      </c>
      <c r="L449" s="8" t="inlineStr">
        <is>
          <t>20260605</t>
        </is>
      </c>
      <c r="M449" s="8" t="inlineStr">
        <is>
          <t>99991231</t>
        </is>
      </c>
      <c r="N449" s="10" t="n">
        <v>51.51</v>
      </c>
      <c r="O449" s="10">
        <f>IFERROR(VLOOKUP(A449,Flete!$A:$J,10,0),"")</f>
        <v/>
      </c>
      <c r="P449" s="8" t="inlineStr">
        <is>
          <t>TN</t>
        </is>
      </c>
      <c r="Q449" s="10">
        <f>IFERROR(IFERROR(VLOOKUP(A449,TRAOPE!$A:$U,21,0),VLOOKUP(B449,TRAOPE!$A:$U,21,0)),"")</f>
        <v/>
      </c>
      <c r="R449" s="8">
        <f>IFERROR(IFERROR(VLOOKUP(A449,TRAOPE!$A:$W,23,0),VLOOKUP(B449,TRAOPE!$A:$W,23,0)),"")</f>
        <v/>
      </c>
      <c r="S449" s="10">
        <f>IF(AND(P449="TN",R449="TN"),N449+N(O449),IF(G449&amp;""="1",N(K449)*N449,(N449+N(O449))*N(K449)))</f>
        <v/>
      </c>
      <c r="T449" s="10">
        <f>IF(Q449="","",Q449-S449)</f>
        <v/>
      </c>
    </row>
    <row r="450">
      <c r="A450" s="7">
        <f>CONCATENATE(C450,E450,F450,I450)</f>
        <v/>
      </c>
      <c r="B450" s="7">
        <f>CONCATENATE(C450,E450,I450)</f>
        <v/>
      </c>
      <c r="C450" s="8" t="n">
        <v>900009524</v>
      </c>
      <c r="D450" s="7">
        <f>IFERROR(VLOOKUP(C450,TRAOPE!$G:$H,2,0),"")</f>
        <v/>
      </c>
      <c r="E450" s="8" t="inlineStr">
        <is>
          <t>DW55</t>
        </is>
      </c>
      <c r="F450" s="8" t="inlineStr">
        <is>
          <t>D284</t>
        </is>
      </c>
      <c r="G450" s="8">
        <f>IFERROR(VLOOKUP(A450,Flete!$A:$E,5,0),"")</f>
        <v/>
      </c>
      <c r="H450" s="7">
        <f>IFERROR(VLOOKUP(F450,TRAOPE!$AA:$AB,2,0),"")</f>
        <v/>
      </c>
      <c r="I450" s="7" t="n">
        <v>10217663</v>
      </c>
      <c r="J450" s="7">
        <f>IFERROR(VLOOKUP(I450,Materiales!$A:$H,8,0),"")</f>
        <v/>
      </c>
      <c r="K450" s="9">
        <f>IFERROR(VLOOKUP(I450,Materiales!$A:$G,7,0),"")</f>
        <v/>
      </c>
      <c r="L450" s="8" t="inlineStr">
        <is>
          <t>20260707</t>
        </is>
      </c>
      <c r="M450" s="8" t="inlineStr">
        <is>
          <t>99991231</t>
        </is>
      </c>
      <c r="N450" s="10" t="n">
        <v>51.51</v>
      </c>
      <c r="O450" s="10">
        <f>IFERROR(VLOOKUP(A450,Flete!$A:$J,10,0),"")</f>
        <v/>
      </c>
      <c r="P450" s="8" t="inlineStr">
        <is>
          <t>TN</t>
        </is>
      </c>
      <c r="Q450" s="10">
        <f>IFERROR(IFERROR(VLOOKUP(A450,TRAOPE!$A:$U,21,0),VLOOKUP(B450,TRAOPE!$A:$U,21,0)),"")</f>
        <v/>
      </c>
      <c r="R450" s="8">
        <f>IFERROR(IFERROR(VLOOKUP(A450,TRAOPE!$A:$W,23,0),VLOOKUP(B450,TRAOPE!$A:$W,23,0)),"")</f>
        <v/>
      </c>
      <c r="S450" s="10">
        <f>IF(AND(P450="TN",R450="TN"),N450+N(O450),IF(G450&amp;""="1",N(K450)*N450,(N450+N(O450))*N(K450)))</f>
        <v/>
      </c>
      <c r="T450" s="10">
        <f>IF(Q450="","",Q450-S450)</f>
        <v/>
      </c>
    </row>
    <row r="451">
      <c r="A451" s="7">
        <f>CONCATENATE(C451,E451,F451,I451)</f>
        <v/>
      </c>
      <c r="B451" s="7">
        <f>CONCATENATE(C451,E451,I451)</f>
        <v/>
      </c>
      <c r="C451" s="8" t="n">
        <v>900009577</v>
      </c>
      <c r="D451" s="7">
        <f>IFERROR(VLOOKUP(C451,TRAOPE!$G:$H,2,0),"")</f>
        <v/>
      </c>
      <c r="E451" s="8" t="inlineStr">
        <is>
          <t>DW55</t>
        </is>
      </c>
      <c r="F451" s="8" t="inlineStr">
        <is>
          <t>D284</t>
        </is>
      </c>
      <c r="G451" s="8">
        <f>IFERROR(VLOOKUP(A451,Flete!$A:$E,5,0),"")</f>
        <v/>
      </c>
      <c r="H451" s="7">
        <f>IFERROR(VLOOKUP(F451,TRAOPE!$AA:$AB,2,0),"")</f>
        <v/>
      </c>
      <c r="I451" s="7" t="n">
        <v>10217663</v>
      </c>
      <c r="J451" s="7">
        <f>IFERROR(VLOOKUP(I451,Materiales!$A:$H,8,0),"")</f>
        <v/>
      </c>
      <c r="K451" s="9">
        <f>IFERROR(VLOOKUP(I451,Materiales!$A:$G,7,0),"")</f>
        <v/>
      </c>
      <c r="L451" s="8" t="inlineStr">
        <is>
          <t>20260812</t>
        </is>
      </c>
      <c r="M451" s="8" t="inlineStr">
        <is>
          <t>99991231</t>
        </is>
      </c>
      <c r="N451" s="10" t="n">
        <v>51.51</v>
      </c>
      <c r="O451" s="10">
        <f>IFERROR(VLOOKUP(A451,Flete!$A:$J,10,0),"")</f>
        <v/>
      </c>
      <c r="P451" s="8" t="inlineStr">
        <is>
          <t>TN</t>
        </is>
      </c>
      <c r="Q451" s="10">
        <f>IFERROR(IFERROR(VLOOKUP(A451,TRAOPE!$A:$U,21,0),VLOOKUP(B451,TRAOPE!$A:$U,21,0)),"")</f>
        <v/>
      </c>
      <c r="R451" s="8">
        <f>IFERROR(IFERROR(VLOOKUP(A451,TRAOPE!$A:$W,23,0),VLOOKUP(B451,TRAOPE!$A:$W,23,0)),"")</f>
        <v/>
      </c>
      <c r="S451" s="10">
        <f>IF(AND(P451="TN",R451="TN"),N451+N(O451),IF(G451&amp;""="1",N(K451)*N451,(N451+N(O451))*N(K451)))</f>
        <v/>
      </c>
      <c r="T451" s="10">
        <f>IF(Q451="","",Q451-S451)</f>
        <v/>
      </c>
    </row>
    <row r="452">
      <c r="A452" s="7">
        <f>CONCATENATE(C452,E452,F452,I452)</f>
        <v/>
      </c>
      <c r="B452" s="7">
        <f>CONCATENATE(C452,E452,I452)</f>
        <v/>
      </c>
      <c r="C452" s="8" t="n">
        <v>900009580</v>
      </c>
      <c r="D452" s="7">
        <f>IFERROR(VLOOKUP(C452,TRAOPE!$G:$H,2,0),"")</f>
        <v/>
      </c>
      <c r="E452" s="8" t="inlineStr">
        <is>
          <t>DW55</t>
        </is>
      </c>
      <c r="F452" s="8" t="inlineStr">
        <is>
          <t>D284</t>
        </is>
      </c>
      <c r="G452" s="8">
        <f>IFERROR(VLOOKUP(A452,Flete!$A:$E,5,0),"")</f>
        <v/>
      </c>
      <c r="H452" s="7">
        <f>IFERROR(VLOOKUP(F452,TRAOPE!$AA:$AB,2,0),"")</f>
        <v/>
      </c>
      <c r="I452" s="7" t="n">
        <v>10217663</v>
      </c>
      <c r="J452" s="7">
        <f>IFERROR(VLOOKUP(I452,Materiales!$A:$H,8,0),"")</f>
        <v/>
      </c>
      <c r="K452" s="9">
        <f>IFERROR(VLOOKUP(I452,Materiales!$A:$G,7,0),"")</f>
        <v/>
      </c>
      <c r="L452" s="8" t="inlineStr">
        <is>
          <t>20260806</t>
        </is>
      </c>
      <c r="M452" s="8" t="inlineStr">
        <is>
          <t>99991231</t>
        </is>
      </c>
      <c r="N452" s="10" t="n">
        <v>82.42</v>
      </c>
      <c r="O452" s="10">
        <f>IFERROR(VLOOKUP(A452,Flete!$A:$J,10,0),"")</f>
        <v/>
      </c>
      <c r="P452" s="8" t="inlineStr">
        <is>
          <t>TN</t>
        </is>
      </c>
      <c r="Q452" s="10">
        <f>IFERROR(IFERROR(VLOOKUP(A452,TRAOPE!$A:$U,21,0),VLOOKUP(B452,TRAOPE!$A:$U,21,0)),"")</f>
        <v/>
      </c>
      <c r="R452" s="8">
        <f>IFERROR(IFERROR(VLOOKUP(A452,TRAOPE!$A:$W,23,0),VLOOKUP(B452,TRAOPE!$A:$W,23,0)),"")</f>
        <v/>
      </c>
      <c r="S452" s="10">
        <f>IF(AND(P452="TN",R452="TN"),N452+N(O452),IF(G452&amp;""="1",N(K452)*N452,(N452+N(O452))*N(K452)))</f>
        <v/>
      </c>
      <c r="T452" s="10">
        <f>IF(Q452="","",Q452-S452)</f>
        <v/>
      </c>
    </row>
    <row r="453">
      <c r="A453" s="7">
        <f>CONCATENATE(C453,E453,F453,I453)</f>
        <v/>
      </c>
      <c r="B453" s="7">
        <f>CONCATENATE(C453,E453,I453)</f>
        <v/>
      </c>
      <c r="C453" s="8" t="n">
        <v>900009580</v>
      </c>
      <c r="D453" s="7">
        <f>IFERROR(VLOOKUP(C453,TRAOPE!$G:$H,2,0),"")</f>
        <v/>
      </c>
      <c r="E453" s="8" t="inlineStr">
        <is>
          <t>DW55</t>
        </is>
      </c>
      <c r="F453" s="8" t="inlineStr">
        <is>
          <t>D309</t>
        </is>
      </c>
      <c r="G453" s="8">
        <f>IFERROR(VLOOKUP(A453,Flete!$A:$E,5,0),"")</f>
        <v/>
      </c>
      <c r="H453" s="7">
        <f>IFERROR(VLOOKUP(F453,TRAOPE!$AA:$AB,2,0),"")</f>
        <v/>
      </c>
      <c r="I453" s="7" t="n">
        <v>10217663</v>
      </c>
      <c r="J453" s="7">
        <f>IFERROR(VLOOKUP(I453,Materiales!$A:$H,8,0),"")</f>
        <v/>
      </c>
      <c r="K453" s="9">
        <f>IFERROR(VLOOKUP(I453,Materiales!$A:$G,7,0),"")</f>
        <v/>
      </c>
      <c r="L453" s="8" t="inlineStr">
        <is>
          <t>20260806</t>
        </is>
      </c>
      <c r="M453" s="8" t="inlineStr">
        <is>
          <t>99991231</t>
        </is>
      </c>
      <c r="N453" s="10" t="n">
        <v>82.42</v>
      </c>
      <c r="O453" s="10">
        <f>IFERROR(VLOOKUP(A453,Flete!$A:$J,10,0),"")</f>
        <v/>
      </c>
      <c r="P453" s="8" t="inlineStr">
        <is>
          <t>TN</t>
        </is>
      </c>
      <c r="Q453" s="10">
        <f>IFERROR(IFERROR(VLOOKUP(A453,TRAOPE!$A:$U,21,0),VLOOKUP(B453,TRAOPE!$A:$U,21,0)),"")</f>
        <v/>
      </c>
      <c r="R453" s="8">
        <f>IFERROR(IFERROR(VLOOKUP(A453,TRAOPE!$A:$W,23,0),VLOOKUP(B453,TRAOPE!$A:$W,23,0)),"")</f>
        <v/>
      </c>
      <c r="S453" s="10">
        <f>IF(AND(P453="TN",R453="TN"),N453+N(O453),IF(G453&amp;""="1",N(K453)*N453,(N453+N(O453))*N(K453)))</f>
        <v/>
      </c>
      <c r="T453" s="10">
        <f>IF(Q453="","",Q453-S453)</f>
        <v/>
      </c>
    </row>
    <row r="454">
      <c r="A454" s="7">
        <f>CONCATENATE(C454,E454,F454,I454)</f>
        <v/>
      </c>
      <c r="B454" s="7">
        <f>CONCATENATE(C454,E454,I454)</f>
        <v/>
      </c>
      <c r="C454" s="8" t="n">
        <v>900009596</v>
      </c>
      <c r="D454" s="7">
        <f>IFERROR(VLOOKUP(C454,TRAOPE!$G:$H,2,0),"")</f>
        <v/>
      </c>
      <c r="E454" s="8" t="inlineStr">
        <is>
          <t>DW55</t>
        </is>
      </c>
      <c r="F454" s="8" t="inlineStr">
        <is>
          <t>D309</t>
        </is>
      </c>
      <c r="G454" s="8">
        <f>IFERROR(VLOOKUP(A454,Flete!$A:$E,5,0),"")</f>
        <v/>
      </c>
      <c r="H454" s="7">
        <f>IFERROR(VLOOKUP(F454,TRAOPE!$AA:$AB,2,0),"")</f>
        <v/>
      </c>
      <c r="I454" s="7" t="n">
        <v>10260169</v>
      </c>
      <c r="J454" s="7">
        <f>IFERROR(VLOOKUP(I454,Materiales!$A:$H,8,0),"")</f>
        <v/>
      </c>
      <c r="K454" s="9">
        <f>IFERROR(VLOOKUP(I454,Materiales!$A:$G,7,0),"")</f>
        <v/>
      </c>
      <c r="L454" s="8" t="inlineStr">
        <is>
          <t>20260819</t>
        </is>
      </c>
      <c r="M454" s="8" t="inlineStr">
        <is>
          <t>99991231</t>
        </is>
      </c>
      <c r="N454" s="10" t="n">
        <v>48.58</v>
      </c>
      <c r="O454" s="10">
        <f>IFERROR(VLOOKUP(A454,Flete!$A:$J,10,0),"")</f>
        <v/>
      </c>
      <c r="P454" s="8" t="inlineStr">
        <is>
          <t>TN</t>
        </is>
      </c>
      <c r="Q454" s="10">
        <f>IFERROR(IFERROR(VLOOKUP(A454,TRAOPE!$A:$U,21,0),VLOOKUP(B454,TRAOPE!$A:$U,21,0)),"")</f>
        <v/>
      </c>
      <c r="R454" s="8">
        <f>IFERROR(IFERROR(VLOOKUP(A454,TRAOPE!$A:$W,23,0),VLOOKUP(B454,TRAOPE!$A:$W,23,0)),"")</f>
        <v/>
      </c>
      <c r="S454" s="10">
        <f>IF(AND(P454="TN",R454="TN"),N454+N(O454),IF(G454&amp;""="1",N(K454)*N454,(N454+N(O454))*N(K454)))</f>
        <v/>
      </c>
      <c r="T454" s="10">
        <f>IF(Q454="","",Q454-S454)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900000000</t>
        </is>
      </c>
      <c r="B2" t="inlineStr">
        <is>
          <t>DW55</t>
        </is>
      </c>
      <c r="C2" t="inlineStr">
        <is>
          <t>D284</t>
        </is>
      </c>
      <c r="D2" t="inlineStr">
        <is>
          <t>10000541</t>
        </is>
      </c>
      <c r="E2" t="inlineStr"/>
      <c r="F2" s="11" t="n">
        <v>229.06</v>
      </c>
      <c r="G2" t="inlineStr"/>
      <c r="I2" t="inlineStr">
        <is>
          <t>TN</t>
        </is>
      </c>
      <c r="J2" t="inlineStr"/>
      <c r="K2" t="inlineStr">
        <is>
          <t>20260804</t>
        </is>
      </c>
      <c r="L2" t="inlineStr">
        <is>
          <t>99991231</t>
        </is>
      </c>
    </row>
    <row r="3">
      <c r="A3" t="inlineStr">
        <is>
          <t>900000000</t>
        </is>
      </c>
      <c r="B3" t="inlineStr">
        <is>
          <t>DW55</t>
        </is>
      </c>
      <c r="C3" t="inlineStr">
        <is>
          <t>D309</t>
        </is>
      </c>
      <c r="D3" t="inlineStr">
        <is>
          <t>10000541</t>
        </is>
      </c>
      <c r="E3" t="inlineStr"/>
      <c r="F3" s="11" t="n">
        <v>196.34</v>
      </c>
      <c r="G3" t="inlineStr"/>
      <c r="I3" t="inlineStr">
        <is>
          <t>TN</t>
        </is>
      </c>
      <c r="J3" t="inlineStr"/>
      <c r="K3" t="inlineStr">
        <is>
          <t>20240904</t>
        </is>
      </c>
      <c r="L3" t="inlineStr">
        <is>
          <t>99991231</t>
        </is>
      </c>
    </row>
    <row r="4">
      <c r="A4" t="inlineStr">
        <is>
          <t>900000000</t>
        </is>
      </c>
      <c r="B4" t="inlineStr">
        <is>
          <t>DW55</t>
        </is>
      </c>
      <c r="C4" t="inlineStr">
        <is>
          <t>D342</t>
        </is>
      </c>
      <c r="D4" t="inlineStr">
        <is>
          <t>10000541</t>
        </is>
      </c>
      <c r="E4" t="inlineStr"/>
      <c r="F4" s="11" t="n">
        <v>84.81</v>
      </c>
      <c r="G4" t="inlineStr"/>
      <c r="I4" t="inlineStr">
        <is>
          <t>TN</t>
        </is>
      </c>
      <c r="J4" t="inlineStr"/>
      <c r="K4" t="inlineStr">
        <is>
          <t>20220504</t>
        </is>
      </c>
      <c r="L4" t="inlineStr">
        <is>
          <t>20240930</t>
        </is>
      </c>
    </row>
    <row r="5">
      <c r="A5" t="inlineStr">
        <is>
          <t>900000000</t>
        </is>
      </c>
      <c r="B5" t="inlineStr">
        <is>
          <t>DW55</t>
        </is>
      </c>
      <c r="C5" t="inlineStr">
        <is>
          <t>D348</t>
        </is>
      </c>
      <c r="D5" t="inlineStr">
        <is>
          <t>10000541</t>
        </is>
      </c>
      <c r="E5" t="inlineStr"/>
      <c r="F5" s="11" t="n">
        <v>89.28</v>
      </c>
      <c r="G5" t="inlineStr"/>
      <c r="I5" t="inlineStr">
        <is>
          <t>TN</t>
        </is>
      </c>
      <c r="J5" t="inlineStr"/>
      <c r="K5" t="inlineStr">
        <is>
          <t>20240122</t>
        </is>
      </c>
      <c r="L5" t="inlineStr">
        <is>
          <t>20241015</t>
        </is>
      </c>
    </row>
    <row r="6">
      <c r="A6" t="inlineStr">
        <is>
          <t>900000000</t>
        </is>
      </c>
      <c r="B6" t="inlineStr">
        <is>
          <t>DW55</t>
        </is>
      </c>
      <c r="C6" t="inlineStr">
        <is>
          <t>ER67</t>
        </is>
      </c>
      <c r="D6" t="inlineStr">
        <is>
          <t>10000541</t>
        </is>
      </c>
      <c r="E6" t="inlineStr"/>
      <c r="F6" s="11" t="n">
        <v>84.81</v>
      </c>
      <c r="G6" t="inlineStr"/>
      <c r="I6" t="inlineStr">
        <is>
          <t>TN</t>
        </is>
      </c>
      <c r="J6" t="inlineStr"/>
      <c r="K6" t="inlineStr">
        <is>
          <t>20220504</t>
        </is>
      </c>
      <c r="L6" t="inlineStr">
        <is>
          <t>20230127</t>
        </is>
      </c>
    </row>
    <row r="7">
      <c r="A7" t="inlineStr">
        <is>
          <t>900000000</t>
        </is>
      </c>
      <c r="B7" t="inlineStr">
        <is>
          <t>DW55</t>
        </is>
      </c>
      <c r="C7" t="inlineStr">
        <is>
          <t>ER68</t>
        </is>
      </c>
      <c r="D7" t="inlineStr">
        <is>
          <t>10000541</t>
        </is>
      </c>
      <c r="E7" t="inlineStr"/>
      <c r="F7" s="11" t="n">
        <v>84.81</v>
      </c>
      <c r="G7" t="inlineStr"/>
      <c r="I7" t="inlineStr">
        <is>
          <t>TN</t>
        </is>
      </c>
      <c r="J7" t="inlineStr"/>
      <c r="K7" t="inlineStr">
        <is>
          <t>20240122</t>
        </is>
      </c>
      <c r="L7" t="inlineStr">
        <is>
          <t>20241015</t>
        </is>
      </c>
    </row>
    <row r="8">
      <c r="A8" t="inlineStr">
        <is>
          <t>900000515</t>
        </is>
      </c>
      <c r="B8" t="inlineStr">
        <is>
          <t>DW55</t>
        </is>
      </c>
      <c r="C8" t="inlineStr">
        <is>
          <t>D284</t>
        </is>
      </c>
      <c r="D8" t="inlineStr">
        <is>
          <t>10049559</t>
        </is>
      </c>
      <c r="E8" t="inlineStr"/>
      <c r="F8" s="11" t="n">
        <v>122.95</v>
      </c>
      <c r="G8" t="inlineStr"/>
      <c r="I8" t="inlineStr">
        <is>
          <t>TN</t>
        </is>
      </c>
      <c r="J8" t="inlineStr"/>
      <c r="K8" t="inlineStr">
        <is>
          <t>20220516</t>
        </is>
      </c>
      <c r="L8" t="inlineStr">
        <is>
          <t>20240710</t>
        </is>
      </c>
    </row>
    <row r="9">
      <c r="A9" t="inlineStr">
        <is>
          <t>900000515</t>
        </is>
      </c>
      <c r="B9" t="inlineStr">
        <is>
          <t>DW55</t>
        </is>
      </c>
      <c r="C9" t="inlineStr">
        <is>
          <t>D284</t>
        </is>
      </c>
      <c r="D9" t="inlineStr">
        <is>
          <t>10217663</t>
        </is>
      </c>
      <c r="E9" t="inlineStr"/>
      <c r="F9" s="11" t="n">
        <v>36.54</v>
      </c>
      <c r="G9" t="inlineStr"/>
      <c r="I9" t="inlineStr">
        <is>
          <t>TN</t>
        </is>
      </c>
      <c r="J9" t="inlineStr"/>
      <c r="K9" t="inlineStr">
        <is>
          <t>20220516</t>
        </is>
      </c>
      <c r="L9" t="inlineStr">
        <is>
          <t>20240710</t>
        </is>
      </c>
    </row>
    <row r="10">
      <c r="A10" t="inlineStr">
        <is>
          <t>900000515</t>
        </is>
      </c>
      <c r="B10" t="inlineStr">
        <is>
          <t>DW55</t>
        </is>
      </c>
      <c r="C10" t="inlineStr">
        <is>
          <t>D284</t>
        </is>
      </c>
      <c r="D10" t="inlineStr">
        <is>
          <t>10218414</t>
        </is>
      </c>
      <c r="E10" t="inlineStr"/>
      <c r="F10" s="11" t="n">
        <v>217.89</v>
      </c>
      <c r="G10" t="inlineStr"/>
      <c r="I10" t="inlineStr">
        <is>
          <t>TN</t>
        </is>
      </c>
      <c r="J10" t="inlineStr"/>
      <c r="K10" t="inlineStr">
        <is>
          <t>20220516</t>
        </is>
      </c>
      <c r="L10" t="inlineStr">
        <is>
          <t>20240710</t>
        </is>
      </c>
    </row>
    <row r="11">
      <c r="A11" t="inlineStr">
        <is>
          <t>900000515</t>
        </is>
      </c>
      <c r="B11" t="inlineStr">
        <is>
          <t>DW55</t>
        </is>
      </c>
      <c r="C11" t="inlineStr">
        <is>
          <t>D309</t>
        </is>
      </c>
      <c r="D11" t="inlineStr">
        <is>
          <t>10049559</t>
        </is>
      </c>
      <c r="E11" t="inlineStr"/>
      <c r="F11" s="11" t="n">
        <v>122.95</v>
      </c>
      <c r="G11" t="inlineStr"/>
      <c r="I11" t="inlineStr">
        <is>
          <t>TN</t>
        </is>
      </c>
      <c r="J11" t="inlineStr"/>
      <c r="K11" t="inlineStr">
        <is>
          <t>20220516</t>
        </is>
      </c>
      <c r="L11" t="inlineStr">
        <is>
          <t>20240710</t>
        </is>
      </c>
    </row>
    <row r="12">
      <c r="A12" t="inlineStr">
        <is>
          <t>900000515</t>
        </is>
      </c>
      <c r="B12" t="inlineStr">
        <is>
          <t>DW55</t>
        </is>
      </c>
      <c r="C12" t="inlineStr">
        <is>
          <t>D326</t>
        </is>
      </c>
      <c r="D12" t="inlineStr">
        <is>
          <t>10049559</t>
        </is>
      </c>
      <c r="E12" t="inlineStr"/>
      <c r="F12" s="11" t="n">
        <v>122.95</v>
      </c>
      <c r="G12" t="inlineStr"/>
      <c r="I12" t="inlineStr">
        <is>
          <t>TN</t>
        </is>
      </c>
      <c r="J12" t="inlineStr"/>
      <c r="K12" t="inlineStr">
        <is>
          <t>20220516</t>
        </is>
      </c>
      <c r="L12" t="inlineStr">
        <is>
          <t>20240710</t>
        </is>
      </c>
    </row>
    <row r="13">
      <c r="A13" t="inlineStr">
        <is>
          <t>900000515</t>
        </is>
      </c>
      <c r="B13" t="inlineStr">
        <is>
          <t>DW55</t>
        </is>
      </c>
      <c r="C13" t="inlineStr">
        <is>
          <t>D342</t>
        </is>
      </c>
      <c r="D13" t="inlineStr">
        <is>
          <t>10049559</t>
        </is>
      </c>
      <c r="E13" t="inlineStr"/>
      <c r="F13" s="11" t="n">
        <v>122.95</v>
      </c>
      <c r="G13" t="inlineStr"/>
      <c r="I13" t="inlineStr">
        <is>
          <t>TN</t>
        </is>
      </c>
      <c r="J13" t="inlineStr"/>
      <c r="K13" t="inlineStr">
        <is>
          <t>20220516</t>
        </is>
      </c>
      <c r="L13" t="inlineStr">
        <is>
          <t>20240710</t>
        </is>
      </c>
    </row>
    <row r="14">
      <c r="A14" t="inlineStr">
        <is>
          <t>900000515</t>
        </is>
      </c>
      <c r="B14" t="inlineStr">
        <is>
          <t>DW55</t>
        </is>
      </c>
      <c r="C14" t="inlineStr">
        <is>
          <t>D342</t>
        </is>
      </c>
      <c r="D14" t="inlineStr">
        <is>
          <t>10217663</t>
        </is>
      </c>
      <c r="E14" t="inlineStr"/>
      <c r="F14" s="11" t="n">
        <v>36.54</v>
      </c>
      <c r="G14" t="inlineStr"/>
      <c r="I14" t="inlineStr">
        <is>
          <t>TN</t>
        </is>
      </c>
      <c r="J14" t="inlineStr"/>
      <c r="K14" t="inlineStr">
        <is>
          <t>20220516</t>
        </is>
      </c>
      <c r="L14" t="inlineStr">
        <is>
          <t>20240710</t>
        </is>
      </c>
    </row>
    <row r="15">
      <c r="A15" t="inlineStr">
        <is>
          <t>900000515</t>
        </is>
      </c>
      <c r="B15" t="inlineStr">
        <is>
          <t>DW55</t>
        </is>
      </c>
      <c r="C15" t="inlineStr">
        <is>
          <t>D342</t>
        </is>
      </c>
      <c r="D15" t="inlineStr">
        <is>
          <t>10218414</t>
        </is>
      </c>
      <c r="E15" t="inlineStr"/>
      <c r="F15" s="11" t="n">
        <v>217.89</v>
      </c>
      <c r="G15" t="inlineStr"/>
      <c r="I15" t="inlineStr">
        <is>
          <t>TN</t>
        </is>
      </c>
      <c r="J15" t="inlineStr"/>
      <c r="K15" t="inlineStr">
        <is>
          <t>20220516</t>
        </is>
      </c>
      <c r="L15" t="inlineStr">
        <is>
          <t>20240710</t>
        </is>
      </c>
    </row>
    <row r="16">
      <c r="A16" t="inlineStr">
        <is>
          <t>900000515</t>
        </is>
      </c>
      <c r="B16" t="inlineStr">
        <is>
          <t>DW55</t>
        </is>
      </c>
      <c r="C16" t="inlineStr">
        <is>
          <t>D348</t>
        </is>
      </c>
      <c r="D16" t="inlineStr">
        <is>
          <t>10049559</t>
        </is>
      </c>
      <c r="E16" t="inlineStr"/>
      <c r="F16" s="11" t="n">
        <v>122.95</v>
      </c>
      <c r="G16" t="inlineStr"/>
      <c r="I16" t="inlineStr">
        <is>
          <t>TN</t>
        </is>
      </c>
      <c r="J16" t="inlineStr"/>
      <c r="K16" t="inlineStr">
        <is>
          <t>20220516</t>
        </is>
      </c>
      <c r="L16" t="inlineStr">
        <is>
          <t>20240710</t>
        </is>
      </c>
    </row>
    <row r="17">
      <c r="A17" t="inlineStr">
        <is>
          <t>900000515</t>
        </is>
      </c>
      <c r="B17" t="inlineStr">
        <is>
          <t>DW55</t>
        </is>
      </c>
      <c r="C17" t="inlineStr">
        <is>
          <t>D348</t>
        </is>
      </c>
      <c r="D17" t="inlineStr">
        <is>
          <t>10217663</t>
        </is>
      </c>
      <c r="E17" t="inlineStr"/>
      <c r="F17" s="11" t="n">
        <v>36.47</v>
      </c>
      <c r="G17" t="inlineStr"/>
      <c r="I17" t="inlineStr">
        <is>
          <t>TN</t>
        </is>
      </c>
      <c r="J17" t="inlineStr"/>
      <c r="K17" t="inlineStr">
        <is>
          <t>20220516</t>
        </is>
      </c>
      <c r="L17" t="inlineStr">
        <is>
          <t>20240710</t>
        </is>
      </c>
    </row>
    <row r="18">
      <c r="A18" t="inlineStr">
        <is>
          <t>900000515</t>
        </is>
      </c>
      <c r="B18" t="inlineStr">
        <is>
          <t>DW55</t>
        </is>
      </c>
      <c r="C18" t="inlineStr">
        <is>
          <t>D348</t>
        </is>
      </c>
      <c r="D18" t="inlineStr">
        <is>
          <t>10218414</t>
        </is>
      </c>
      <c r="E18" t="inlineStr"/>
      <c r="F18" s="11" t="n">
        <v>217.82</v>
      </c>
      <c r="G18" t="inlineStr"/>
      <c r="I18" t="inlineStr">
        <is>
          <t>TN</t>
        </is>
      </c>
      <c r="J18" t="inlineStr"/>
      <c r="K18" t="inlineStr">
        <is>
          <t>20220516</t>
        </is>
      </c>
      <c r="L18" t="inlineStr">
        <is>
          <t>20240710</t>
        </is>
      </c>
    </row>
    <row r="19">
      <c r="A19" t="inlineStr">
        <is>
          <t>900000515</t>
        </is>
      </c>
      <c r="B19" t="inlineStr">
        <is>
          <t>DW55</t>
        </is>
      </c>
      <c r="C19" t="inlineStr">
        <is>
          <t>ER67</t>
        </is>
      </c>
      <c r="D19" t="inlineStr">
        <is>
          <t>10217663</t>
        </is>
      </c>
      <c r="E19" t="inlineStr"/>
      <c r="F19" s="11" t="n">
        <v>36.54</v>
      </c>
      <c r="G19" t="inlineStr"/>
      <c r="I19" t="inlineStr">
        <is>
          <t>TN</t>
        </is>
      </c>
      <c r="J19" t="inlineStr"/>
      <c r="K19" t="inlineStr">
        <is>
          <t>20220504</t>
        </is>
      </c>
      <c r="L19" t="inlineStr">
        <is>
          <t>20230127</t>
        </is>
      </c>
    </row>
    <row r="20">
      <c r="A20" t="inlineStr">
        <is>
          <t>900000515</t>
        </is>
      </c>
      <c r="B20" t="inlineStr">
        <is>
          <t>DW55</t>
        </is>
      </c>
      <c r="C20" t="inlineStr">
        <is>
          <t>ER67</t>
        </is>
      </c>
      <c r="D20" t="inlineStr">
        <is>
          <t>10218414</t>
        </is>
      </c>
      <c r="E20" t="inlineStr"/>
      <c r="F20" s="11" t="n">
        <v>217.89</v>
      </c>
      <c r="G20" t="inlineStr"/>
      <c r="I20" t="inlineStr">
        <is>
          <t>TN</t>
        </is>
      </c>
      <c r="J20" t="inlineStr"/>
      <c r="K20" t="inlineStr">
        <is>
          <t>20220504</t>
        </is>
      </c>
      <c r="L20" t="inlineStr">
        <is>
          <t>20230127</t>
        </is>
      </c>
    </row>
    <row r="21">
      <c r="A21" t="inlineStr">
        <is>
          <t>900000515</t>
        </is>
      </c>
      <c r="B21" t="inlineStr">
        <is>
          <t>DW55</t>
        </is>
      </c>
      <c r="C21" t="inlineStr">
        <is>
          <t>ER68</t>
        </is>
      </c>
      <c r="D21" t="inlineStr">
        <is>
          <t>10217663</t>
        </is>
      </c>
      <c r="E21" t="inlineStr"/>
      <c r="F21" s="11" t="n">
        <v>36.54</v>
      </c>
      <c r="G21" t="inlineStr"/>
      <c r="I21" t="inlineStr">
        <is>
          <t>TN</t>
        </is>
      </c>
      <c r="J21" t="inlineStr"/>
      <c r="K21" t="inlineStr">
        <is>
          <t>20220516</t>
        </is>
      </c>
      <c r="L21" t="inlineStr">
        <is>
          <t>20240710</t>
        </is>
      </c>
    </row>
    <row r="22">
      <c r="A22" t="inlineStr">
        <is>
          <t>900000515</t>
        </is>
      </c>
      <c r="B22" t="inlineStr">
        <is>
          <t>DW55</t>
        </is>
      </c>
      <c r="C22" t="inlineStr">
        <is>
          <t>ER68</t>
        </is>
      </c>
      <c r="D22" t="inlineStr">
        <is>
          <t>10218414</t>
        </is>
      </c>
      <c r="E22" t="inlineStr"/>
      <c r="F22" s="11" t="n">
        <v>217.89</v>
      </c>
      <c r="G22" t="inlineStr"/>
      <c r="I22" t="inlineStr">
        <is>
          <t>TN</t>
        </is>
      </c>
      <c r="J22" t="inlineStr"/>
      <c r="K22" t="inlineStr">
        <is>
          <t>20220516</t>
        </is>
      </c>
      <c r="L22" t="inlineStr">
        <is>
          <t>20240710</t>
        </is>
      </c>
    </row>
    <row r="23">
      <c r="A23" t="inlineStr">
        <is>
          <t>900000743</t>
        </is>
      </c>
      <c r="B23" t="inlineStr">
        <is>
          <t>DW55</t>
        </is>
      </c>
      <c r="C23" t="inlineStr">
        <is>
          <t>D284</t>
        </is>
      </c>
      <c r="D23" t="inlineStr">
        <is>
          <t>10000372</t>
        </is>
      </c>
      <c r="E23" t="inlineStr"/>
      <c r="F23" s="11" t="n">
        <v>220.99</v>
      </c>
      <c r="G23" t="inlineStr"/>
      <c r="I23" t="inlineStr">
        <is>
          <t>TN</t>
        </is>
      </c>
      <c r="J23" t="inlineStr"/>
      <c r="K23" t="inlineStr">
        <is>
          <t>20260417</t>
        </is>
      </c>
      <c r="L23" t="inlineStr">
        <is>
          <t>20260427</t>
        </is>
      </c>
    </row>
    <row r="24">
      <c r="A24" t="inlineStr">
        <is>
          <t>900000743</t>
        </is>
      </c>
      <c r="B24" t="inlineStr">
        <is>
          <t>DW55</t>
        </is>
      </c>
      <c r="C24" t="inlineStr">
        <is>
          <t>D284</t>
        </is>
      </c>
      <c r="D24" t="inlineStr">
        <is>
          <t>10123034</t>
        </is>
      </c>
      <c r="E24" t="inlineStr"/>
      <c r="F24" s="11" t="n">
        <v>85.08</v>
      </c>
      <c r="G24" t="inlineStr"/>
      <c r="I24" t="inlineStr">
        <is>
          <t>TN</t>
        </is>
      </c>
      <c r="J24" t="inlineStr"/>
      <c r="K24" t="inlineStr">
        <is>
          <t>20260626</t>
        </is>
      </c>
      <c r="L24" t="inlineStr">
        <is>
          <t>99991231</t>
        </is>
      </c>
    </row>
    <row r="25">
      <c r="A25" t="inlineStr">
        <is>
          <t>900000743</t>
        </is>
      </c>
      <c r="B25" t="inlineStr">
        <is>
          <t>DW55</t>
        </is>
      </c>
      <c r="C25" t="inlineStr">
        <is>
          <t>D284</t>
        </is>
      </c>
      <c r="D25" t="inlineStr">
        <is>
          <t>10151600</t>
        </is>
      </c>
      <c r="E25" t="inlineStr"/>
      <c r="F25" s="11" t="n">
        <v>128.76</v>
      </c>
      <c r="G25" t="inlineStr"/>
      <c r="I25" t="inlineStr">
        <is>
          <t>TN</t>
        </is>
      </c>
      <c r="J25" t="inlineStr"/>
      <c r="K25" t="inlineStr">
        <is>
          <t>20220516</t>
        </is>
      </c>
      <c r="L25" t="inlineStr">
        <is>
          <t>20240930</t>
        </is>
      </c>
    </row>
    <row r="26">
      <c r="A26" t="inlineStr">
        <is>
          <t>900000743</t>
        </is>
      </c>
      <c r="B26" t="inlineStr">
        <is>
          <t>DW55</t>
        </is>
      </c>
      <c r="C26" t="inlineStr">
        <is>
          <t>D284</t>
        </is>
      </c>
      <c r="D26" t="inlineStr">
        <is>
          <t>10217664</t>
        </is>
      </c>
      <c r="E26" t="inlineStr"/>
      <c r="F26" s="11" t="n">
        <v>230.05</v>
      </c>
      <c r="G26" t="inlineStr"/>
      <c r="I26" t="inlineStr">
        <is>
          <t>TN</t>
        </is>
      </c>
      <c r="J26" t="inlineStr"/>
      <c r="K26" t="inlineStr">
        <is>
          <t>20260417</t>
        </is>
      </c>
      <c r="L26" t="inlineStr">
        <is>
          <t>99991231</t>
        </is>
      </c>
    </row>
    <row r="27">
      <c r="A27" t="inlineStr">
        <is>
          <t>900000743</t>
        </is>
      </c>
      <c r="B27" t="inlineStr">
        <is>
          <t>DW55</t>
        </is>
      </c>
      <c r="C27" t="inlineStr">
        <is>
          <t>D309</t>
        </is>
      </c>
      <c r="D27" t="inlineStr">
        <is>
          <t>10000372</t>
        </is>
      </c>
      <c r="E27" t="inlineStr"/>
      <c r="F27" s="11" t="n">
        <v>220.99</v>
      </c>
      <c r="G27" t="inlineStr"/>
      <c r="I27" t="inlineStr">
        <is>
          <t>TN</t>
        </is>
      </c>
      <c r="J27" t="inlineStr"/>
      <c r="K27" t="inlineStr">
        <is>
          <t>20260417</t>
        </is>
      </c>
      <c r="L27" t="inlineStr">
        <is>
          <t>20260427</t>
        </is>
      </c>
    </row>
    <row r="28">
      <c r="A28" t="inlineStr">
        <is>
          <t>900000743</t>
        </is>
      </c>
      <c r="B28" t="inlineStr">
        <is>
          <t>DW55</t>
        </is>
      </c>
      <c r="C28" t="inlineStr">
        <is>
          <t>D309</t>
        </is>
      </c>
      <c r="D28" t="inlineStr">
        <is>
          <t>10123034</t>
        </is>
      </c>
      <c r="E28" t="inlineStr"/>
      <c r="F28" s="11" t="n">
        <v>85.08</v>
      </c>
      <c r="G28" t="inlineStr"/>
      <c r="I28" t="inlineStr">
        <is>
          <t>TN</t>
        </is>
      </c>
      <c r="J28" t="inlineStr"/>
      <c r="K28" t="inlineStr">
        <is>
          <t>20260417</t>
        </is>
      </c>
      <c r="L28" t="inlineStr">
        <is>
          <t>99991231</t>
        </is>
      </c>
    </row>
    <row r="29">
      <c r="A29" t="inlineStr">
        <is>
          <t>900000743</t>
        </is>
      </c>
      <c r="B29" t="inlineStr">
        <is>
          <t>DW55</t>
        </is>
      </c>
      <c r="C29" t="inlineStr">
        <is>
          <t>D309</t>
        </is>
      </c>
      <c r="D29" t="inlineStr">
        <is>
          <t>10151600</t>
        </is>
      </c>
      <c r="E29" t="inlineStr"/>
      <c r="F29" s="11" t="n">
        <v>128.76</v>
      </c>
      <c r="G29" t="inlineStr"/>
      <c r="I29" t="inlineStr">
        <is>
          <t>TN</t>
        </is>
      </c>
      <c r="J29" t="inlineStr"/>
      <c r="K29" t="inlineStr">
        <is>
          <t>20220516</t>
        </is>
      </c>
      <c r="L29" t="inlineStr">
        <is>
          <t>20240930</t>
        </is>
      </c>
    </row>
    <row r="30">
      <c r="A30" t="inlineStr">
        <is>
          <t>900000743</t>
        </is>
      </c>
      <c r="B30" t="inlineStr">
        <is>
          <t>DW55</t>
        </is>
      </c>
      <c r="C30" t="inlineStr">
        <is>
          <t>D309</t>
        </is>
      </c>
      <c r="D30" t="inlineStr">
        <is>
          <t>10217664</t>
        </is>
      </c>
      <c r="E30" t="inlineStr"/>
      <c r="F30" s="11" t="n">
        <v>230.05</v>
      </c>
      <c r="G30" t="inlineStr"/>
      <c r="I30" t="inlineStr">
        <is>
          <t>TN</t>
        </is>
      </c>
      <c r="J30" t="inlineStr"/>
      <c r="K30" t="inlineStr">
        <is>
          <t>20260417</t>
        </is>
      </c>
      <c r="L30" t="inlineStr">
        <is>
          <t>99991231</t>
        </is>
      </c>
    </row>
    <row r="31">
      <c r="A31" t="inlineStr">
        <is>
          <t>900000743</t>
        </is>
      </c>
      <c r="B31" t="inlineStr">
        <is>
          <t>DW55</t>
        </is>
      </c>
      <c r="C31" t="inlineStr">
        <is>
          <t>D315</t>
        </is>
      </c>
      <c r="D31" t="inlineStr">
        <is>
          <t>10000561</t>
        </is>
      </c>
      <c r="E31" t="inlineStr"/>
      <c r="F31" s="11" t="n">
        <v>136.67</v>
      </c>
      <c r="G31" t="inlineStr"/>
      <c r="I31" t="inlineStr">
        <is>
          <t>TN</t>
        </is>
      </c>
      <c r="J31" t="inlineStr"/>
      <c r="K31" t="inlineStr">
        <is>
          <t>20210620</t>
        </is>
      </c>
      <c r="L31" t="inlineStr">
        <is>
          <t>20240710</t>
        </is>
      </c>
    </row>
    <row r="32">
      <c r="A32" t="inlineStr">
        <is>
          <t>900000743</t>
        </is>
      </c>
      <c r="B32" t="inlineStr">
        <is>
          <t>DW55</t>
        </is>
      </c>
      <c r="C32" t="inlineStr">
        <is>
          <t>D315</t>
        </is>
      </c>
      <c r="D32" t="inlineStr">
        <is>
          <t>10123034</t>
        </is>
      </c>
      <c r="E32" t="inlineStr"/>
      <c r="F32" s="11" t="n">
        <v>52.36</v>
      </c>
      <c r="G32" t="inlineStr"/>
      <c r="I32" t="inlineStr">
        <is>
          <t>TN</t>
        </is>
      </c>
      <c r="J32" t="inlineStr"/>
      <c r="K32" t="inlineStr">
        <is>
          <t>20220516</t>
        </is>
      </c>
      <c r="L32" t="inlineStr">
        <is>
          <t>20240320</t>
        </is>
      </c>
    </row>
    <row r="33">
      <c r="A33" t="inlineStr">
        <is>
          <t>900000743</t>
        </is>
      </c>
      <c r="B33" t="inlineStr">
        <is>
          <t>DW55</t>
        </is>
      </c>
      <c r="C33" t="inlineStr">
        <is>
          <t>D325</t>
        </is>
      </c>
      <c r="D33" t="inlineStr">
        <is>
          <t>10217664</t>
        </is>
      </c>
      <c r="E33" t="inlineStr"/>
      <c r="F33" s="11" t="n">
        <v>215.67</v>
      </c>
      <c r="G33" t="inlineStr"/>
      <c r="I33" t="inlineStr">
        <is>
          <t>TN</t>
        </is>
      </c>
      <c r="J33" t="inlineStr"/>
      <c r="K33" t="inlineStr">
        <is>
          <t>20250701</t>
        </is>
      </c>
      <c r="L33" t="inlineStr">
        <is>
          <t>99991231</t>
        </is>
      </c>
    </row>
    <row r="34">
      <c r="A34" t="inlineStr">
        <is>
          <t>900000743</t>
        </is>
      </c>
      <c r="B34" t="inlineStr">
        <is>
          <t>DW55</t>
        </is>
      </c>
      <c r="C34" t="inlineStr">
        <is>
          <t>D326</t>
        </is>
      </c>
      <c r="D34" t="inlineStr">
        <is>
          <t>10000561</t>
        </is>
      </c>
      <c r="E34" t="inlineStr"/>
      <c r="F34" s="11" t="n">
        <v>129.55</v>
      </c>
      <c r="G34" t="inlineStr"/>
      <c r="I34" t="inlineStr">
        <is>
          <t>TN</t>
        </is>
      </c>
      <c r="J34" t="inlineStr"/>
      <c r="K34" t="inlineStr">
        <is>
          <t>20210620</t>
        </is>
      </c>
      <c r="L34" t="inlineStr">
        <is>
          <t>20240710</t>
        </is>
      </c>
    </row>
    <row r="35">
      <c r="A35" t="inlineStr">
        <is>
          <t>900000743</t>
        </is>
      </c>
      <c r="B35" t="inlineStr">
        <is>
          <t>DW55</t>
        </is>
      </c>
      <c r="C35" t="inlineStr">
        <is>
          <t>D326</t>
        </is>
      </c>
      <c r="D35" t="inlineStr">
        <is>
          <t>10123034</t>
        </is>
      </c>
      <c r="E35" t="inlineStr"/>
      <c r="F35" s="11" t="n">
        <v>52.36</v>
      </c>
      <c r="G35" t="inlineStr"/>
      <c r="I35" t="inlineStr">
        <is>
          <t>TN</t>
        </is>
      </c>
      <c r="J35" t="inlineStr"/>
      <c r="K35" t="inlineStr">
        <is>
          <t>20220516</t>
        </is>
      </c>
      <c r="L35" t="inlineStr">
        <is>
          <t>20240320</t>
        </is>
      </c>
    </row>
    <row r="36">
      <c r="A36" t="inlineStr">
        <is>
          <t>900000743</t>
        </is>
      </c>
      <c r="B36" t="inlineStr">
        <is>
          <t>DW55</t>
        </is>
      </c>
      <c r="C36" t="inlineStr">
        <is>
          <t>D342</t>
        </is>
      </c>
      <c r="D36" t="inlineStr">
        <is>
          <t>10123034</t>
        </is>
      </c>
      <c r="E36" t="inlineStr"/>
      <c r="F36" s="11" t="n">
        <v>85.08</v>
      </c>
      <c r="G36" t="inlineStr"/>
      <c r="I36" t="inlineStr">
        <is>
          <t>TN</t>
        </is>
      </c>
      <c r="J36" t="inlineStr"/>
      <c r="K36" t="inlineStr">
        <is>
          <t>20260417</t>
        </is>
      </c>
      <c r="L36" t="inlineStr">
        <is>
          <t>99991231</t>
        </is>
      </c>
    </row>
    <row r="37">
      <c r="A37" t="inlineStr">
        <is>
          <t>900000743</t>
        </is>
      </c>
      <c r="B37" t="inlineStr">
        <is>
          <t>DW55</t>
        </is>
      </c>
      <c r="C37" t="inlineStr">
        <is>
          <t>D342</t>
        </is>
      </c>
      <c r="D37" t="inlineStr">
        <is>
          <t>10151600</t>
        </is>
      </c>
      <c r="E37" t="inlineStr"/>
      <c r="F37" s="11" t="n">
        <v>128.76</v>
      </c>
      <c r="G37" t="inlineStr"/>
      <c r="I37" t="inlineStr">
        <is>
          <t>TN</t>
        </is>
      </c>
      <c r="J37" t="inlineStr"/>
      <c r="K37" t="inlineStr">
        <is>
          <t>20220516</t>
        </is>
      </c>
      <c r="L37" t="inlineStr">
        <is>
          <t>20240930</t>
        </is>
      </c>
    </row>
    <row r="38">
      <c r="A38" t="inlineStr">
        <is>
          <t>900000743</t>
        </is>
      </c>
      <c r="B38" t="inlineStr">
        <is>
          <t>DW55</t>
        </is>
      </c>
      <c r="C38" t="inlineStr">
        <is>
          <t>D342</t>
        </is>
      </c>
      <c r="D38" t="inlineStr">
        <is>
          <t>10217664</t>
        </is>
      </c>
      <c r="E38" t="inlineStr"/>
      <c r="F38" s="11" t="n">
        <v>215.67</v>
      </c>
      <c r="G38" t="inlineStr"/>
      <c r="I38" t="inlineStr">
        <is>
          <t>TN</t>
        </is>
      </c>
      <c r="J38" t="inlineStr"/>
      <c r="K38" t="inlineStr">
        <is>
          <t>20250701</t>
        </is>
      </c>
      <c r="L38" t="inlineStr">
        <is>
          <t>99991231</t>
        </is>
      </c>
    </row>
    <row r="39">
      <c r="A39" t="inlineStr">
        <is>
          <t>900000743</t>
        </is>
      </c>
      <c r="B39" t="inlineStr">
        <is>
          <t>DW55</t>
        </is>
      </c>
      <c r="C39" t="inlineStr">
        <is>
          <t>D348</t>
        </is>
      </c>
      <c r="D39" t="inlineStr">
        <is>
          <t>10123034</t>
        </is>
      </c>
      <c r="E39" t="inlineStr"/>
      <c r="F39" s="11" t="n">
        <v>71.98999999999999</v>
      </c>
      <c r="G39" t="inlineStr"/>
      <c r="I39" t="inlineStr">
        <is>
          <t>TN</t>
        </is>
      </c>
      <c r="J39" t="inlineStr"/>
      <c r="K39" t="inlineStr">
        <is>
          <t>20240621</t>
        </is>
      </c>
      <c r="L39" t="inlineStr">
        <is>
          <t>99991231</t>
        </is>
      </c>
    </row>
    <row r="40">
      <c r="A40" t="inlineStr">
        <is>
          <t>900000743</t>
        </is>
      </c>
      <c r="B40" t="inlineStr">
        <is>
          <t>DW55</t>
        </is>
      </c>
      <c r="C40" t="inlineStr">
        <is>
          <t>D348</t>
        </is>
      </c>
      <c r="D40" t="inlineStr">
        <is>
          <t>10151600</t>
        </is>
      </c>
      <c r="E40" t="inlineStr"/>
      <c r="F40" s="11" t="n">
        <v>128.76</v>
      </c>
      <c r="G40" t="inlineStr"/>
      <c r="I40" t="inlineStr">
        <is>
          <t>TN</t>
        </is>
      </c>
      <c r="J40" t="inlineStr"/>
      <c r="K40" t="inlineStr">
        <is>
          <t>20220516</t>
        </is>
      </c>
      <c r="L40" t="inlineStr">
        <is>
          <t>20240930</t>
        </is>
      </c>
    </row>
    <row r="41">
      <c r="A41" t="inlineStr">
        <is>
          <t>900000743</t>
        </is>
      </c>
      <c r="B41" t="inlineStr">
        <is>
          <t>DW55</t>
        </is>
      </c>
      <c r="C41" t="inlineStr">
        <is>
          <t>D348</t>
        </is>
      </c>
      <c r="D41" t="inlineStr">
        <is>
          <t>10217664</t>
        </is>
      </c>
      <c r="E41" t="inlineStr"/>
      <c r="F41" s="11" t="n">
        <v>222.86</v>
      </c>
      <c r="G41" t="inlineStr"/>
      <c r="I41" t="inlineStr">
        <is>
          <t>TN</t>
        </is>
      </c>
      <c r="J41" t="inlineStr"/>
      <c r="K41" t="inlineStr">
        <is>
          <t>20230401</t>
        </is>
      </c>
      <c r="L41" t="inlineStr">
        <is>
          <t>99991231</t>
        </is>
      </c>
    </row>
    <row r="42">
      <c r="A42" t="inlineStr">
        <is>
          <t>900003437</t>
        </is>
      </c>
      <c r="B42" t="inlineStr">
        <is>
          <t>DW55</t>
        </is>
      </c>
      <c r="C42" t="inlineStr">
        <is>
          <t>D284</t>
        </is>
      </c>
      <c r="D42" t="inlineStr">
        <is>
          <t>10000541</t>
        </is>
      </c>
      <c r="E42" t="inlineStr"/>
      <c r="F42" s="11" t="n">
        <v>196.34</v>
      </c>
      <c r="G42" t="inlineStr"/>
      <c r="I42" t="inlineStr">
        <is>
          <t>TN</t>
        </is>
      </c>
      <c r="J42" t="inlineStr"/>
      <c r="K42" t="inlineStr">
        <is>
          <t>20250428</t>
        </is>
      </c>
      <c r="L42" t="inlineStr">
        <is>
          <t>20251031</t>
        </is>
      </c>
    </row>
    <row r="43">
      <c r="A43" t="inlineStr">
        <is>
          <t>900003437</t>
        </is>
      </c>
      <c r="B43" t="inlineStr">
        <is>
          <t>DW55</t>
        </is>
      </c>
      <c r="C43" t="inlineStr">
        <is>
          <t>D309</t>
        </is>
      </c>
      <c r="D43" t="inlineStr">
        <is>
          <t>10000541</t>
        </is>
      </c>
      <c r="E43" t="inlineStr"/>
      <c r="F43" s="11" t="n">
        <v>196.34</v>
      </c>
      <c r="G43" t="inlineStr"/>
      <c r="I43" t="inlineStr">
        <is>
          <t>TN</t>
        </is>
      </c>
      <c r="J43" t="inlineStr"/>
      <c r="K43" t="inlineStr">
        <is>
          <t>20250428</t>
        </is>
      </c>
      <c r="L43" t="inlineStr">
        <is>
          <t>20251031</t>
        </is>
      </c>
    </row>
    <row r="44">
      <c r="A44" t="inlineStr">
        <is>
          <t>900003903</t>
        </is>
      </c>
      <c r="B44" t="inlineStr">
        <is>
          <t>DW55</t>
        </is>
      </c>
      <c r="C44" t="inlineStr">
        <is>
          <t>D284</t>
        </is>
      </c>
      <c r="D44" t="inlineStr">
        <is>
          <t>10217663</t>
        </is>
      </c>
      <c r="E44" t="inlineStr"/>
      <c r="F44" s="11" t="n">
        <v>51.51</v>
      </c>
      <c r="G44" t="inlineStr"/>
      <c r="I44" t="inlineStr">
        <is>
          <t>TN</t>
        </is>
      </c>
      <c r="J44" t="inlineStr"/>
      <c r="K44" t="inlineStr">
        <is>
          <t>20260701</t>
        </is>
      </c>
      <c r="L44" t="inlineStr">
        <is>
          <t>99991231</t>
        </is>
      </c>
    </row>
    <row r="45">
      <c r="A45" t="inlineStr">
        <is>
          <t>900003903</t>
        </is>
      </c>
      <c r="B45" t="inlineStr">
        <is>
          <t>DW55</t>
        </is>
      </c>
      <c r="C45" t="inlineStr">
        <is>
          <t>D304</t>
        </is>
      </c>
      <c r="D45" t="inlineStr">
        <is>
          <t>10217663</t>
        </is>
      </c>
      <c r="E45" t="inlineStr"/>
      <c r="F45" s="11" t="n">
        <v>51.51</v>
      </c>
      <c r="G45" t="inlineStr"/>
      <c r="I45" t="inlineStr">
        <is>
          <t>TN</t>
        </is>
      </c>
      <c r="J45" t="inlineStr"/>
      <c r="K45" t="inlineStr">
        <is>
          <t>20260701</t>
        </is>
      </c>
      <c r="L45" t="inlineStr">
        <is>
          <t>99991231</t>
        </is>
      </c>
    </row>
    <row r="46">
      <c r="A46" t="inlineStr">
        <is>
          <t>900003903</t>
        </is>
      </c>
      <c r="B46" t="inlineStr">
        <is>
          <t>DW55</t>
        </is>
      </c>
      <c r="C46" t="inlineStr">
        <is>
          <t>D309</t>
        </is>
      </c>
      <c r="D46" t="inlineStr">
        <is>
          <t>10217663</t>
        </is>
      </c>
      <c r="E46" t="inlineStr"/>
      <c r="F46" s="11" t="n">
        <v>51.51</v>
      </c>
      <c r="G46" t="inlineStr"/>
      <c r="I46" t="inlineStr">
        <is>
          <t>TN</t>
        </is>
      </c>
      <c r="J46" t="inlineStr"/>
      <c r="K46" t="inlineStr">
        <is>
          <t>20260701</t>
        </is>
      </c>
      <c r="L46" t="inlineStr">
        <is>
          <t>99991231</t>
        </is>
      </c>
    </row>
    <row r="47">
      <c r="A47" t="inlineStr">
        <is>
          <t>900003903</t>
        </is>
      </c>
      <c r="B47" t="inlineStr">
        <is>
          <t>DW55</t>
        </is>
      </c>
      <c r="C47" t="inlineStr">
        <is>
          <t>D315</t>
        </is>
      </c>
      <c r="D47" t="inlineStr">
        <is>
          <t>10000834</t>
        </is>
      </c>
      <c r="E47" t="inlineStr"/>
      <c r="F47" s="11" t="n">
        <v>41.96</v>
      </c>
      <c r="G47" t="inlineStr"/>
      <c r="I47" t="inlineStr">
        <is>
          <t>TN</t>
        </is>
      </c>
      <c r="J47" t="inlineStr"/>
      <c r="K47" t="inlineStr">
        <is>
          <t>20220516</t>
        </is>
      </c>
      <c r="L47" t="inlineStr">
        <is>
          <t>20240320</t>
        </is>
      </c>
    </row>
    <row r="48">
      <c r="A48" t="inlineStr">
        <is>
          <t>900003903</t>
        </is>
      </c>
      <c r="B48" t="inlineStr">
        <is>
          <t>DW55</t>
        </is>
      </c>
      <c r="C48" t="inlineStr">
        <is>
          <t>D325</t>
        </is>
      </c>
      <c r="D48" t="inlineStr">
        <is>
          <t>10217663</t>
        </is>
      </c>
      <c r="E48" t="inlineStr"/>
      <c r="F48" s="11" t="n">
        <v>51.51</v>
      </c>
      <c r="G48" t="inlineStr"/>
      <c r="I48" t="inlineStr">
        <is>
          <t>TN</t>
        </is>
      </c>
      <c r="J48" t="inlineStr"/>
      <c r="K48" t="inlineStr">
        <is>
          <t>20260701</t>
        </is>
      </c>
      <c r="L48" t="inlineStr">
        <is>
          <t>99991231</t>
        </is>
      </c>
    </row>
    <row r="49">
      <c r="A49" t="inlineStr">
        <is>
          <t>900003903</t>
        </is>
      </c>
      <c r="B49" t="inlineStr">
        <is>
          <t>DW55</t>
        </is>
      </c>
      <c r="C49" t="inlineStr">
        <is>
          <t>D326</t>
        </is>
      </c>
      <c r="D49" t="inlineStr">
        <is>
          <t>10000834</t>
        </is>
      </c>
      <c r="E49" t="inlineStr"/>
      <c r="F49" s="11" t="n">
        <v>37.21</v>
      </c>
      <c r="G49" t="inlineStr"/>
      <c r="I49" t="inlineStr">
        <is>
          <t>TN</t>
        </is>
      </c>
      <c r="J49" t="inlineStr"/>
      <c r="K49" t="inlineStr">
        <is>
          <t>20220516</t>
        </is>
      </c>
      <c r="L49" t="inlineStr">
        <is>
          <t>20240320</t>
        </is>
      </c>
    </row>
    <row r="50">
      <c r="A50" t="inlineStr">
        <is>
          <t>900003903</t>
        </is>
      </c>
      <c r="B50" t="inlineStr">
        <is>
          <t>DW55</t>
        </is>
      </c>
      <c r="C50" t="inlineStr">
        <is>
          <t>D342</t>
        </is>
      </c>
      <c r="D50" t="inlineStr">
        <is>
          <t>10217663</t>
        </is>
      </c>
      <c r="E50" t="inlineStr"/>
      <c r="F50" s="11" t="n">
        <v>51.51</v>
      </c>
      <c r="G50" t="inlineStr"/>
      <c r="I50" t="inlineStr">
        <is>
          <t>TN</t>
        </is>
      </c>
      <c r="J50" t="inlineStr"/>
      <c r="K50" t="inlineStr">
        <is>
          <t>20260701</t>
        </is>
      </c>
      <c r="L50" t="inlineStr">
        <is>
          <t>99991231</t>
        </is>
      </c>
    </row>
    <row r="51">
      <c r="A51" t="inlineStr">
        <is>
          <t>900003903</t>
        </is>
      </c>
      <c r="B51" t="inlineStr">
        <is>
          <t>DW55</t>
        </is>
      </c>
      <c r="C51" t="inlineStr">
        <is>
          <t>D348</t>
        </is>
      </c>
      <c r="D51" t="inlineStr">
        <is>
          <t>10217663</t>
        </is>
      </c>
      <c r="E51" t="inlineStr"/>
      <c r="F51" s="11" t="n">
        <v>49.86</v>
      </c>
      <c r="G51" t="inlineStr"/>
      <c r="I51" t="inlineStr">
        <is>
          <t>TN</t>
        </is>
      </c>
      <c r="J51" t="inlineStr"/>
      <c r="K51" t="inlineStr">
        <is>
          <t>20250428</t>
        </is>
      </c>
      <c r="L51" t="inlineStr">
        <is>
          <t>20251031</t>
        </is>
      </c>
    </row>
    <row r="52">
      <c r="A52" t="inlineStr">
        <is>
          <t>900003929</t>
        </is>
      </c>
      <c r="B52" t="inlineStr">
        <is>
          <t>DW55</t>
        </is>
      </c>
      <c r="C52" t="inlineStr">
        <is>
          <t>D284</t>
        </is>
      </c>
      <c r="D52" t="inlineStr">
        <is>
          <t>10000372</t>
        </is>
      </c>
      <c r="E52" t="inlineStr"/>
      <c r="F52" s="11" t="n">
        <v>223.26</v>
      </c>
      <c r="G52" t="inlineStr"/>
      <c r="I52" t="inlineStr">
        <is>
          <t>TN</t>
        </is>
      </c>
      <c r="J52" t="inlineStr"/>
      <c r="K52" t="inlineStr">
        <is>
          <t>20260312</t>
        </is>
      </c>
      <c r="L52" t="inlineStr">
        <is>
          <t>99991231</t>
        </is>
      </c>
    </row>
    <row r="53">
      <c r="A53" t="inlineStr">
        <is>
          <t>900003929</t>
        </is>
      </c>
      <c r="B53" t="inlineStr">
        <is>
          <t>DW55</t>
        </is>
      </c>
      <c r="C53" t="inlineStr">
        <is>
          <t>D284</t>
        </is>
      </c>
      <c r="D53" t="inlineStr">
        <is>
          <t>10000373</t>
        </is>
      </c>
      <c r="E53" t="inlineStr"/>
      <c r="F53" s="11" t="n">
        <v>336.92</v>
      </c>
      <c r="G53" t="inlineStr"/>
      <c r="I53" t="inlineStr">
        <is>
          <t>TN</t>
        </is>
      </c>
      <c r="J53" t="inlineStr"/>
      <c r="K53" t="inlineStr">
        <is>
          <t>20230111</t>
        </is>
      </c>
      <c r="L53" t="inlineStr">
        <is>
          <t>20230608</t>
        </is>
      </c>
    </row>
    <row r="54">
      <c r="A54" t="inlineStr">
        <is>
          <t>900003929</t>
        </is>
      </c>
      <c r="B54" t="inlineStr">
        <is>
          <t>DW55</t>
        </is>
      </c>
      <c r="C54" t="inlineStr">
        <is>
          <t>D284</t>
        </is>
      </c>
      <c r="D54" t="inlineStr">
        <is>
          <t>10000421</t>
        </is>
      </c>
      <c r="E54" t="inlineStr"/>
      <c r="F54" s="11" t="n">
        <v>163.1</v>
      </c>
      <c r="G54" t="inlineStr"/>
      <c r="I54" t="inlineStr">
        <is>
          <t>TN</t>
        </is>
      </c>
      <c r="J54" t="inlineStr"/>
      <c r="K54" t="inlineStr">
        <is>
          <t>20230111</t>
        </is>
      </c>
      <c r="L54" t="inlineStr">
        <is>
          <t>20230608</t>
        </is>
      </c>
    </row>
    <row r="55">
      <c r="A55" t="inlineStr">
        <is>
          <t>900003929</t>
        </is>
      </c>
      <c r="B55" t="inlineStr">
        <is>
          <t>DW55</t>
        </is>
      </c>
      <c r="C55" t="inlineStr">
        <is>
          <t>D284</t>
        </is>
      </c>
      <c r="D55" t="inlineStr">
        <is>
          <t>10039672</t>
        </is>
      </c>
      <c r="E55" t="inlineStr"/>
      <c r="F55" s="11" t="n">
        <v>79.92</v>
      </c>
      <c r="G55" t="inlineStr"/>
      <c r="I55" t="inlineStr">
        <is>
          <t>TN</t>
        </is>
      </c>
      <c r="J55" t="inlineStr"/>
      <c r="K55" t="inlineStr">
        <is>
          <t>20230111</t>
        </is>
      </c>
      <c r="L55" t="inlineStr">
        <is>
          <t>20230608</t>
        </is>
      </c>
    </row>
    <row r="56">
      <c r="A56" t="inlineStr">
        <is>
          <t>900003929</t>
        </is>
      </c>
      <c r="B56" t="inlineStr">
        <is>
          <t>DW55</t>
        </is>
      </c>
      <c r="C56" t="inlineStr">
        <is>
          <t>D284</t>
        </is>
      </c>
      <c r="D56" t="inlineStr">
        <is>
          <t>10218414</t>
        </is>
      </c>
      <c r="E56" t="inlineStr"/>
      <c r="F56" s="11" t="n">
        <v>217.82</v>
      </c>
      <c r="G56" t="inlineStr"/>
      <c r="I56" t="inlineStr">
        <is>
          <t>TN</t>
        </is>
      </c>
      <c r="J56" t="inlineStr"/>
      <c r="K56" t="inlineStr">
        <is>
          <t>20230111</t>
        </is>
      </c>
      <c r="L56" t="inlineStr">
        <is>
          <t>20230608</t>
        </is>
      </c>
    </row>
    <row r="57">
      <c r="A57" t="inlineStr">
        <is>
          <t>900003929</t>
        </is>
      </c>
      <c r="B57" t="inlineStr">
        <is>
          <t>DW55</t>
        </is>
      </c>
      <c r="C57" t="inlineStr">
        <is>
          <t>D304</t>
        </is>
      </c>
      <c r="D57" t="inlineStr">
        <is>
          <t>10000372</t>
        </is>
      </c>
      <c r="E57" t="inlineStr"/>
      <c r="F57" s="11" t="n">
        <v>223.26</v>
      </c>
      <c r="G57" t="inlineStr"/>
      <c r="I57" t="inlineStr">
        <is>
          <t>TN</t>
        </is>
      </c>
      <c r="J57" t="inlineStr"/>
      <c r="K57" t="inlineStr">
        <is>
          <t>20260312</t>
        </is>
      </c>
      <c r="L57" t="inlineStr">
        <is>
          <t>99991231</t>
        </is>
      </c>
    </row>
    <row r="58">
      <c r="A58" t="inlineStr">
        <is>
          <t>900003929</t>
        </is>
      </c>
      <c r="B58" t="inlineStr">
        <is>
          <t>DW55</t>
        </is>
      </c>
      <c r="C58" t="inlineStr">
        <is>
          <t>D309</t>
        </is>
      </c>
      <c r="D58" t="inlineStr">
        <is>
          <t>10000372</t>
        </is>
      </c>
      <c r="E58" t="inlineStr"/>
      <c r="F58" s="11" t="n">
        <v>223.26</v>
      </c>
      <c r="G58" t="inlineStr"/>
      <c r="I58" t="inlineStr">
        <is>
          <t>TN</t>
        </is>
      </c>
      <c r="J58" t="inlineStr"/>
      <c r="K58" t="inlineStr">
        <is>
          <t>20260312</t>
        </is>
      </c>
      <c r="L58" t="inlineStr">
        <is>
          <t>99991231</t>
        </is>
      </c>
    </row>
    <row r="59">
      <c r="A59" t="inlineStr">
        <is>
          <t>900003929</t>
        </is>
      </c>
      <c r="B59" t="inlineStr">
        <is>
          <t>DW55</t>
        </is>
      </c>
      <c r="C59" t="inlineStr">
        <is>
          <t>D309</t>
        </is>
      </c>
      <c r="D59" t="inlineStr">
        <is>
          <t>10000373</t>
        </is>
      </c>
      <c r="E59" t="inlineStr"/>
      <c r="F59" s="11" t="n">
        <v>336.92</v>
      </c>
      <c r="G59" t="inlineStr"/>
      <c r="I59" t="inlineStr">
        <is>
          <t>TN</t>
        </is>
      </c>
      <c r="J59" t="inlineStr"/>
      <c r="K59" t="inlineStr">
        <is>
          <t>20230111</t>
        </is>
      </c>
      <c r="L59" t="inlineStr">
        <is>
          <t>20230608</t>
        </is>
      </c>
    </row>
    <row r="60">
      <c r="A60" t="inlineStr">
        <is>
          <t>900003929</t>
        </is>
      </c>
      <c r="B60" t="inlineStr">
        <is>
          <t>DW55</t>
        </is>
      </c>
      <c r="C60" t="inlineStr">
        <is>
          <t>D309</t>
        </is>
      </c>
      <c r="D60" t="inlineStr">
        <is>
          <t>10000421</t>
        </is>
      </c>
      <c r="E60" t="inlineStr"/>
      <c r="F60" s="11" t="n">
        <v>163.1</v>
      </c>
      <c r="G60" t="inlineStr"/>
      <c r="I60" t="inlineStr">
        <is>
          <t>TN</t>
        </is>
      </c>
      <c r="J60" t="inlineStr"/>
      <c r="K60" t="inlineStr">
        <is>
          <t>20230111</t>
        </is>
      </c>
      <c r="L60" t="inlineStr">
        <is>
          <t>20230608</t>
        </is>
      </c>
    </row>
    <row r="61">
      <c r="A61" t="inlineStr">
        <is>
          <t>900003929</t>
        </is>
      </c>
      <c r="B61" t="inlineStr">
        <is>
          <t>DW55</t>
        </is>
      </c>
      <c r="C61" t="inlineStr">
        <is>
          <t>D309</t>
        </is>
      </c>
      <c r="D61" t="inlineStr">
        <is>
          <t>10039672</t>
        </is>
      </c>
      <c r="E61" t="inlineStr"/>
      <c r="F61" s="11" t="n">
        <v>79.92</v>
      </c>
      <c r="G61" t="inlineStr"/>
      <c r="I61" t="inlineStr">
        <is>
          <t>TN</t>
        </is>
      </c>
      <c r="J61" t="inlineStr"/>
      <c r="K61" t="inlineStr">
        <is>
          <t>20230111</t>
        </is>
      </c>
      <c r="L61" t="inlineStr">
        <is>
          <t>20230608</t>
        </is>
      </c>
    </row>
    <row r="62">
      <c r="A62" t="inlineStr">
        <is>
          <t>900003929</t>
        </is>
      </c>
      <c r="B62" t="inlineStr">
        <is>
          <t>DW55</t>
        </is>
      </c>
      <c r="C62" t="inlineStr">
        <is>
          <t>D309</t>
        </is>
      </c>
      <c r="D62" t="inlineStr">
        <is>
          <t>10218414</t>
        </is>
      </c>
      <c r="E62" t="inlineStr"/>
      <c r="F62" s="11" t="n">
        <v>217.82</v>
      </c>
      <c r="G62" t="inlineStr"/>
      <c r="I62" t="inlineStr">
        <is>
          <t>TN</t>
        </is>
      </c>
      <c r="J62" t="inlineStr"/>
      <c r="K62" t="inlineStr">
        <is>
          <t>20230111</t>
        </is>
      </c>
      <c r="L62" t="inlineStr">
        <is>
          <t>20230608</t>
        </is>
      </c>
    </row>
    <row r="63">
      <c r="A63" t="inlineStr">
        <is>
          <t>900003929</t>
        </is>
      </c>
      <c r="B63" t="inlineStr">
        <is>
          <t>DW55</t>
        </is>
      </c>
      <c r="C63" t="inlineStr">
        <is>
          <t>D315</t>
        </is>
      </c>
      <c r="D63" t="inlineStr">
        <is>
          <t>10000372</t>
        </is>
      </c>
      <c r="E63" t="inlineStr"/>
      <c r="F63" s="11" t="n">
        <v>149.12</v>
      </c>
      <c r="G63" t="inlineStr"/>
      <c r="I63" t="inlineStr">
        <is>
          <t>TN</t>
        </is>
      </c>
      <c r="J63" t="inlineStr"/>
      <c r="K63" t="inlineStr">
        <is>
          <t>20230111</t>
        </is>
      </c>
      <c r="L63" t="inlineStr">
        <is>
          <t>20230608</t>
        </is>
      </c>
    </row>
    <row r="64">
      <c r="A64" t="inlineStr">
        <is>
          <t>900003929</t>
        </is>
      </c>
      <c r="B64" t="inlineStr">
        <is>
          <t>DW55</t>
        </is>
      </c>
      <c r="C64" t="inlineStr">
        <is>
          <t>D315</t>
        </is>
      </c>
      <c r="D64" t="inlineStr">
        <is>
          <t>10000373</t>
        </is>
      </c>
      <c r="E64" t="inlineStr"/>
      <c r="F64" s="11" t="n">
        <v>185.29</v>
      </c>
      <c r="G64" t="inlineStr"/>
      <c r="I64" t="inlineStr">
        <is>
          <t>TN</t>
        </is>
      </c>
      <c r="J64" t="inlineStr"/>
      <c r="K64" t="inlineStr">
        <is>
          <t>20230111</t>
        </is>
      </c>
      <c r="L64" t="inlineStr">
        <is>
          <t>20230608</t>
        </is>
      </c>
    </row>
    <row r="65">
      <c r="A65" t="inlineStr">
        <is>
          <t>900003929</t>
        </is>
      </c>
      <c r="B65" t="inlineStr">
        <is>
          <t>DW55</t>
        </is>
      </c>
      <c r="C65" t="inlineStr">
        <is>
          <t>D315</t>
        </is>
      </c>
      <c r="D65" t="inlineStr">
        <is>
          <t>10000421</t>
        </is>
      </c>
      <c r="E65" t="inlineStr"/>
      <c r="F65" s="11" t="n">
        <v>137.22</v>
      </c>
      <c r="G65" t="inlineStr"/>
      <c r="I65" t="inlineStr">
        <is>
          <t>TN</t>
        </is>
      </c>
      <c r="J65" t="inlineStr"/>
      <c r="K65" t="inlineStr">
        <is>
          <t>20230111</t>
        </is>
      </c>
      <c r="L65" t="inlineStr">
        <is>
          <t>20230608</t>
        </is>
      </c>
    </row>
    <row r="66">
      <c r="A66" t="inlineStr">
        <is>
          <t>900003929</t>
        </is>
      </c>
      <c r="B66" t="inlineStr">
        <is>
          <t>DW55</t>
        </is>
      </c>
      <c r="C66" t="inlineStr">
        <is>
          <t>D315</t>
        </is>
      </c>
      <c r="D66" t="inlineStr">
        <is>
          <t>10039672</t>
        </is>
      </c>
      <c r="E66" t="inlineStr"/>
      <c r="F66" s="11" t="n">
        <v>79.92</v>
      </c>
      <c r="G66" t="inlineStr"/>
      <c r="I66" t="inlineStr">
        <is>
          <t>TN</t>
        </is>
      </c>
      <c r="J66" t="inlineStr"/>
      <c r="K66" t="inlineStr">
        <is>
          <t>20230111</t>
        </is>
      </c>
      <c r="L66" t="inlineStr">
        <is>
          <t>20230608</t>
        </is>
      </c>
    </row>
    <row r="67">
      <c r="A67" t="inlineStr">
        <is>
          <t>900003929</t>
        </is>
      </c>
      <c r="B67" t="inlineStr">
        <is>
          <t>DW55</t>
        </is>
      </c>
      <c r="C67" t="inlineStr">
        <is>
          <t>D325</t>
        </is>
      </c>
      <c r="D67" t="inlineStr">
        <is>
          <t>10000373</t>
        </is>
      </c>
      <c r="E67" t="inlineStr"/>
      <c r="F67" s="11" t="n">
        <v>336.92</v>
      </c>
      <c r="G67" t="inlineStr"/>
      <c r="I67" t="inlineStr">
        <is>
          <t>TN</t>
        </is>
      </c>
      <c r="J67" t="inlineStr"/>
      <c r="K67" t="inlineStr">
        <is>
          <t>20230111</t>
        </is>
      </c>
      <c r="L67" t="inlineStr">
        <is>
          <t>20230608</t>
        </is>
      </c>
    </row>
    <row r="68">
      <c r="A68" t="inlineStr">
        <is>
          <t>900003929</t>
        </is>
      </c>
      <c r="B68" t="inlineStr">
        <is>
          <t>DW55</t>
        </is>
      </c>
      <c r="C68" t="inlineStr">
        <is>
          <t>D326</t>
        </is>
      </c>
      <c r="D68" t="inlineStr">
        <is>
          <t>10000372</t>
        </is>
      </c>
      <c r="E68" t="inlineStr"/>
      <c r="F68" s="11" t="n">
        <v>151.82</v>
      </c>
      <c r="G68" t="inlineStr"/>
      <c r="I68" t="inlineStr">
        <is>
          <t>TN</t>
        </is>
      </c>
      <c r="J68" t="inlineStr"/>
      <c r="K68" t="inlineStr">
        <is>
          <t>20230111</t>
        </is>
      </c>
      <c r="L68" t="inlineStr">
        <is>
          <t>20230608</t>
        </is>
      </c>
    </row>
    <row r="69">
      <c r="A69" t="inlineStr">
        <is>
          <t>900003929</t>
        </is>
      </c>
      <c r="B69" t="inlineStr">
        <is>
          <t>DW55</t>
        </is>
      </c>
      <c r="C69" t="inlineStr">
        <is>
          <t>D326</t>
        </is>
      </c>
      <c r="D69" t="inlineStr">
        <is>
          <t>10000373</t>
        </is>
      </c>
      <c r="E69" t="inlineStr"/>
      <c r="F69" s="11" t="n">
        <v>188.09</v>
      </c>
      <c r="G69" t="inlineStr"/>
      <c r="I69" t="inlineStr">
        <is>
          <t>TN</t>
        </is>
      </c>
      <c r="J69" t="inlineStr"/>
      <c r="K69" t="inlineStr">
        <is>
          <t>20230111</t>
        </is>
      </c>
      <c r="L69" t="inlineStr">
        <is>
          <t>20230608</t>
        </is>
      </c>
    </row>
    <row r="70">
      <c r="A70" t="inlineStr">
        <is>
          <t>900003929</t>
        </is>
      </c>
      <c r="B70" t="inlineStr">
        <is>
          <t>DW55</t>
        </is>
      </c>
      <c r="C70" t="inlineStr">
        <is>
          <t>D326</t>
        </is>
      </c>
      <c r="D70" t="inlineStr">
        <is>
          <t>10000421</t>
        </is>
      </c>
      <c r="E70" t="inlineStr"/>
      <c r="F70" s="11" t="n">
        <v>139.84</v>
      </c>
      <c r="G70" t="inlineStr"/>
      <c r="I70" t="inlineStr">
        <is>
          <t>TN</t>
        </is>
      </c>
      <c r="J70" t="inlineStr"/>
      <c r="K70" t="inlineStr">
        <is>
          <t>20230111</t>
        </is>
      </c>
      <c r="L70" t="inlineStr">
        <is>
          <t>20230608</t>
        </is>
      </c>
    </row>
    <row r="71">
      <c r="A71" t="inlineStr">
        <is>
          <t>900003929</t>
        </is>
      </c>
      <c r="B71" t="inlineStr">
        <is>
          <t>DW55</t>
        </is>
      </c>
      <c r="C71" t="inlineStr">
        <is>
          <t>D326</t>
        </is>
      </c>
      <c r="D71" t="inlineStr">
        <is>
          <t>10039672</t>
        </is>
      </c>
      <c r="E71" t="inlineStr"/>
      <c r="F71" s="11" t="n">
        <v>79.92</v>
      </c>
      <c r="G71" t="inlineStr"/>
      <c r="I71" t="inlineStr">
        <is>
          <t>TN</t>
        </is>
      </c>
      <c r="J71" t="inlineStr"/>
      <c r="K71" t="inlineStr">
        <is>
          <t>20230111</t>
        </is>
      </c>
      <c r="L71" t="inlineStr">
        <is>
          <t>20230608</t>
        </is>
      </c>
    </row>
    <row r="72">
      <c r="A72" t="inlineStr">
        <is>
          <t>900003929</t>
        </is>
      </c>
      <c r="B72" t="inlineStr">
        <is>
          <t>DW55</t>
        </is>
      </c>
      <c r="C72" t="inlineStr">
        <is>
          <t>D342</t>
        </is>
      </c>
      <c r="D72" t="inlineStr">
        <is>
          <t>10000372</t>
        </is>
      </c>
      <c r="E72" t="inlineStr"/>
      <c r="F72" s="11" t="n">
        <v>223.26</v>
      </c>
      <c r="G72" t="inlineStr"/>
      <c r="I72" t="inlineStr">
        <is>
          <t>TN</t>
        </is>
      </c>
      <c r="J72" t="inlineStr"/>
      <c r="K72" t="inlineStr">
        <is>
          <t>20260312</t>
        </is>
      </c>
      <c r="L72" t="inlineStr">
        <is>
          <t>99991231</t>
        </is>
      </c>
    </row>
    <row r="73">
      <c r="A73" t="inlineStr">
        <is>
          <t>900003929</t>
        </is>
      </c>
      <c r="B73" t="inlineStr">
        <is>
          <t>DW55</t>
        </is>
      </c>
      <c r="C73" t="inlineStr">
        <is>
          <t>D342</t>
        </is>
      </c>
      <c r="D73" t="inlineStr">
        <is>
          <t>10000373</t>
        </is>
      </c>
      <c r="E73" t="inlineStr"/>
      <c r="F73" s="11" t="n">
        <v>336.92</v>
      </c>
      <c r="G73" t="inlineStr"/>
      <c r="I73" t="inlineStr">
        <is>
          <t>TN</t>
        </is>
      </c>
      <c r="J73" t="inlineStr"/>
      <c r="K73" t="inlineStr">
        <is>
          <t>20230111</t>
        </is>
      </c>
      <c r="L73" t="inlineStr">
        <is>
          <t>20230608</t>
        </is>
      </c>
    </row>
    <row r="74">
      <c r="A74" t="inlineStr">
        <is>
          <t>900003929</t>
        </is>
      </c>
      <c r="B74" t="inlineStr">
        <is>
          <t>DW55</t>
        </is>
      </c>
      <c r="C74" t="inlineStr">
        <is>
          <t>D342</t>
        </is>
      </c>
      <c r="D74" t="inlineStr">
        <is>
          <t>10000421</t>
        </is>
      </c>
      <c r="E74" t="inlineStr"/>
      <c r="F74" s="11" t="n">
        <v>163.1</v>
      </c>
      <c r="G74" t="inlineStr"/>
      <c r="I74" t="inlineStr">
        <is>
          <t>TN</t>
        </is>
      </c>
      <c r="J74" t="inlineStr"/>
      <c r="K74" t="inlineStr">
        <is>
          <t>20230111</t>
        </is>
      </c>
      <c r="L74" t="inlineStr">
        <is>
          <t>20230608</t>
        </is>
      </c>
    </row>
    <row r="75">
      <c r="A75" t="inlineStr">
        <is>
          <t>900003929</t>
        </is>
      </c>
      <c r="B75" t="inlineStr">
        <is>
          <t>DW55</t>
        </is>
      </c>
      <c r="C75" t="inlineStr">
        <is>
          <t>D342</t>
        </is>
      </c>
      <c r="D75" t="inlineStr">
        <is>
          <t>10039672</t>
        </is>
      </c>
      <c r="E75" t="inlineStr"/>
      <c r="F75" s="11" t="n">
        <v>79.92</v>
      </c>
      <c r="G75" t="inlineStr"/>
      <c r="I75" t="inlineStr">
        <is>
          <t>TN</t>
        </is>
      </c>
      <c r="J75" t="inlineStr"/>
      <c r="K75" t="inlineStr">
        <is>
          <t>20230111</t>
        </is>
      </c>
      <c r="L75" t="inlineStr">
        <is>
          <t>20230608</t>
        </is>
      </c>
    </row>
    <row r="76">
      <c r="A76" t="inlineStr">
        <is>
          <t>900003929</t>
        </is>
      </c>
      <c r="B76" t="inlineStr">
        <is>
          <t>DW55</t>
        </is>
      </c>
      <c r="C76" t="inlineStr">
        <is>
          <t>D342</t>
        </is>
      </c>
      <c r="D76" t="inlineStr">
        <is>
          <t>10218414</t>
        </is>
      </c>
      <c r="E76" t="inlineStr"/>
      <c r="F76" s="11" t="n">
        <v>217.82</v>
      </c>
      <c r="G76" t="inlineStr"/>
      <c r="I76" t="inlineStr">
        <is>
          <t>TN</t>
        </is>
      </c>
      <c r="J76" t="inlineStr"/>
      <c r="K76" t="inlineStr">
        <is>
          <t>20230111</t>
        </is>
      </c>
      <c r="L76" t="inlineStr">
        <is>
          <t>20230608</t>
        </is>
      </c>
    </row>
    <row r="77">
      <c r="A77" t="inlineStr">
        <is>
          <t>900003929</t>
        </is>
      </c>
      <c r="B77" t="inlineStr">
        <is>
          <t>DW55</t>
        </is>
      </c>
      <c r="C77" t="inlineStr">
        <is>
          <t>D348</t>
        </is>
      </c>
      <c r="D77" t="inlineStr">
        <is>
          <t>10000372</t>
        </is>
      </c>
      <c r="E77" t="inlineStr"/>
      <c r="F77" s="11" t="n">
        <v>227.9</v>
      </c>
      <c r="G77" t="inlineStr"/>
      <c r="I77" t="inlineStr">
        <is>
          <t>TN</t>
        </is>
      </c>
      <c r="J77" t="inlineStr"/>
      <c r="K77" t="inlineStr">
        <is>
          <t>20230111</t>
        </is>
      </c>
      <c r="L77" t="inlineStr">
        <is>
          <t>20230608</t>
        </is>
      </c>
    </row>
    <row r="78">
      <c r="A78" t="inlineStr">
        <is>
          <t>900003929</t>
        </is>
      </c>
      <c r="B78" t="inlineStr">
        <is>
          <t>DW55</t>
        </is>
      </c>
      <c r="C78" t="inlineStr">
        <is>
          <t>D348</t>
        </is>
      </c>
      <c r="D78" t="inlineStr">
        <is>
          <t>10000373</t>
        </is>
      </c>
      <c r="E78" t="inlineStr"/>
      <c r="F78" s="11" t="n">
        <v>336.92</v>
      </c>
      <c r="G78" t="inlineStr"/>
      <c r="I78" t="inlineStr">
        <is>
          <t>TN</t>
        </is>
      </c>
      <c r="J78" t="inlineStr"/>
      <c r="K78" t="inlineStr">
        <is>
          <t>20230111</t>
        </is>
      </c>
      <c r="L78" t="inlineStr">
        <is>
          <t>20230608</t>
        </is>
      </c>
    </row>
    <row r="79">
      <c r="A79" t="inlineStr">
        <is>
          <t>900003929</t>
        </is>
      </c>
      <c r="B79" t="inlineStr">
        <is>
          <t>DW55</t>
        </is>
      </c>
      <c r="C79" t="inlineStr">
        <is>
          <t>D348</t>
        </is>
      </c>
      <c r="D79" t="inlineStr">
        <is>
          <t>10000421</t>
        </is>
      </c>
      <c r="E79" t="inlineStr"/>
      <c r="F79" s="11" t="n">
        <v>163.1</v>
      </c>
      <c r="G79" t="inlineStr"/>
      <c r="I79" t="inlineStr">
        <is>
          <t>TN</t>
        </is>
      </c>
      <c r="J79" t="inlineStr"/>
      <c r="K79" t="inlineStr">
        <is>
          <t>20230111</t>
        </is>
      </c>
      <c r="L79" t="inlineStr">
        <is>
          <t>20230608</t>
        </is>
      </c>
    </row>
    <row r="80">
      <c r="A80" t="inlineStr">
        <is>
          <t>900003929</t>
        </is>
      </c>
      <c r="B80" t="inlineStr">
        <is>
          <t>DW55</t>
        </is>
      </c>
      <c r="C80" t="inlineStr">
        <is>
          <t>D348</t>
        </is>
      </c>
      <c r="D80" t="inlineStr">
        <is>
          <t>10039672</t>
        </is>
      </c>
      <c r="E80" t="inlineStr"/>
      <c r="F80" s="11" t="n">
        <v>79.92</v>
      </c>
      <c r="G80" t="inlineStr"/>
      <c r="I80" t="inlineStr">
        <is>
          <t>TN</t>
        </is>
      </c>
      <c r="J80" t="inlineStr"/>
      <c r="K80" t="inlineStr">
        <is>
          <t>20230111</t>
        </is>
      </c>
      <c r="L80" t="inlineStr">
        <is>
          <t>20230608</t>
        </is>
      </c>
    </row>
    <row r="81">
      <c r="A81" t="inlineStr">
        <is>
          <t>900003929</t>
        </is>
      </c>
      <c r="B81" t="inlineStr">
        <is>
          <t>DW55</t>
        </is>
      </c>
      <c r="C81" t="inlineStr">
        <is>
          <t>D348</t>
        </is>
      </c>
      <c r="D81" t="inlineStr">
        <is>
          <t>10218414</t>
        </is>
      </c>
      <c r="E81" t="inlineStr"/>
      <c r="F81" s="11" t="n">
        <v>217.82</v>
      </c>
      <c r="G81" t="inlineStr"/>
      <c r="I81" t="inlineStr">
        <is>
          <t>TN</t>
        </is>
      </c>
      <c r="J81" t="inlineStr"/>
      <c r="K81" t="inlineStr">
        <is>
          <t>20230111</t>
        </is>
      </c>
      <c r="L81" t="inlineStr">
        <is>
          <t>20230608</t>
        </is>
      </c>
    </row>
    <row r="82">
      <c r="A82" t="inlineStr">
        <is>
          <t>900004612</t>
        </is>
      </c>
      <c r="B82" t="inlineStr">
        <is>
          <t>DW55</t>
        </is>
      </c>
      <c r="C82" t="inlineStr">
        <is>
          <t>D284</t>
        </is>
      </c>
      <c r="D82" t="inlineStr">
        <is>
          <t>10000178</t>
        </is>
      </c>
      <c r="E82" t="inlineStr"/>
      <c r="F82" s="11" t="n">
        <v>165.89</v>
      </c>
      <c r="G82" t="inlineStr"/>
      <c r="I82" t="inlineStr">
        <is>
          <t>TN</t>
        </is>
      </c>
      <c r="J82" t="inlineStr"/>
      <c r="K82" t="inlineStr">
        <is>
          <t>20220629</t>
        </is>
      </c>
      <c r="L82" t="inlineStr">
        <is>
          <t>20240710</t>
        </is>
      </c>
    </row>
    <row r="83">
      <c r="A83" t="inlineStr">
        <is>
          <t>900004612</t>
        </is>
      </c>
      <c r="B83" t="inlineStr">
        <is>
          <t>DW55</t>
        </is>
      </c>
      <c r="C83" t="inlineStr">
        <is>
          <t>D284</t>
        </is>
      </c>
      <c r="D83" t="inlineStr">
        <is>
          <t>10000541</t>
        </is>
      </c>
      <c r="E83" t="inlineStr"/>
      <c r="F83" s="11" t="n">
        <v>84.81</v>
      </c>
      <c r="G83" t="inlineStr"/>
      <c r="I83" t="inlineStr">
        <is>
          <t>TN</t>
        </is>
      </c>
      <c r="J83" t="inlineStr"/>
      <c r="K83" t="inlineStr">
        <is>
          <t>20220629</t>
        </is>
      </c>
      <c r="L83" t="inlineStr">
        <is>
          <t>20240710</t>
        </is>
      </c>
    </row>
    <row r="84">
      <c r="A84" t="inlineStr">
        <is>
          <t>900004612</t>
        </is>
      </c>
      <c r="B84" t="inlineStr">
        <is>
          <t>DW55</t>
        </is>
      </c>
      <c r="C84" t="inlineStr">
        <is>
          <t>D284</t>
        </is>
      </c>
      <c r="D84" t="inlineStr">
        <is>
          <t>10000826</t>
        </is>
      </c>
      <c r="E84" t="inlineStr"/>
      <c r="F84" s="11" t="n">
        <v>165.52</v>
      </c>
      <c r="G84" t="inlineStr"/>
      <c r="I84" t="inlineStr">
        <is>
          <t>TN</t>
        </is>
      </c>
      <c r="J84" t="inlineStr"/>
      <c r="K84" t="inlineStr">
        <is>
          <t>20220629</t>
        </is>
      </c>
      <c r="L84" t="inlineStr">
        <is>
          <t>20240710</t>
        </is>
      </c>
    </row>
    <row r="85">
      <c r="A85" t="inlineStr">
        <is>
          <t>900004612</t>
        </is>
      </c>
      <c r="B85" t="inlineStr">
        <is>
          <t>DW55</t>
        </is>
      </c>
      <c r="C85" t="inlineStr">
        <is>
          <t>D309</t>
        </is>
      </c>
      <c r="D85" t="inlineStr">
        <is>
          <t>10000178</t>
        </is>
      </c>
      <c r="E85" t="inlineStr"/>
      <c r="F85" s="11" t="n">
        <v>165.89</v>
      </c>
      <c r="G85" t="inlineStr"/>
      <c r="I85" t="inlineStr">
        <is>
          <t>TN</t>
        </is>
      </c>
      <c r="J85" t="inlineStr"/>
      <c r="K85" t="inlineStr">
        <is>
          <t>20220629</t>
        </is>
      </c>
      <c r="L85" t="inlineStr">
        <is>
          <t>20240710</t>
        </is>
      </c>
    </row>
    <row r="86">
      <c r="A86" t="inlineStr">
        <is>
          <t>900004612</t>
        </is>
      </c>
      <c r="B86" t="inlineStr">
        <is>
          <t>DW55</t>
        </is>
      </c>
      <c r="C86" t="inlineStr">
        <is>
          <t>D309</t>
        </is>
      </c>
      <c r="D86" t="inlineStr">
        <is>
          <t>10000541</t>
        </is>
      </c>
      <c r="E86" t="inlineStr"/>
      <c r="F86" s="11" t="n">
        <v>84.81</v>
      </c>
      <c r="G86" t="inlineStr"/>
      <c r="I86" t="inlineStr">
        <is>
          <t>TN</t>
        </is>
      </c>
      <c r="J86" t="inlineStr"/>
      <c r="K86" t="inlineStr">
        <is>
          <t>20220629</t>
        </is>
      </c>
      <c r="L86" t="inlineStr">
        <is>
          <t>20240710</t>
        </is>
      </c>
    </row>
    <row r="87">
      <c r="A87" t="inlineStr">
        <is>
          <t>900004612</t>
        </is>
      </c>
      <c r="B87" t="inlineStr">
        <is>
          <t>DW55</t>
        </is>
      </c>
      <c r="C87" t="inlineStr">
        <is>
          <t>D309</t>
        </is>
      </c>
      <c r="D87" t="inlineStr">
        <is>
          <t>10000826</t>
        </is>
      </c>
      <c r="E87" t="inlineStr"/>
      <c r="F87" s="11" t="n">
        <v>165.52</v>
      </c>
      <c r="G87" t="inlineStr"/>
      <c r="I87" t="inlineStr">
        <is>
          <t>TN</t>
        </is>
      </c>
      <c r="J87" t="inlineStr"/>
      <c r="K87" t="inlineStr">
        <is>
          <t>20220629</t>
        </is>
      </c>
      <c r="L87" t="inlineStr">
        <is>
          <t>20240710</t>
        </is>
      </c>
    </row>
    <row r="88">
      <c r="A88" t="inlineStr">
        <is>
          <t>900004612</t>
        </is>
      </c>
      <c r="B88" t="inlineStr">
        <is>
          <t>DW55</t>
        </is>
      </c>
      <c r="C88" t="inlineStr">
        <is>
          <t>D325</t>
        </is>
      </c>
      <c r="D88" t="inlineStr">
        <is>
          <t>10000541</t>
        </is>
      </c>
      <c r="E88" t="inlineStr"/>
      <c r="F88" s="11" t="n">
        <v>84.81999999999999</v>
      </c>
      <c r="G88" t="inlineStr"/>
      <c r="I88" t="inlineStr">
        <is>
          <t>TN</t>
        </is>
      </c>
      <c r="J88" t="inlineStr"/>
      <c r="K88" t="inlineStr">
        <is>
          <t>20220629</t>
        </is>
      </c>
      <c r="L88" t="inlineStr">
        <is>
          <t>20240710</t>
        </is>
      </c>
    </row>
    <row r="89">
      <c r="A89" t="inlineStr">
        <is>
          <t>900004612</t>
        </is>
      </c>
      <c r="B89" t="inlineStr">
        <is>
          <t>DW55</t>
        </is>
      </c>
      <c r="C89" t="inlineStr">
        <is>
          <t>D342</t>
        </is>
      </c>
      <c r="D89" t="inlineStr">
        <is>
          <t>10000178</t>
        </is>
      </c>
      <c r="E89" t="inlineStr"/>
      <c r="F89" s="11" t="n">
        <v>165.89</v>
      </c>
      <c r="G89" t="inlineStr"/>
      <c r="I89" t="inlineStr">
        <is>
          <t>TN</t>
        </is>
      </c>
      <c r="J89" t="inlineStr"/>
      <c r="K89" t="inlineStr">
        <is>
          <t>20220629</t>
        </is>
      </c>
      <c r="L89" t="inlineStr">
        <is>
          <t>20240710</t>
        </is>
      </c>
    </row>
    <row r="90">
      <c r="A90" t="inlineStr">
        <is>
          <t>900004612</t>
        </is>
      </c>
      <c r="B90" t="inlineStr">
        <is>
          <t>DW55</t>
        </is>
      </c>
      <c r="C90" t="inlineStr">
        <is>
          <t>D342</t>
        </is>
      </c>
      <c r="D90" t="inlineStr">
        <is>
          <t>10000541</t>
        </is>
      </c>
      <c r="E90" t="inlineStr"/>
      <c r="F90" s="11" t="n">
        <v>84.81</v>
      </c>
      <c r="G90" t="inlineStr"/>
      <c r="I90" t="inlineStr">
        <is>
          <t>TN</t>
        </is>
      </c>
      <c r="J90" t="inlineStr"/>
      <c r="K90" t="inlineStr">
        <is>
          <t>20220629</t>
        </is>
      </c>
      <c r="L90" t="inlineStr">
        <is>
          <t>20240710</t>
        </is>
      </c>
    </row>
    <row r="91">
      <c r="A91" t="inlineStr">
        <is>
          <t>900004612</t>
        </is>
      </c>
      <c r="B91" t="inlineStr">
        <is>
          <t>DW55</t>
        </is>
      </c>
      <c r="C91" t="inlineStr">
        <is>
          <t>D342</t>
        </is>
      </c>
      <c r="D91" t="inlineStr">
        <is>
          <t>10000826</t>
        </is>
      </c>
      <c r="E91" t="inlineStr"/>
      <c r="F91" s="11" t="n">
        <v>165.52</v>
      </c>
      <c r="G91" t="inlineStr"/>
      <c r="I91" t="inlineStr">
        <is>
          <t>TN</t>
        </is>
      </c>
      <c r="J91" t="inlineStr"/>
      <c r="K91" t="inlineStr">
        <is>
          <t>20220629</t>
        </is>
      </c>
      <c r="L91" t="inlineStr">
        <is>
          <t>20240710</t>
        </is>
      </c>
    </row>
    <row r="92">
      <c r="A92" t="inlineStr">
        <is>
          <t>900004612</t>
        </is>
      </c>
      <c r="B92" t="inlineStr">
        <is>
          <t>DW55</t>
        </is>
      </c>
      <c r="C92" t="inlineStr">
        <is>
          <t>D348</t>
        </is>
      </c>
      <c r="D92" t="inlineStr">
        <is>
          <t>10000541</t>
        </is>
      </c>
      <c r="E92" t="inlineStr"/>
      <c r="F92" s="11" t="n">
        <v>84.81999999999999</v>
      </c>
      <c r="G92" t="inlineStr"/>
      <c r="I92" t="inlineStr">
        <is>
          <t>TN</t>
        </is>
      </c>
      <c r="J92" t="inlineStr"/>
      <c r="K92" t="inlineStr">
        <is>
          <t>20220629</t>
        </is>
      </c>
      <c r="L92" t="inlineStr">
        <is>
          <t>20240710</t>
        </is>
      </c>
    </row>
    <row r="93">
      <c r="A93" t="inlineStr">
        <is>
          <t>900004612</t>
        </is>
      </c>
      <c r="B93" t="inlineStr">
        <is>
          <t>DW55</t>
        </is>
      </c>
      <c r="C93" t="inlineStr">
        <is>
          <t>ER67</t>
        </is>
      </c>
      <c r="D93" t="inlineStr">
        <is>
          <t>10000541</t>
        </is>
      </c>
      <c r="E93" t="inlineStr"/>
      <c r="F93" s="11" t="n">
        <v>89.29000000000001</v>
      </c>
      <c r="G93" t="inlineStr"/>
      <c r="I93" t="inlineStr">
        <is>
          <t>TN</t>
        </is>
      </c>
      <c r="J93" t="inlineStr"/>
      <c r="K93" t="inlineStr">
        <is>
          <t>20220504</t>
        </is>
      </c>
      <c r="L93" t="inlineStr">
        <is>
          <t>20230127</t>
        </is>
      </c>
    </row>
    <row r="94">
      <c r="A94" t="inlineStr">
        <is>
          <t>900004612</t>
        </is>
      </c>
      <c r="B94" t="inlineStr">
        <is>
          <t>DW55</t>
        </is>
      </c>
      <c r="C94" t="inlineStr">
        <is>
          <t>ER67</t>
        </is>
      </c>
      <c r="D94" t="inlineStr">
        <is>
          <t>10000826</t>
        </is>
      </c>
      <c r="E94" t="inlineStr"/>
      <c r="F94" s="11" t="n">
        <v>165.52</v>
      </c>
      <c r="G94" t="inlineStr"/>
      <c r="I94" t="inlineStr">
        <is>
          <t>TN</t>
        </is>
      </c>
      <c r="J94" t="inlineStr"/>
      <c r="K94" t="inlineStr">
        <is>
          <t>20220504</t>
        </is>
      </c>
      <c r="L94" t="inlineStr">
        <is>
          <t>20230127</t>
        </is>
      </c>
    </row>
    <row r="95">
      <c r="A95" t="inlineStr">
        <is>
          <t>900005010</t>
        </is>
      </c>
      <c r="B95" t="inlineStr">
        <is>
          <t>DW55</t>
        </is>
      </c>
      <c r="C95" t="inlineStr">
        <is>
          <t>D325</t>
        </is>
      </c>
      <c r="D95" t="inlineStr">
        <is>
          <t>10000372</t>
        </is>
      </c>
      <c r="E95" t="inlineStr"/>
      <c r="F95" s="11" t="n">
        <v>124.31</v>
      </c>
      <c r="G95" t="inlineStr"/>
      <c r="I95" t="inlineStr">
        <is>
          <t>TN</t>
        </is>
      </c>
      <c r="J95" t="inlineStr"/>
      <c r="K95" t="inlineStr">
        <is>
          <t>20220516</t>
        </is>
      </c>
      <c r="L95" t="inlineStr">
        <is>
          <t>20240320</t>
        </is>
      </c>
    </row>
    <row r="96">
      <c r="A96" t="inlineStr">
        <is>
          <t>900005010</t>
        </is>
      </c>
      <c r="B96" t="inlineStr">
        <is>
          <t>DW55</t>
        </is>
      </c>
      <c r="C96" t="inlineStr">
        <is>
          <t>D325</t>
        </is>
      </c>
      <c r="D96" t="inlineStr">
        <is>
          <t>10106911</t>
        </is>
      </c>
      <c r="E96" t="inlineStr"/>
      <c r="F96" s="11" t="n">
        <v>150.18</v>
      </c>
      <c r="G96" t="inlineStr"/>
      <c r="I96" t="inlineStr">
        <is>
          <t>TN</t>
        </is>
      </c>
      <c r="J96" t="inlineStr"/>
      <c r="K96" t="inlineStr">
        <is>
          <t>20220516</t>
        </is>
      </c>
      <c r="L96" t="inlineStr">
        <is>
          <t>20240320</t>
        </is>
      </c>
    </row>
    <row r="97">
      <c r="A97" t="inlineStr">
        <is>
          <t>900005010</t>
        </is>
      </c>
      <c r="B97" t="inlineStr">
        <is>
          <t>DW55</t>
        </is>
      </c>
      <c r="C97" t="inlineStr">
        <is>
          <t>ER68</t>
        </is>
      </c>
      <c r="D97" t="inlineStr">
        <is>
          <t>10000372</t>
        </is>
      </c>
      <c r="E97" t="inlineStr"/>
      <c r="F97" s="11" t="n">
        <v>124.31</v>
      </c>
      <c r="G97" t="inlineStr"/>
      <c r="I97" t="inlineStr">
        <is>
          <t>TN</t>
        </is>
      </c>
      <c r="J97" t="inlineStr"/>
      <c r="K97" t="inlineStr">
        <is>
          <t>20220516</t>
        </is>
      </c>
      <c r="L97" t="inlineStr">
        <is>
          <t>20240320</t>
        </is>
      </c>
    </row>
    <row r="98">
      <c r="A98" t="inlineStr">
        <is>
          <t>900005011</t>
        </is>
      </c>
      <c r="B98" t="inlineStr">
        <is>
          <t>DW55</t>
        </is>
      </c>
      <c r="C98" t="inlineStr">
        <is>
          <t>D325</t>
        </is>
      </c>
      <c r="D98" t="inlineStr">
        <is>
          <t>10000372</t>
        </is>
      </c>
      <c r="E98" t="inlineStr"/>
      <c r="F98" s="11" t="n">
        <v>124.31</v>
      </c>
      <c r="G98" t="inlineStr"/>
      <c r="I98" t="inlineStr">
        <is>
          <t>TN</t>
        </is>
      </c>
      <c r="J98" t="inlineStr"/>
      <c r="K98" t="inlineStr">
        <is>
          <t>20220504</t>
        </is>
      </c>
      <c r="L98" t="inlineStr">
        <is>
          <t>99991231</t>
        </is>
      </c>
    </row>
    <row r="99">
      <c r="A99" t="inlineStr">
        <is>
          <t>900005011</t>
        </is>
      </c>
      <c r="B99" t="inlineStr">
        <is>
          <t>DW55</t>
        </is>
      </c>
      <c r="C99" t="inlineStr">
        <is>
          <t>D325</t>
        </is>
      </c>
      <c r="D99" t="inlineStr">
        <is>
          <t>10000673</t>
        </is>
      </c>
      <c r="E99" t="inlineStr"/>
      <c r="F99" s="11" t="n">
        <v>604.34</v>
      </c>
      <c r="G99" t="inlineStr"/>
      <c r="I99" t="inlineStr">
        <is>
          <t>TN</t>
        </is>
      </c>
      <c r="J99" t="inlineStr"/>
      <c r="K99" t="inlineStr">
        <is>
          <t>20220516</t>
        </is>
      </c>
      <c r="L99" t="inlineStr">
        <is>
          <t>20240930</t>
        </is>
      </c>
    </row>
    <row r="100">
      <c r="A100" t="inlineStr">
        <is>
          <t>900005011</t>
        </is>
      </c>
      <c r="B100" t="inlineStr">
        <is>
          <t>DW55</t>
        </is>
      </c>
      <c r="C100" t="inlineStr">
        <is>
          <t>D325</t>
        </is>
      </c>
      <c r="D100" t="inlineStr">
        <is>
          <t>10023592</t>
        </is>
      </c>
      <c r="E100" t="inlineStr"/>
      <c r="F100" s="11" t="n">
        <v>111.67</v>
      </c>
      <c r="G100" t="inlineStr"/>
      <c r="I100" t="inlineStr">
        <is>
          <t>TN</t>
        </is>
      </c>
      <c r="J100" t="inlineStr"/>
      <c r="K100" t="inlineStr">
        <is>
          <t>20220504</t>
        </is>
      </c>
      <c r="L100" t="inlineStr">
        <is>
          <t>99991231</t>
        </is>
      </c>
    </row>
    <row r="101">
      <c r="A101" t="inlineStr">
        <is>
          <t>900005011</t>
        </is>
      </c>
      <c r="B101" t="inlineStr">
        <is>
          <t>DW55</t>
        </is>
      </c>
      <c r="C101" t="inlineStr">
        <is>
          <t>D325</t>
        </is>
      </c>
      <c r="D101" t="inlineStr">
        <is>
          <t>10106911</t>
        </is>
      </c>
      <c r="E101" t="inlineStr"/>
      <c r="F101" s="11" t="n">
        <v>176.41</v>
      </c>
      <c r="G101" t="inlineStr"/>
      <c r="I101" t="inlineStr">
        <is>
          <t>TN</t>
        </is>
      </c>
      <c r="J101" t="inlineStr"/>
      <c r="K101" t="inlineStr">
        <is>
          <t>20220516</t>
        </is>
      </c>
      <c r="L101" t="inlineStr">
        <is>
          <t>20240930</t>
        </is>
      </c>
    </row>
    <row r="102">
      <c r="A102" t="inlineStr">
        <is>
          <t>900005011</t>
        </is>
      </c>
      <c r="B102" t="inlineStr">
        <is>
          <t>DW55</t>
        </is>
      </c>
      <c r="C102" t="inlineStr">
        <is>
          <t>D348</t>
        </is>
      </c>
      <c r="D102" t="inlineStr">
        <is>
          <t>10000372</t>
        </is>
      </c>
      <c r="E102" t="inlineStr"/>
      <c r="F102" s="11" t="n">
        <v>124.31</v>
      </c>
      <c r="G102" t="inlineStr"/>
      <c r="I102" t="inlineStr">
        <is>
          <t>TN</t>
        </is>
      </c>
      <c r="J102" t="inlineStr"/>
      <c r="K102" t="inlineStr">
        <is>
          <t>20250428</t>
        </is>
      </c>
      <c r="L102" t="inlineStr">
        <is>
          <t>20251031</t>
        </is>
      </c>
    </row>
    <row r="103">
      <c r="A103" t="inlineStr">
        <is>
          <t>900005011</t>
        </is>
      </c>
      <c r="B103" t="inlineStr">
        <is>
          <t>DW55</t>
        </is>
      </c>
      <c r="C103" t="inlineStr">
        <is>
          <t>D348</t>
        </is>
      </c>
      <c r="D103" t="inlineStr">
        <is>
          <t>10000373</t>
        </is>
      </c>
      <c r="E103" t="inlineStr"/>
      <c r="F103" s="11" t="n">
        <v>179.21</v>
      </c>
      <c r="G103" t="inlineStr"/>
      <c r="I103" t="inlineStr">
        <is>
          <t>TN</t>
        </is>
      </c>
      <c r="J103" t="inlineStr"/>
      <c r="K103" t="inlineStr">
        <is>
          <t>20240122</t>
        </is>
      </c>
      <c r="L103" t="inlineStr">
        <is>
          <t>20241015</t>
        </is>
      </c>
    </row>
    <row r="104">
      <c r="A104" t="inlineStr">
        <is>
          <t>900005011</t>
        </is>
      </c>
      <c r="B104" t="inlineStr">
        <is>
          <t>DW55</t>
        </is>
      </c>
      <c r="C104" t="inlineStr">
        <is>
          <t>D348</t>
        </is>
      </c>
      <c r="D104" t="inlineStr">
        <is>
          <t>10000673</t>
        </is>
      </c>
      <c r="E104" t="inlineStr"/>
      <c r="F104" s="11" t="n">
        <v>181.82</v>
      </c>
      <c r="G104" t="inlineStr"/>
      <c r="I104" t="inlineStr">
        <is>
          <t>TN</t>
        </is>
      </c>
      <c r="J104" t="inlineStr"/>
      <c r="K104" t="inlineStr">
        <is>
          <t>20220516</t>
        </is>
      </c>
      <c r="L104" t="inlineStr">
        <is>
          <t>20240930</t>
        </is>
      </c>
    </row>
    <row r="105">
      <c r="A105" t="inlineStr">
        <is>
          <t>900005011</t>
        </is>
      </c>
      <c r="B105" t="inlineStr">
        <is>
          <t>DW55</t>
        </is>
      </c>
      <c r="C105" t="inlineStr">
        <is>
          <t>ER67</t>
        </is>
      </c>
      <c r="D105" t="inlineStr">
        <is>
          <t>10000372</t>
        </is>
      </c>
      <c r="E105" t="inlineStr"/>
      <c r="F105" s="11" t="n">
        <v>124.31</v>
      </c>
      <c r="G105" t="inlineStr"/>
      <c r="I105" t="inlineStr">
        <is>
          <t>TN</t>
        </is>
      </c>
      <c r="J105" t="inlineStr"/>
      <c r="K105" t="inlineStr">
        <is>
          <t>20220504</t>
        </is>
      </c>
      <c r="L105" t="inlineStr">
        <is>
          <t>20230127</t>
        </is>
      </c>
    </row>
    <row r="106">
      <c r="A106" t="inlineStr">
        <is>
          <t>900005011</t>
        </is>
      </c>
      <c r="B106" t="inlineStr">
        <is>
          <t>DW55</t>
        </is>
      </c>
      <c r="C106" t="inlineStr">
        <is>
          <t>ER68</t>
        </is>
      </c>
      <c r="D106" t="inlineStr">
        <is>
          <t>10000372</t>
        </is>
      </c>
      <c r="E106" t="inlineStr"/>
      <c r="F106" s="11" t="n">
        <v>124.31</v>
      </c>
      <c r="G106" t="inlineStr"/>
      <c r="I106" t="inlineStr">
        <is>
          <t>TN</t>
        </is>
      </c>
      <c r="J106" t="inlineStr"/>
      <c r="K106" t="inlineStr">
        <is>
          <t>20220516</t>
        </is>
      </c>
      <c r="L106" t="inlineStr">
        <is>
          <t>20240320</t>
        </is>
      </c>
    </row>
    <row r="107">
      <c r="A107" t="inlineStr">
        <is>
          <t>900005417</t>
        </is>
      </c>
      <c r="B107" t="inlineStr">
        <is>
          <t>DW55</t>
        </is>
      </c>
      <c r="C107" t="inlineStr">
        <is>
          <t>D284</t>
        </is>
      </c>
      <c r="D107" t="inlineStr">
        <is>
          <t>10000834</t>
        </is>
      </c>
      <c r="E107" t="inlineStr"/>
      <c r="F107" s="11" t="n">
        <v>38.49</v>
      </c>
      <c r="G107" t="inlineStr"/>
      <c r="I107" t="inlineStr">
        <is>
          <t>TN</t>
        </is>
      </c>
      <c r="J107" t="inlineStr"/>
      <c r="K107" t="inlineStr">
        <is>
          <t>20220516</t>
        </is>
      </c>
      <c r="L107" t="inlineStr">
        <is>
          <t>20240710</t>
        </is>
      </c>
    </row>
    <row r="108">
      <c r="A108" t="inlineStr">
        <is>
          <t>900005417</t>
        </is>
      </c>
      <c r="B108" t="inlineStr">
        <is>
          <t>DW55</t>
        </is>
      </c>
      <c r="C108" t="inlineStr">
        <is>
          <t>D309</t>
        </is>
      </c>
      <c r="D108" t="inlineStr">
        <is>
          <t>10000834</t>
        </is>
      </c>
      <c r="E108" t="inlineStr"/>
      <c r="F108" s="11" t="n">
        <v>38.49</v>
      </c>
      <c r="G108" t="inlineStr"/>
      <c r="I108" t="inlineStr">
        <is>
          <t>TN</t>
        </is>
      </c>
      <c r="J108" t="inlineStr"/>
      <c r="K108" t="inlineStr">
        <is>
          <t>20220516</t>
        </is>
      </c>
      <c r="L108" t="inlineStr">
        <is>
          <t>20240710</t>
        </is>
      </c>
    </row>
    <row r="109">
      <c r="A109" t="inlineStr">
        <is>
          <t>900005417</t>
        </is>
      </c>
      <c r="B109" t="inlineStr">
        <is>
          <t>DW55</t>
        </is>
      </c>
      <c r="C109" t="inlineStr">
        <is>
          <t>D342</t>
        </is>
      </c>
      <c r="D109" t="inlineStr">
        <is>
          <t>10000834</t>
        </is>
      </c>
      <c r="E109" t="inlineStr"/>
      <c r="F109" s="11" t="n">
        <v>38.49</v>
      </c>
      <c r="G109" t="inlineStr"/>
      <c r="I109" t="inlineStr">
        <is>
          <t>TN</t>
        </is>
      </c>
      <c r="J109" t="inlineStr"/>
      <c r="K109" t="inlineStr">
        <is>
          <t>20220516</t>
        </is>
      </c>
      <c r="L109" t="inlineStr">
        <is>
          <t>20240710</t>
        </is>
      </c>
    </row>
    <row r="110">
      <c r="A110" t="inlineStr">
        <is>
          <t>900005417</t>
        </is>
      </c>
      <c r="B110" t="inlineStr">
        <is>
          <t>DW55</t>
        </is>
      </c>
      <c r="C110" t="inlineStr">
        <is>
          <t>D348</t>
        </is>
      </c>
      <c r="D110" t="inlineStr">
        <is>
          <t>10000834</t>
        </is>
      </c>
      <c r="E110" t="inlineStr"/>
      <c r="F110" s="11" t="n">
        <v>38.49</v>
      </c>
      <c r="G110" t="inlineStr"/>
      <c r="I110" t="inlineStr">
        <is>
          <t>TN</t>
        </is>
      </c>
      <c r="J110" t="inlineStr"/>
      <c r="K110" t="inlineStr">
        <is>
          <t>20220516</t>
        </is>
      </c>
      <c r="L110" t="inlineStr">
        <is>
          <t>20240710</t>
        </is>
      </c>
    </row>
    <row r="111">
      <c r="A111" t="inlineStr">
        <is>
          <t>900005887</t>
        </is>
      </c>
      <c r="B111" t="inlineStr">
        <is>
          <t>DW55</t>
        </is>
      </c>
      <c r="C111" t="inlineStr">
        <is>
          <t>D284</t>
        </is>
      </c>
      <c r="D111" t="inlineStr">
        <is>
          <t>10000561</t>
        </is>
      </c>
      <c r="E111" t="inlineStr"/>
      <c r="F111" s="11" t="n">
        <v>129.37</v>
      </c>
      <c r="G111" t="inlineStr"/>
      <c r="I111" t="inlineStr">
        <is>
          <t>TN</t>
        </is>
      </c>
      <c r="J111" t="inlineStr"/>
      <c r="K111" t="inlineStr">
        <is>
          <t>20240122</t>
        </is>
      </c>
      <c r="L111" t="inlineStr">
        <is>
          <t>20241015</t>
        </is>
      </c>
    </row>
    <row r="112">
      <c r="A112" t="inlineStr">
        <is>
          <t>900005887</t>
        </is>
      </c>
      <c r="B112" t="inlineStr">
        <is>
          <t>DW55</t>
        </is>
      </c>
      <c r="C112" t="inlineStr">
        <is>
          <t>D342</t>
        </is>
      </c>
      <c r="D112" t="inlineStr">
        <is>
          <t>10000561</t>
        </is>
      </c>
      <c r="E112" t="inlineStr"/>
      <c r="F112" s="11" t="n">
        <v>129.37</v>
      </c>
      <c r="G112" t="inlineStr"/>
      <c r="I112" t="inlineStr">
        <is>
          <t>TN</t>
        </is>
      </c>
      <c r="J112" t="inlineStr"/>
      <c r="K112" t="inlineStr">
        <is>
          <t>20240122</t>
        </is>
      </c>
      <c r="L112" t="inlineStr">
        <is>
          <t>20241015</t>
        </is>
      </c>
    </row>
    <row r="113">
      <c r="A113" t="inlineStr">
        <is>
          <t>900005887</t>
        </is>
      </c>
      <c r="B113" t="inlineStr">
        <is>
          <t>DW55</t>
        </is>
      </c>
      <c r="C113" t="inlineStr">
        <is>
          <t>ER67</t>
        </is>
      </c>
      <c r="D113" t="inlineStr">
        <is>
          <t>10189800</t>
        </is>
      </c>
      <c r="E113" t="inlineStr"/>
      <c r="F113" s="11" t="n">
        <v>184.62</v>
      </c>
      <c r="G113" t="inlineStr"/>
      <c r="I113" t="inlineStr">
        <is>
          <t>TN</t>
        </is>
      </c>
      <c r="J113" t="inlineStr"/>
      <c r="K113" t="inlineStr">
        <is>
          <t>20220504</t>
        </is>
      </c>
      <c r="L113" t="inlineStr">
        <is>
          <t>20230127</t>
        </is>
      </c>
    </row>
    <row r="114">
      <c r="A114" t="inlineStr">
        <is>
          <t>900005887</t>
        </is>
      </c>
      <c r="B114" t="inlineStr">
        <is>
          <t>DW55</t>
        </is>
      </c>
      <c r="C114" t="inlineStr">
        <is>
          <t>ER68</t>
        </is>
      </c>
      <c r="D114" t="inlineStr">
        <is>
          <t>10189800</t>
        </is>
      </c>
      <c r="E114" t="inlineStr"/>
      <c r="F114" s="11" t="n">
        <v>253.85</v>
      </c>
      <c r="G114" t="inlineStr"/>
      <c r="I114" t="inlineStr">
        <is>
          <t>TN</t>
        </is>
      </c>
      <c r="J114" t="inlineStr"/>
      <c r="K114" t="inlineStr">
        <is>
          <t>20240122</t>
        </is>
      </c>
      <c r="L114" t="inlineStr">
        <is>
          <t>20241015</t>
        </is>
      </c>
    </row>
    <row r="115">
      <c r="A115" t="inlineStr">
        <is>
          <t>900005920</t>
        </is>
      </c>
      <c r="B115" t="inlineStr">
        <is>
          <t>DW55</t>
        </is>
      </c>
      <c r="C115" t="inlineStr">
        <is>
          <t>ER67</t>
        </is>
      </c>
      <c r="D115" t="inlineStr">
        <is>
          <t>10003240</t>
        </is>
      </c>
      <c r="E115" t="inlineStr"/>
      <c r="F115" s="11" t="n">
        <v>179.68</v>
      </c>
      <c r="G115" t="inlineStr"/>
      <c r="I115" t="inlineStr">
        <is>
          <t>TN</t>
        </is>
      </c>
      <c r="J115" t="inlineStr"/>
      <c r="K115" t="inlineStr">
        <is>
          <t>20220504</t>
        </is>
      </c>
      <c r="L115" t="inlineStr">
        <is>
          <t>20230127</t>
        </is>
      </c>
    </row>
    <row r="116">
      <c r="A116" t="inlineStr">
        <is>
          <t>900006300</t>
        </is>
      </c>
      <c r="B116" t="inlineStr">
        <is>
          <t>DW55</t>
        </is>
      </c>
      <c r="C116" t="inlineStr">
        <is>
          <t>ER68</t>
        </is>
      </c>
      <c r="D116" t="inlineStr">
        <is>
          <t>10210260</t>
        </is>
      </c>
      <c r="E116" t="inlineStr"/>
      <c r="F116" s="11" t="n">
        <v>201.21</v>
      </c>
      <c r="G116" t="inlineStr"/>
      <c r="I116" t="inlineStr">
        <is>
          <t>TN</t>
        </is>
      </c>
      <c r="J116" t="inlineStr"/>
      <c r="K116" t="inlineStr">
        <is>
          <t>20240122</t>
        </is>
      </c>
      <c r="L116" t="inlineStr">
        <is>
          <t>20241015</t>
        </is>
      </c>
    </row>
    <row r="117">
      <c r="A117" t="inlineStr">
        <is>
          <t>900006304</t>
        </is>
      </c>
      <c r="B117" t="inlineStr">
        <is>
          <t>DW55</t>
        </is>
      </c>
      <c r="C117" t="inlineStr">
        <is>
          <t>D284</t>
        </is>
      </c>
      <c r="D117" t="inlineStr">
        <is>
          <t>10079650</t>
        </is>
      </c>
      <c r="E117" t="inlineStr"/>
      <c r="F117" s="11" t="n">
        <v>37.64</v>
      </c>
      <c r="G117" t="inlineStr"/>
      <c r="I117" t="inlineStr">
        <is>
          <t>TN</t>
        </is>
      </c>
      <c r="J117" t="inlineStr"/>
      <c r="K117" t="inlineStr">
        <is>
          <t>20240122</t>
        </is>
      </c>
      <c r="L117" t="inlineStr">
        <is>
          <t>20241015</t>
        </is>
      </c>
    </row>
    <row r="118">
      <c r="A118" t="inlineStr">
        <is>
          <t>900006304</t>
        </is>
      </c>
      <c r="B118" t="inlineStr">
        <is>
          <t>DW55</t>
        </is>
      </c>
      <c r="C118" t="inlineStr">
        <is>
          <t>D309</t>
        </is>
      </c>
      <c r="D118" t="inlineStr">
        <is>
          <t>10079650</t>
        </is>
      </c>
      <c r="E118" t="inlineStr"/>
      <c r="F118" s="11" t="n">
        <v>37.64</v>
      </c>
      <c r="G118" t="inlineStr"/>
      <c r="I118" t="inlineStr">
        <is>
          <t>TN</t>
        </is>
      </c>
      <c r="J118" t="inlineStr"/>
      <c r="K118" t="inlineStr">
        <is>
          <t>20240122</t>
        </is>
      </c>
      <c r="L118" t="inlineStr">
        <is>
          <t>20241015</t>
        </is>
      </c>
    </row>
    <row r="119">
      <c r="A119" t="inlineStr">
        <is>
          <t>900006304</t>
        </is>
      </c>
      <c r="B119" t="inlineStr">
        <is>
          <t>DW55</t>
        </is>
      </c>
      <c r="C119" t="inlineStr">
        <is>
          <t>D325</t>
        </is>
      </c>
      <c r="D119" t="inlineStr">
        <is>
          <t>10079650</t>
        </is>
      </c>
      <c r="E119" t="inlineStr"/>
      <c r="F119" s="11" t="n">
        <v>37.64</v>
      </c>
      <c r="G119" t="inlineStr"/>
      <c r="I119" t="inlineStr">
        <is>
          <t>TN</t>
        </is>
      </c>
      <c r="J119" t="inlineStr"/>
      <c r="K119" t="inlineStr">
        <is>
          <t>20240122</t>
        </is>
      </c>
      <c r="L119" t="inlineStr">
        <is>
          <t>20241015</t>
        </is>
      </c>
    </row>
    <row r="120">
      <c r="A120" t="inlineStr">
        <is>
          <t>900006304</t>
        </is>
      </c>
      <c r="B120" t="inlineStr">
        <is>
          <t>DW55</t>
        </is>
      </c>
      <c r="C120" t="inlineStr">
        <is>
          <t>D342</t>
        </is>
      </c>
      <c r="D120" t="inlineStr">
        <is>
          <t>10079650</t>
        </is>
      </c>
      <c r="E120" t="inlineStr"/>
      <c r="F120" s="11" t="n">
        <v>37.64</v>
      </c>
      <c r="G120" t="inlineStr"/>
      <c r="I120" t="inlineStr">
        <is>
          <t>TN</t>
        </is>
      </c>
      <c r="J120" t="inlineStr"/>
      <c r="K120" t="inlineStr">
        <is>
          <t>20240122</t>
        </is>
      </c>
      <c r="L120" t="inlineStr">
        <is>
          <t>20241015</t>
        </is>
      </c>
    </row>
    <row r="121">
      <c r="A121" t="inlineStr">
        <is>
          <t>900006304</t>
        </is>
      </c>
      <c r="B121" t="inlineStr">
        <is>
          <t>DW55</t>
        </is>
      </c>
      <c r="C121" t="inlineStr">
        <is>
          <t>D348</t>
        </is>
      </c>
      <c r="D121" t="inlineStr">
        <is>
          <t>10079650</t>
        </is>
      </c>
      <c r="E121" t="inlineStr"/>
      <c r="F121" s="11" t="n">
        <v>37.64</v>
      </c>
      <c r="G121" t="inlineStr"/>
      <c r="I121" t="inlineStr">
        <is>
          <t>TN</t>
        </is>
      </c>
      <c r="J121" t="inlineStr"/>
      <c r="K121" t="inlineStr">
        <is>
          <t>20240122</t>
        </is>
      </c>
      <c r="L121" t="inlineStr">
        <is>
          <t>20241015</t>
        </is>
      </c>
    </row>
    <row r="122">
      <c r="A122" t="inlineStr">
        <is>
          <t>900006320</t>
        </is>
      </c>
      <c r="B122" t="inlineStr">
        <is>
          <t>DW55</t>
        </is>
      </c>
      <c r="C122" t="inlineStr">
        <is>
          <t>ER67</t>
        </is>
      </c>
      <c r="D122" t="inlineStr">
        <is>
          <t>10210260</t>
        </is>
      </c>
      <c r="E122" t="inlineStr"/>
      <c r="F122" s="11" t="n">
        <v>201.21</v>
      </c>
      <c r="G122" t="inlineStr"/>
      <c r="I122" t="inlineStr">
        <is>
          <t>TN</t>
        </is>
      </c>
      <c r="J122" t="inlineStr"/>
      <c r="K122" t="inlineStr">
        <is>
          <t>20220504</t>
        </is>
      </c>
      <c r="L122" t="inlineStr">
        <is>
          <t>20230127</t>
        </is>
      </c>
    </row>
    <row r="123">
      <c r="A123" t="inlineStr">
        <is>
          <t>900006320</t>
        </is>
      </c>
      <c r="B123" t="inlineStr">
        <is>
          <t>DW55</t>
        </is>
      </c>
      <c r="C123" t="inlineStr">
        <is>
          <t>ER68</t>
        </is>
      </c>
      <c r="D123" t="inlineStr">
        <is>
          <t>10210260</t>
        </is>
      </c>
      <c r="E123" t="inlineStr"/>
      <c r="F123" s="11" t="n">
        <v>201.21</v>
      </c>
      <c r="G123" t="inlineStr"/>
      <c r="I123" t="inlineStr">
        <is>
          <t>TN</t>
        </is>
      </c>
      <c r="J123" t="inlineStr"/>
      <c r="K123" t="inlineStr">
        <is>
          <t>20240122</t>
        </is>
      </c>
      <c r="L123" t="inlineStr">
        <is>
          <t>20241015</t>
        </is>
      </c>
    </row>
    <row r="124">
      <c r="A124" t="inlineStr">
        <is>
          <t>900006383</t>
        </is>
      </c>
      <c r="B124" t="inlineStr">
        <is>
          <t>DW55</t>
        </is>
      </c>
      <c r="C124" t="inlineStr">
        <is>
          <t>D284</t>
        </is>
      </c>
      <c r="D124" t="inlineStr">
        <is>
          <t>10000452</t>
        </is>
      </c>
      <c r="E124" t="inlineStr"/>
      <c r="F124" s="11" t="n">
        <v>184.17</v>
      </c>
      <c r="G124" t="inlineStr"/>
      <c r="I124" t="inlineStr">
        <is>
          <t>TN</t>
        </is>
      </c>
      <c r="J124" t="inlineStr"/>
      <c r="K124" t="inlineStr">
        <is>
          <t>20220504</t>
        </is>
      </c>
      <c r="L124" t="inlineStr">
        <is>
          <t>20230127</t>
        </is>
      </c>
    </row>
    <row r="125">
      <c r="A125" t="inlineStr">
        <is>
          <t>900006383</t>
        </is>
      </c>
      <c r="B125" t="inlineStr">
        <is>
          <t>DW55</t>
        </is>
      </c>
      <c r="C125" t="inlineStr">
        <is>
          <t>D309</t>
        </is>
      </c>
      <c r="D125" t="inlineStr">
        <is>
          <t>10000452</t>
        </is>
      </c>
      <c r="E125" t="inlineStr"/>
      <c r="F125" s="11" t="n">
        <v>184.17</v>
      </c>
      <c r="G125" t="inlineStr"/>
      <c r="I125" t="inlineStr">
        <is>
          <t>TN</t>
        </is>
      </c>
      <c r="J125" t="inlineStr"/>
      <c r="K125" t="inlineStr">
        <is>
          <t>20220504</t>
        </is>
      </c>
      <c r="L125" t="inlineStr">
        <is>
          <t>20230127</t>
        </is>
      </c>
    </row>
    <row r="126">
      <c r="A126" t="inlineStr">
        <is>
          <t>900006419</t>
        </is>
      </c>
      <c r="B126" t="inlineStr">
        <is>
          <t>DW55</t>
        </is>
      </c>
      <c r="C126" t="inlineStr">
        <is>
          <t>D284</t>
        </is>
      </c>
      <c r="D126" t="inlineStr">
        <is>
          <t>10000372</t>
        </is>
      </c>
      <c r="E126" t="inlineStr"/>
      <c r="F126" s="11" t="n">
        <v>186.46</v>
      </c>
      <c r="G126" t="inlineStr"/>
      <c r="I126" t="inlineStr">
        <is>
          <t>TN</t>
        </is>
      </c>
      <c r="J126" t="inlineStr"/>
      <c r="K126" t="inlineStr">
        <is>
          <t>20230111</t>
        </is>
      </c>
      <c r="L126" t="inlineStr">
        <is>
          <t>20230608</t>
        </is>
      </c>
    </row>
    <row r="127">
      <c r="A127" t="inlineStr">
        <is>
          <t>900006419</t>
        </is>
      </c>
      <c r="B127" t="inlineStr">
        <is>
          <t>DW55</t>
        </is>
      </c>
      <c r="C127" t="inlineStr">
        <is>
          <t>D284</t>
        </is>
      </c>
      <c r="D127" t="inlineStr">
        <is>
          <t>10000373</t>
        </is>
      </c>
      <c r="E127" t="inlineStr"/>
      <c r="F127" s="11" t="n">
        <v>218.64</v>
      </c>
      <c r="G127" t="inlineStr"/>
      <c r="I127" t="inlineStr">
        <is>
          <t>TN</t>
        </is>
      </c>
      <c r="J127" t="inlineStr"/>
      <c r="K127" t="inlineStr">
        <is>
          <t>20230111</t>
        </is>
      </c>
      <c r="L127" t="inlineStr">
        <is>
          <t>20230608</t>
        </is>
      </c>
    </row>
    <row r="128">
      <c r="A128" t="inlineStr">
        <is>
          <t>900006419</t>
        </is>
      </c>
      <c r="B128" t="inlineStr">
        <is>
          <t>DW55</t>
        </is>
      </c>
      <c r="C128" t="inlineStr">
        <is>
          <t>D284</t>
        </is>
      </c>
      <c r="D128" t="inlineStr">
        <is>
          <t>10000421</t>
        </is>
      </c>
      <c r="E128" t="inlineStr"/>
      <c r="F128" s="11" t="n">
        <v>163.1</v>
      </c>
      <c r="G128" t="inlineStr"/>
      <c r="I128" t="inlineStr">
        <is>
          <t>TN</t>
        </is>
      </c>
      <c r="J128" t="inlineStr"/>
      <c r="K128" t="inlineStr">
        <is>
          <t>20230111</t>
        </is>
      </c>
      <c r="L128" t="inlineStr">
        <is>
          <t>20230608</t>
        </is>
      </c>
    </row>
    <row r="129">
      <c r="A129" t="inlineStr">
        <is>
          <t>900006419</t>
        </is>
      </c>
      <c r="B129" t="inlineStr">
        <is>
          <t>DW55</t>
        </is>
      </c>
      <c r="C129" t="inlineStr">
        <is>
          <t>D309</t>
        </is>
      </c>
      <c r="D129" t="inlineStr">
        <is>
          <t>10000372</t>
        </is>
      </c>
      <c r="E129" t="inlineStr"/>
      <c r="F129" s="11" t="n">
        <v>186.46</v>
      </c>
      <c r="G129" t="inlineStr"/>
      <c r="I129" t="inlineStr">
        <is>
          <t>TN</t>
        </is>
      </c>
      <c r="J129" t="inlineStr"/>
      <c r="K129" t="inlineStr">
        <is>
          <t>20230111</t>
        </is>
      </c>
      <c r="L129" t="inlineStr">
        <is>
          <t>20230608</t>
        </is>
      </c>
    </row>
    <row r="130">
      <c r="A130" t="inlineStr">
        <is>
          <t>900006419</t>
        </is>
      </c>
      <c r="B130" t="inlineStr">
        <is>
          <t>DW55</t>
        </is>
      </c>
      <c r="C130" t="inlineStr">
        <is>
          <t>D309</t>
        </is>
      </c>
      <c r="D130" t="inlineStr">
        <is>
          <t>10000373</t>
        </is>
      </c>
      <c r="E130" t="inlineStr"/>
      <c r="F130" s="11" t="n">
        <v>218.64</v>
      </c>
      <c r="G130" t="inlineStr"/>
      <c r="I130" t="inlineStr">
        <is>
          <t>TN</t>
        </is>
      </c>
      <c r="J130" t="inlineStr"/>
      <c r="K130" t="inlineStr">
        <is>
          <t>20230111</t>
        </is>
      </c>
      <c r="L130" t="inlineStr">
        <is>
          <t>20230608</t>
        </is>
      </c>
    </row>
    <row r="131">
      <c r="A131" t="inlineStr">
        <is>
          <t>900006419</t>
        </is>
      </c>
      <c r="B131" t="inlineStr">
        <is>
          <t>DW55</t>
        </is>
      </c>
      <c r="C131" t="inlineStr">
        <is>
          <t>D309</t>
        </is>
      </c>
      <c r="D131" t="inlineStr">
        <is>
          <t>10000421</t>
        </is>
      </c>
      <c r="E131" t="inlineStr"/>
      <c r="F131" s="11" t="n">
        <v>163.1</v>
      </c>
      <c r="G131" t="inlineStr"/>
      <c r="I131" t="inlineStr">
        <is>
          <t>TN</t>
        </is>
      </c>
      <c r="J131" t="inlineStr"/>
      <c r="K131" t="inlineStr">
        <is>
          <t>20230111</t>
        </is>
      </c>
      <c r="L131" t="inlineStr">
        <is>
          <t>20230608</t>
        </is>
      </c>
    </row>
    <row r="132">
      <c r="A132" t="inlineStr">
        <is>
          <t>900006419</t>
        </is>
      </c>
      <c r="B132" t="inlineStr">
        <is>
          <t>DW55</t>
        </is>
      </c>
      <c r="C132" t="inlineStr">
        <is>
          <t>D342</t>
        </is>
      </c>
      <c r="D132" t="inlineStr">
        <is>
          <t>10000372</t>
        </is>
      </c>
      <c r="E132" t="inlineStr"/>
      <c r="F132" s="11" t="n">
        <v>186.46</v>
      </c>
      <c r="G132" t="inlineStr"/>
      <c r="I132" t="inlineStr">
        <is>
          <t>TN</t>
        </is>
      </c>
      <c r="J132" t="inlineStr"/>
      <c r="K132" t="inlineStr">
        <is>
          <t>20230111</t>
        </is>
      </c>
      <c r="L132" t="inlineStr">
        <is>
          <t>20230608</t>
        </is>
      </c>
    </row>
    <row r="133">
      <c r="A133" t="inlineStr">
        <is>
          <t>900006419</t>
        </is>
      </c>
      <c r="B133" t="inlineStr">
        <is>
          <t>DW55</t>
        </is>
      </c>
      <c r="C133" t="inlineStr">
        <is>
          <t>D342</t>
        </is>
      </c>
      <c r="D133" t="inlineStr">
        <is>
          <t>10000373</t>
        </is>
      </c>
      <c r="E133" t="inlineStr"/>
      <c r="F133" s="11" t="n">
        <v>218.64</v>
      </c>
      <c r="G133" t="inlineStr"/>
      <c r="I133" t="inlineStr">
        <is>
          <t>TN</t>
        </is>
      </c>
      <c r="J133" t="inlineStr"/>
      <c r="K133" t="inlineStr">
        <is>
          <t>20230111</t>
        </is>
      </c>
      <c r="L133" t="inlineStr">
        <is>
          <t>20230608</t>
        </is>
      </c>
    </row>
    <row r="134">
      <c r="A134" t="inlineStr">
        <is>
          <t>900006419</t>
        </is>
      </c>
      <c r="B134" t="inlineStr">
        <is>
          <t>DW55</t>
        </is>
      </c>
      <c r="C134" t="inlineStr">
        <is>
          <t>D342</t>
        </is>
      </c>
      <c r="D134" t="inlineStr">
        <is>
          <t>10000421</t>
        </is>
      </c>
      <c r="E134" t="inlineStr"/>
      <c r="F134" s="11" t="n">
        <v>163.1</v>
      </c>
      <c r="G134" t="inlineStr"/>
      <c r="I134" t="inlineStr">
        <is>
          <t>TN</t>
        </is>
      </c>
      <c r="J134" t="inlineStr"/>
      <c r="K134" t="inlineStr">
        <is>
          <t>20230111</t>
        </is>
      </c>
      <c r="L134" t="inlineStr">
        <is>
          <t>20230608</t>
        </is>
      </c>
    </row>
    <row r="135">
      <c r="A135" t="inlineStr">
        <is>
          <t>900006419</t>
        </is>
      </c>
      <c r="B135" t="inlineStr">
        <is>
          <t>DW55</t>
        </is>
      </c>
      <c r="C135" t="inlineStr">
        <is>
          <t>D348</t>
        </is>
      </c>
      <c r="D135" t="inlineStr">
        <is>
          <t>10000372</t>
        </is>
      </c>
      <c r="E135" t="inlineStr"/>
      <c r="F135" s="11" t="n">
        <v>184.65</v>
      </c>
      <c r="G135" t="inlineStr"/>
      <c r="I135" t="inlineStr">
        <is>
          <t>TN</t>
        </is>
      </c>
      <c r="J135" t="inlineStr"/>
      <c r="K135" t="inlineStr">
        <is>
          <t>20230111</t>
        </is>
      </c>
      <c r="L135" t="inlineStr">
        <is>
          <t>20230608</t>
        </is>
      </c>
    </row>
    <row r="136">
      <c r="A136" t="inlineStr">
        <is>
          <t>900006419</t>
        </is>
      </c>
      <c r="B136" t="inlineStr">
        <is>
          <t>DW55</t>
        </is>
      </c>
      <c r="C136" t="inlineStr">
        <is>
          <t>D348</t>
        </is>
      </c>
      <c r="D136" t="inlineStr">
        <is>
          <t>10000373</t>
        </is>
      </c>
      <c r="E136" t="inlineStr"/>
      <c r="F136" s="11" t="n">
        <v>218.64</v>
      </c>
      <c r="G136" t="inlineStr"/>
      <c r="I136" t="inlineStr">
        <is>
          <t>TN</t>
        </is>
      </c>
      <c r="J136" t="inlineStr"/>
      <c r="K136" t="inlineStr">
        <is>
          <t>20230111</t>
        </is>
      </c>
      <c r="L136" t="inlineStr">
        <is>
          <t>20230608</t>
        </is>
      </c>
    </row>
    <row r="137">
      <c r="A137" t="inlineStr">
        <is>
          <t>900006419</t>
        </is>
      </c>
      <c r="B137" t="inlineStr">
        <is>
          <t>DW55</t>
        </is>
      </c>
      <c r="C137" t="inlineStr">
        <is>
          <t>D348</t>
        </is>
      </c>
      <c r="D137" t="inlineStr">
        <is>
          <t>10000421</t>
        </is>
      </c>
      <c r="E137" t="inlineStr"/>
      <c r="F137" s="11" t="n">
        <v>163.1</v>
      </c>
      <c r="G137" t="inlineStr"/>
      <c r="I137" t="inlineStr">
        <is>
          <t>TN</t>
        </is>
      </c>
      <c r="J137" t="inlineStr"/>
      <c r="K137" t="inlineStr">
        <is>
          <t>20230111</t>
        </is>
      </c>
      <c r="L137" t="inlineStr">
        <is>
          <t>20230608</t>
        </is>
      </c>
    </row>
    <row r="138">
      <c r="A138" t="inlineStr">
        <is>
          <t>900006419</t>
        </is>
      </c>
      <c r="B138" t="inlineStr">
        <is>
          <t>DW55</t>
        </is>
      </c>
      <c r="C138" t="inlineStr">
        <is>
          <t>ER67</t>
        </is>
      </c>
      <c r="D138" t="inlineStr">
        <is>
          <t>10210260</t>
        </is>
      </c>
      <c r="E138" t="inlineStr"/>
      <c r="F138" s="11" t="n">
        <v>201.21</v>
      </c>
      <c r="G138" t="inlineStr"/>
      <c r="I138" t="inlineStr">
        <is>
          <t>TN</t>
        </is>
      </c>
      <c r="J138" t="inlineStr"/>
      <c r="K138" t="inlineStr">
        <is>
          <t>20220504</t>
        </is>
      </c>
      <c r="L138" t="inlineStr">
        <is>
          <t>20230127</t>
        </is>
      </c>
    </row>
    <row r="139">
      <c r="A139" t="inlineStr">
        <is>
          <t>900006419</t>
        </is>
      </c>
      <c r="B139" t="inlineStr">
        <is>
          <t>DW55</t>
        </is>
      </c>
      <c r="C139" t="inlineStr">
        <is>
          <t>ER68</t>
        </is>
      </c>
      <c r="D139" t="inlineStr">
        <is>
          <t>10210260</t>
        </is>
      </c>
      <c r="E139" t="inlineStr"/>
      <c r="F139" s="11" t="n">
        <v>201.21</v>
      </c>
      <c r="G139" t="inlineStr"/>
      <c r="I139" t="inlineStr">
        <is>
          <t>TN</t>
        </is>
      </c>
      <c r="J139" t="inlineStr"/>
      <c r="K139" t="inlineStr">
        <is>
          <t>20230111</t>
        </is>
      </c>
      <c r="L139" t="inlineStr">
        <is>
          <t>20230608</t>
        </is>
      </c>
    </row>
    <row r="140">
      <c r="A140" t="inlineStr">
        <is>
          <t>900006566</t>
        </is>
      </c>
      <c r="B140" t="inlineStr">
        <is>
          <t>DW55</t>
        </is>
      </c>
      <c r="C140" t="inlineStr">
        <is>
          <t>D284</t>
        </is>
      </c>
      <c r="D140" t="inlineStr">
        <is>
          <t>10000834</t>
        </is>
      </c>
      <c r="E140" t="inlineStr"/>
      <c r="F140" s="11" t="n">
        <v>38.04</v>
      </c>
      <c r="G140" t="inlineStr"/>
      <c r="I140" t="inlineStr">
        <is>
          <t>TN</t>
        </is>
      </c>
      <c r="J140" t="inlineStr"/>
      <c r="K140" t="inlineStr">
        <is>
          <t>20240122</t>
        </is>
      </c>
      <c r="L140" t="inlineStr">
        <is>
          <t>20241015</t>
        </is>
      </c>
    </row>
    <row r="141">
      <c r="A141" t="inlineStr">
        <is>
          <t>900006566</t>
        </is>
      </c>
      <c r="B141" t="inlineStr">
        <is>
          <t>DW55</t>
        </is>
      </c>
      <c r="C141" t="inlineStr">
        <is>
          <t>D284</t>
        </is>
      </c>
      <c r="D141" t="inlineStr">
        <is>
          <t>10214752</t>
        </is>
      </c>
      <c r="E141" t="inlineStr"/>
      <c r="F141" s="11" t="n">
        <v>36.91</v>
      </c>
      <c r="G141" t="inlineStr"/>
      <c r="I141" t="inlineStr">
        <is>
          <t>TN</t>
        </is>
      </c>
      <c r="J141" t="inlineStr"/>
      <c r="K141" t="inlineStr">
        <is>
          <t>20240122</t>
        </is>
      </c>
      <c r="L141" t="inlineStr">
        <is>
          <t>20241015</t>
        </is>
      </c>
    </row>
    <row r="142">
      <c r="A142" t="inlineStr">
        <is>
          <t>900006566</t>
        </is>
      </c>
      <c r="B142" t="inlineStr">
        <is>
          <t>DW55</t>
        </is>
      </c>
      <c r="C142" t="inlineStr">
        <is>
          <t>D309</t>
        </is>
      </c>
      <c r="D142" t="inlineStr">
        <is>
          <t>10000834</t>
        </is>
      </c>
      <c r="E142" t="inlineStr"/>
      <c r="F142" s="11" t="n">
        <v>38.04</v>
      </c>
      <c r="G142" t="inlineStr"/>
      <c r="I142" t="inlineStr">
        <is>
          <t>TN</t>
        </is>
      </c>
      <c r="J142" t="inlineStr"/>
      <c r="K142" t="inlineStr">
        <is>
          <t>20240122</t>
        </is>
      </c>
      <c r="L142" t="inlineStr">
        <is>
          <t>20241015</t>
        </is>
      </c>
    </row>
    <row r="143">
      <c r="A143" t="inlineStr">
        <is>
          <t>900006566</t>
        </is>
      </c>
      <c r="B143" t="inlineStr">
        <is>
          <t>DW55</t>
        </is>
      </c>
      <c r="C143" t="inlineStr">
        <is>
          <t>D309</t>
        </is>
      </c>
      <c r="D143" t="inlineStr">
        <is>
          <t>10214752</t>
        </is>
      </c>
      <c r="E143" t="inlineStr"/>
      <c r="F143" s="11" t="n">
        <v>36.91</v>
      </c>
      <c r="G143" t="inlineStr"/>
      <c r="I143" t="inlineStr">
        <is>
          <t>TN</t>
        </is>
      </c>
      <c r="J143" t="inlineStr"/>
      <c r="K143" t="inlineStr">
        <is>
          <t>20240122</t>
        </is>
      </c>
      <c r="L143" t="inlineStr">
        <is>
          <t>20241015</t>
        </is>
      </c>
    </row>
    <row r="144">
      <c r="A144" t="inlineStr">
        <is>
          <t>900006566</t>
        </is>
      </c>
      <c r="B144" t="inlineStr">
        <is>
          <t>DW55</t>
        </is>
      </c>
      <c r="C144" t="inlineStr">
        <is>
          <t>D325</t>
        </is>
      </c>
      <c r="D144" t="inlineStr">
        <is>
          <t>10000834</t>
        </is>
      </c>
      <c r="E144" t="inlineStr"/>
      <c r="F144" s="11" t="n">
        <v>38.04</v>
      </c>
      <c r="G144" t="inlineStr"/>
      <c r="I144" t="inlineStr">
        <is>
          <t>TN</t>
        </is>
      </c>
      <c r="J144" t="inlineStr"/>
      <c r="K144" t="inlineStr">
        <is>
          <t>20240122</t>
        </is>
      </c>
      <c r="L144" t="inlineStr">
        <is>
          <t>20241015</t>
        </is>
      </c>
    </row>
    <row r="145">
      <c r="A145" t="inlineStr">
        <is>
          <t>900006566</t>
        </is>
      </c>
      <c r="B145" t="inlineStr">
        <is>
          <t>DW55</t>
        </is>
      </c>
      <c r="C145" t="inlineStr">
        <is>
          <t>D325</t>
        </is>
      </c>
      <c r="D145" t="inlineStr">
        <is>
          <t>10214752</t>
        </is>
      </c>
      <c r="E145" t="inlineStr"/>
      <c r="F145" s="11" t="n">
        <v>36.91</v>
      </c>
      <c r="G145" t="inlineStr"/>
      <c r="I145" t="inlineStr">
        <is>
          <t>TN</t>
        </is>
      </c>
      <c r="J145" t="inlineStr"/>
      <c r="K145" t="inlineStr">
        <is>
          <t>20240122</t>
        </is>
      </c>
      <c r="L145" t="inlineStr">
        <is>
          <t>20241015</t>
        </is>
      </c>
    </row>
    <row r="146">
      <c r="A146" t="inlineStr">
        <is>
          <t>900006566</t>
        </is>
      </c>
      <c r="B146" t="inlineStr">
        <is>
          <t>DW55</t>
        </is>
      </c>
      <c r="C146" t="inlineStr">
        <is>
          <t>D342</t>
        </is>
      </c>
      <c r="D146" t="inlineStr">
        <is>
          <t>10000834</t>
        </is>
      </c>
      <c r="E146" t="inlineStr"/>
      <c r="F146" s="11" t="n">
        <v>38.04</v>
      </c>
      <c r="G146" t="inlineStr"/>
      <c r="I146" t="inlineStr">
        <is>
          <t>TN</t>
        </is>
      </c>
      <c r="J146" t="inlineStr"/>
      <c r="K146" t="inlineStr">
        <is>
          <t>20240122</t>
        </is>
      </c>
      <c r="L146" t="inlineStr">
        <is>
          <t>20241015</t>
        </is>
      </c>
    </row>
    <row r="147">
      <c r="A147" t="inlineStr">
        <is>
          <t>900006566</t>
        </is>
      </c>
      <c r="B147" t="inlineStr">
        <is>
          <t>DW55</t>
        </is>
      </c>
      <c r="C147" t="inlineStr">
        <is>
          <t>D342</t>
        </is>
      </c>
      <c r="D147" t="inlineStr">
        <is>
          <t>10214752</t>
        </is>
      </c>
      <c r="E147" t="inlineStr"/>
      <c r="F147" s="11" t="n">
        <v>36.91</v>
      </c>
      <c r="G147" t="inlineStr"/>
      <c r="I147" t="inlineStr">
        <is>
          <t>TN</t>
        </is>
      </c>
      <c r="J147" t="inlineStr"/>
      <c r="K147" t="inlineStr">
        <is>
          <t>20240122</t>
        </is>
      </c>
      <c r="L147" t="inlineStr">
        <is>
          <t>20241015</t>
        </is>
      </c>
    </row>
    <row r="148">
      <c r="A148" t="inlineStr">
        <is>
          <t>900006566</t>
        </is>
      </c>
      <c r="B148" t="inlineStr">
        <is>
          <t>DW55</t>
        </is>
      </c>
      <c r="C148" t="inlineStr">
        <is>
          <t>D348</t>
        </is>
      </c>
      <c r="D148" t="inlineStr">
        <is>
          <t>10000834</t>
        </is>
      </c>
      <c r="E148" t="inlineStr"/>
      <c r="F148" s="11" t="n">
        <v>38.04</v>
      </c>
      <c r="G148" t="inlineStr"/>
      <c r="I148" t="inlineStr">
        <is>
          <t>TN</t>
        </is>
      </c>
      <c r="J148" t="inlineStr"/>
      <c r="K148" t="inlineStr">
        <is>
          <t>20240122</t>
        </is>
      </c>
      <c r="L148" t="inlineStr">
        <is>
          <t>20241015</t>
        </is>
      </c>
    </row>
    <row r="149">
      <c r="A149" t="inlineStr">
        <is>
          <t>900006566</t>
        </is>
      </c>
      <c r="B149" t="inlineStr">
        <is>
          <t>DW55</t>
        </is>
      </c>
      <c r="C149" t="inlineStr">
        <is>
          <t>D348</t>
        </is>
      </c>
      <c r="D149" t="inlineStr">
        <is>
          <t>10214752</t>
        </is>
      </c>
      <c r="E149" t="inlineStr"/>
      <c r="F149" s="11" t="n">
        <v>36.91</v>
      </c>
      <c r="G149" t="inlineStr"/>
      <c r="I149" t="inlineStr">
        <is>
          <t>TN</t>
        </is>
      </c>
      <c r="J149" t="inlineStr"/>
      <c r="K149" t="inlineStr">
        <is>
          <t>20240122</t>
        </is>
      </c>
      <c r="L149" t="inlineStr">
        <is>
          <t>20241015</t>
        </is>
      </c>
    </row>
    <row r="150">
      <c r="A150" t="inlineStr">
        <is>
          <t>900006566</t>
        </is>
      </c>
      <c r="B150" t="inlineStr">
        <is>
          <t>DW55</t>
        </is>
      </c>
      <c r="C150" t="inlineStr">
        <is>
          <t>ER67</t>
        </is>
      </c>
      <c r="D150" t="inlineStr">
        <is>
          <t>10000834</t>
        </is>
      </c>
      <c r="E150" t="inlineStr"/>
      <c r="F150" s="11" t="n">
        <v>36.8</v>
      </c>
      <c r="G150" t="inlineStr"/>
      <c r="I150" t="inlineStr">
        <is>
          <t>TN</t>
        </is>
      </c>
      <c r="J150" t="inlineStr"/>
      <c r="K150" t="inlineStr">
        <is>
          <t>20220504</t>
        </is>
      </c>
      <c r="L150" t="inlineStr">
        <is>
          <t>20230127</t>
        </is>
      </c>
    </row>
    <row r="151">
      <c r="A151" t="inlineStr">
        <is>
          <t>900006567</t>
        </is>
      </c>
      <c r="B151" t="inlineStr">
        <is>
          <t>DW55</t>
        </is>
      </c>
      <c r="C151" t="inlineStr">
        <is>
          <t>D284</t>
        </is>
      </c>
      <c r="D151" t="inlineStr">
        <is>
          <t>10214752</t>
        </is>
      </c>
      <c r="E151" t="inlineStr"/>
      <c r="F151" s="11" t="n">
        <v>46.98</v>
      </c>
      <c r="G151" t="inlineStr"/>
      <c r="I151" t="inlineStr">
        <is>
          <t>TN</t>
        </is>
      </c>
      <c r="J151" t="inlineStr"/>
      <c r="K151" t="inlineStr">
        <is>
          <t>20240122</t>
        </is>
      </c>
      <c r="L151" t="inlineStr">
        <is>
          <t>20241015</t>
        </is>
      </c>
    </row>
    <row r="152">
      <c r="A152" t="inlineStr">
        <is>
          <t>900006567</t>
        </is>
      </c>
      <c r="B152" t="inlineStr">
        <is>
          <t>DW55</t>
        </is>
      </c>
      <c r="C152" t="inlineStr">
        <is>
          <t>D309</t>
        </is>
      </c>
      <c r="D152" t="inlineStr">
        <is>
          <t>10000834</t>
        </is>
      </c>
      <c r="E152" t="inlineStr"/>
      <c r="F152" s="11" t="n">
        <v>42.17</v>
      </c>
      <c r="G152" t="inlineStr"/>
      <c r="I152" t="inlineStr">
        <is>
          <t>TN</t>
        </is>
      </c>
      <c r="J152" t="inlineStr"/>
      <c r="K152" t="inlineStr">
        <is>
          <t>20240122</t>
        </is>
      </c>
      <c r="L152" t="inlineStr">
        <is>
          <t>20241015</t>
        </is>
      </c>
    </row>
    <row r="153">
      <c r="A153" t="inlineStr">
        <is>
          <t>900006567</t>
        </is>
      </c>
      <c r="B153" t="inlineStr">
        <is>
          <t>DW55</t>
        </is>
      </c>
      <c r="C153" t="inlineStr">
        <is>
          <t>D309</t>
        </is>
      </c>
      <c r="D153" t="inlineStr">
        <is>
          <t>10214752</t>
        </is>
      </c>
      <c r="E153" t="inlineStr"/>
      <c r="F153" s="11" t="n">
        <v>34.23</v>
      </c>
      <c r="G153" t="inlineStr"/>
      <c r="I153" t="inlineStr">
        <is>
          <t>TN</t>
        </is>
      </c>
      <c r="J153" t="inlineStr"/>
      <c r="K153" t="inlineStr">
        <is>
          <t>20240122</t>
        </is>
      </c>
      <c r="L153" t="inlineStr">
        <is>
          <t>20241015</t>
        </is>
      </c>
    </row>
    <row r="154">
      <c r="A154" t="inlineStr">
        <is>
          <t>900006567</t>
        </is>
      </c>
      <c r="B154" t="inlineStr">
        <is>
          <t>DW55</t>
        </is>
      </c>
      <c r="C154" t="inlineStr">
        <is>
          <t>D342</t>
        </is>
      </c>
      <c r="D154" t="inlineStr">
        <is>
          <t>10000834</t>
        </is>
      </c>
      <c r="E154" t="inlineStr"/>
      <c r="F154" s="11" t="n">
        <v>42.17</v>
      </c>
      <c r="G154" t="inlineStr"/>
      <c r="I154" t="inlineStr">
        <is>
          <t>TN</t>
        </is>
      </c>
      <c r="J154" t="inlineStr"/>
      <c r="K154" t="inlineStr">
        <is>
          <t>20240122</t>
        </is>
      </c>
      <c r="L154" t="inlineStr">
        <is>
          <t>20241015</t>
        </is>
      </c>
    </row>
    <row r="155">
      <c r="A155" t="inlineStr">
        <is>
          <t>900006567</t>
        </is>
      </c>
      <c r="B155" t="inlineStr">
        <is>
          <t>DW55</t>
        </is>
      </c>
      <c r="C155" t="inlineStr">
        <is>
          <t>D342</t>
        </is>
      </c>
      <c r="D155" t="inlineStr">
        <is>
          <t>10214752</t>
        </is>
      </c>
      <c r="E155" t="inlineStr"/>
      <c r="F155" s="11" t="n">
        <v>34.23</v>
      </c>
      <c r="G155" t="inlineStr"/>
      <c r="I155" t="inlineStr">
        <is>
          <t>TN</t>
        </is>
      </c>
      <c r="J155" t="inlineStr"/>
      <c r="K155" t="inlineStr">
        <is>
          <t>20240122</t>
        </is>
      </c>
      <c r="L155" t="inlineStr">
        <is>
          <t>20241015</t>
        </is>
      </c>
    </row>
    <row r="156">
      <c r="A156" t="inlineStr">
        <is>
          <t>900006567</t>
        </is>
      </c>
      <c r="B156" t="inlineStr">
        <is>
          <t>DW55</t>
        </is>
      </c>
      <c r="C156" t="inlineStr">
        <is>
          <t>ER67</t>
        </is>
      </c>
      <c r="D156" t="inlineStr">
        <is>
          <t>10000834</t>
        </is>
      </c>
      <c r="E156" t="inlineStr"/>
      <c r="F156" s="11" t="n">
        <v>38.04</v>
      </c>
      <c r="G156" t="inlineStr"/>
      <c r="I156" t="inlineStr">
        <is>
          <t>TN</t>
        </is>
      </c>
      <c r="J156" t="inlineStr"/>
      <c r="K156" t="inlineStr">
        <is>
          <t>20220504</t>
        </is>
      </c>
      <c r="L156" t="inlineStr">
        <is>
          <t>20230127</t>
        </is>
      </c>
    </row>
    <row r="157">
      <c r="A157" t="inlineStr">
        <is>
          <t>900006567</t>
        </is>
      </c>
      <c r="B157" t="inlineStr">
        <is>
          <t>DW55</t>
        </is>
      </c>
      <c r="C157" t="inlineStr">
        <is>
          <t>ER67</t>
        </is>
      </c>
      <c r="D157" t="inlineStr">
        <is>
          <t>10210039</t>
        </is>
      </c>
      <c r="E157" t="inlineStr"/>
      <c r="F157" s="11" t="n">
        <v>30.98</v>
      </c>
      <c r="G157" t="inlineStr"/>
      <c r="I157" t="inlineStr">
        <is>
          <t>TN</t>
        </is>
      </c>
      <c r="J157" t="inlineStr"/>
      <c r="K157" t="inlineStr">
        <is>
          <t>20220504</t>
        </is>
      </c>
      <c r="L157" t="inlineStr">
        <is>
          <t>20230127</t>
        </is>
      </c>
    </row>
    <row r="158">
      <c r="A158" t="inlineStr">
        <is>
          <t>900006567</t>
        </is>
      </c>
      <c r="B158" t="inlineStr">
        <is>
          <t>DW55</t>
        </is>
      </c>
      <c r="C158" t="inlineStr">
        <is>
          <t>ER68</t>
        </is>
      </c>
      <c r="D158" t="inlineStr">
        <is>
          <t>10210039</t>
        </is>
      </c>
      <c r="E158" t="inlineStr"/>
      <c r="F158" s="11" t="n">
        <v>30.98</v>
      </c>
      <c r="G158" t="inlineStr"/>
      <c r="I158" t="inlineStr">
        <is>
          <t>TN</t>
        </is>
      </c>
      <c r="J158" t="inlineStr"/>
      <c r="K158" t="inlineStr">
        <is>
          <t>20240122</t>
        </is>
      </c>
      <c r="L158" t="inlineStr">
        <is>
          <t>20241015</t>
        </is>
      </c>
    </row>
    <row r="159">
      <c r="A159" t="inlineStr">
        <is>
          <t>900006703</t>
        </is>
      </c>
      <c r="B159" t="inlineStr">
        <is>
          <t>DW55</t>
        </is>
      </c>
      <c r="C159" t="inlineStr">
        <is>
          <t>D284</t>
        </is>
      </c>
      <c r="D159" t="inlineStr">
        <is>
          <t>10000372</t>
        </is>
      </c>
      <c r="E159" t="inlineStr"/>
      <c r="F159" s="11" t="n">
        <v>169.03</v>
      </c>
      <c r="G159" t="inlineStr"/>
      <c r="I159" t="inlineStr">
        <is>
          <t>TN</t>
        </is>
      </c>
      <c r="J159" t="inlineStr"/>
      <c r="K159" t="inlineStr">
        <is>
          <t>20240122</t>
        </is>
      </c>
      <c r="L159" t="inlineStr">
        <is>
          <t>20241015</t>
        </is>
      </c>
    </row>
    <row r="160">
      <c r="A160" t="inlineStr">
        <is>
          <t>900006703</t>
        </is>
      </c>
      <c r="B160" t="inlineStr">
        <is>
          <t>DW55</t>
        </is>
      </c>
      <c r="C160" t="inlineStr">
        <is>
          <t>D309</t>
        </is>
      </c>
      <c r="D160" t="inlineStr">
        <is>
          <t>10000372</t>
        </is>
      </c>
      <c r="E160" t="inlineStr"/>
      <c r="F160" s="11" t="n">
        <v>169.03</v>
      </c>
      <c r="G160" t="inlineStr"/>
      <c r="I160" t="inlineStr">
        <is>
          <t>TN</t>
        </is>
      </c>
      <c r="J160" t="inlineStr"/>
      <c r="K160" t="inlineStr">
        <is>
          <t>20240122</t>
        </is>
      </c>
      <c r="L160" t="inlineStr">
        <is>
          <t>20241015</t>
        </is>
      </c>
    </row>
    <row r="161">
      <c r="A161" t="inlineStr">
        <is>
          <t>900006703</t>
        </is>
      </c>
      <c r="B161" t="inlineStr">
        <is>
          <t>DW55</t>
        </is>
      </c>
      <c r="C161" t="inlineStr">
        <is>
          <t>D325</t>
        </is>
      </c>
      <c r="D161" t="inlineStr">
        <is>
          <t>10000372</t>
        </is>
      </c>
      <c r="E161" t="inlineStr"/>
      <c r="F161" s="11" t="n">
        <v>145.03</v>
      </c>
      <c r="G161" t="inlineStr"/>
      <c r="I161" t="inlineStr">
        <is>
          <t>TN</t>
        </is>
      </c>
      <c r="J161" t="inlineStr"/>
      <c r="K161" t="inlineStr">
        <is>
          <t>20240122</t>
        </is>
      </c>
      <c r="L161" t="inlineStr">
        <is>
          <t>20241015</t>
        </is>
      </c>
    </row>
    <row r="162">
      <c r="A162" t="inlineStr">
        <is>
          <t>900006703</t>
        </is>
      </c>
      <c r="B162" t="inlineStr">
        <is>
          <t>DW55</t>
        </is>
      </c>
      <c r="C162" t="inlineStr">
        <is>
          <t>D325</t>
        </is>
      </c>
      <c r="D162" t="inlineStr">
        <is>
          <t>10000373</t>
        </is>
      </c>
      <c r="E162" t="inlineStr"/>
      <c r="F162" s="11" t="n">
        <v>344.09</v>
      </c>
      <c r="G162" t="inlineStr"/>
      <c r="I162" t="inlineStr">
        <is>
          <t>TN</t>
        </is>
      </c>
      <c r="J162" t="inlineStr"/>
      <c r="K162" t="inlineStr">
        <is>
          <t>20240122</t>
        </is>
      </c>
      <c r="L162" t="inlineStr">
        <is>
          <t>20241015</t>
        </is>
      </c>
    </row>
    <row r="163">
      <c r="A163" t="inlineStr">
        <is>
          <t>900006703</t>
        </is>
      </c>
      <c r="B163" t="inlineStr">
        <is>
          <t>DW55</t>
        </is>
      </c>
      <c r="C163" t="inlineStr">
        <is>
          <t>D342</t>
        </is>
      </c>
      <c r="D163" t="inlineStr">
        <is>
          <t>10000372</t>
        </is>
      </c>
      <c r="E163" t="inlineStr"/>
      <c r="F163" s="11" t="n">
        <v>169.03</v>
      </c>
      <c r="G163" t="inlineStr"/>
      <c r="I163" t="inlineStr">
        <is>
          <t>TN</t>
        </is>
      </c>
      <c r="J163" t="inlineStr"/>
      <c r="K163" t="inlineStr">
        <is>
          <t>20240122</t>
        </is>
      </c>
      <c r="L163" t="inlineStr">
        <is>
          <t>20241015</t>
        </is>
      </c>
    </row>
    <row r="164">
      <c r="A164" t="inlineStr">
        <is>
          <t>900006703</t>
        </is>
      </c>
      <c r="B164" t="inlineStr">
        <is>
          <t>DW55</t>
        </is>
      </c>
      <c r="C164" t="inlineStr">
        <is>
          <t>D348</t>
        </is>
      </c>
      <c r="D164" t="inlineStr">
        <is>
          <t>10000372</t>
        </is>
      </c>
      <c r="E164" t="inlineStr"/>
      <c r="F164" s="11" t="n">
        <v>145.03</v>
      </c>
      <c r="G164" t="inlineStr"/>
      <c r="I164" t="inlineStr">
        <is>
          <t>TN</t>
        </is>
      </c>
      <c r="J164" t="inlineStr"/>
      <c r="K164" t="inlineStr">
        <is>
          <t>20240122</t>
        </is>
      </c>
      <c r="L164" t="inlineStr">
        <is>
          <t>20241015</t>
        </is>
      </c>
    </row>
    <row r="165">
      <c r="A165" t="inlineStr">
        <is>
          <t>900006703</t>
        </is>
      </c>
      <c r="B165" t="inlineStr">
        <is>
          <t>DW55</t>
        </is>
      </c>
      <c r="C165" t="inlineStr">
        <is>
          <t>D348</t>
        </is>
      </c>
      <c r="D165" t="inlineStr">
        <is>
          <t>10000373</t>
        </is>
      </c>
      <c r="E165" t="inlineStr"/>
      <c r="F165" s="11" t="n">
        <v>344.09</v>
      </c>
      <c r="G165" t="inlineStr"/>
      <c r="I165" t="inlineStr">
        <is>
          <t>TN</t>
        </is>
      </c>
      <c r="J165" t="inlineStr"/>
      <c r="K165" t="inlineStr">
        <is>
          <t>20240122</t>
        </is>
      </c>
      <c r="L165" t="inlineStr">
        <is>
          <t>20241015</t>
        </is>
      </c>
    </row>
    <row r="166">
      <c r="A166" t="inlineStr">
        <is>
          <t>900006704</t>
        </is>
      </c>
      <c r="B166" t="inlineStr">
        <is>
          <t>DW55</t>
        </is>
      </c>
      <c r="C166" t="inlineStr">
        <is>
          <t>D284</t>
        </is>
      </c>
      <c r="D166" t="inlineStr">
        <is>
          <t>10147454</t>
        </is>
      </c>
      <c r="E166" t="inlineStr"/>
      <c r="F166" s="11" t="n">
        <v>160.67</v>
      </c>
      <c r="G166" t="inlineStr"/>
      <c r="I166" t="inlineStr">
        <is>
          <t>TN</t>
        </is>
      </c>
      <c r="J166" t="inlineStr"/>
      <c r="K166" t="inlineStr">
        <is>
          <t>20240122</t>
        </is>
      </c>
      <c r="L166" t="inlineStr">
        <is>
          <t>20241015</t>
        </is>
      </c>
    </row>
    <row r="167">
      <c r="A167" t="inlineStr">
        <is>
          <t>900006704</t>
        </is>
      </c>
      <c r="B167" t="inlineStr">
        <is>
          <t>DW55</t>
        </is>
      </c>
      <c r="C167" t="inlineStr">
        <is>
          <t>D309</t>
        </is>
      </c>
      <c r="D167" t="inlineStr">
        <is>
          <t>10147454</t>
        </is>
      </c>
      <c r="E167" t="inlineStr"/>
      <c r="F167" s="11" t="n">
        <v>134.96</v>
      </c>
      <c r="G167" t="inlineStr"/>
      <c r="I167" t="inlineStr">
        <is>
          <t>TN</t>
        </is>
      </c>
      <c r="J167" t="inlineStr"/>
      <c r="K167" t="inlineStr">
        <is>
          <t>20240122</t>
        </is>
      </c>
      <c r="L167" t="inlineStr">
        <is>
          <t>20241015</t>
        </is>
      </c>
    </row>
    <row r="168">
      <c r="A168" t="inlineStr">
        <is>
          <t>900006704</t>
        </is>
      </c>
      <c r="B168" t="inlineStr">
        <is>
          <t>DW55</t>
        </is>
      </c>
      <c r="C168" t="inlineStr">
        <is>
          <t>D342</t>
        </is>
      </c>
      <c r="D168" t="inlineStr">
        <is>
          <t>10147454</t>
        </is>
      </c>
      <c r="E168" t="inlineStr"/>
      <c r="F168" s="11" t="n">
        <v>134.96</v>
      </c>
      <c r="G168" t="inlineStr"/>
      <c r="I168" t="inlineStr">
        <is>
          <t>TN</t>
        </is>
      </c>
      <c r="J168" t="inlineStr"/>
      <c r="K168" t="inlineStr">
        <is>
          <t>20240122</t>
        </is>
      </c>
      <c r="L168" t="inlineStr">
        <is>
          <t>20241015</t>
        </is>
      </c>
    </row>
    <row r="169">
      <c r="A169" t="inlineStr">
        <is>
          <t>900006704</t>
        </is>
      </c>
      <c r="B169" t="inlineStr">
        <is>
          <t>DW55</t>
        </is>
      </c>
      <c r="C169" t="inlineStr">
        <is>
          <t>ER67</t>
        </is>
      </c>
      <c r="D169" t="inlineStr">
        <is>
          <t>10210260</t>
        </is>
      </c>
      <c r="E169" t="inlineStr"/>
      <c r="F169" s="11" t="n">
        <v>163.98</v>
      </c>
      <c r="G169" t="inlineStr"/>
      <c r="I169" t="inlineStr">
        <is>
          <t>TN</t>
        </is>
      </c>
      <c r="J169" t="inlineStr"/>
      <c r="K169" t="inlineStr">
        <is>
          <t>20220504</t>
        </is>
      </c>
      <c r="L169" t="inlineStr">
        <is>
          <t>20230127</t>
        </is>
      </c>
    </row>
    <row r="170">
      <c r="A170" t="inlineStr">
        <is>
          <t>900006731</t>
        </is>
      </c>
      <c r="B170" t="inlineStr">
        <is>
          <t>DW55</t>
        </is>
      </c>
      <c r="C170" t="inlineStr">
        <is>
          <t>ER67</t>
        </is>
      </c>
      <c r="D170" t="inlineStr">
        <is>
          <t>10123034</t>
        </is>
      </c>
      <c r="E170" t="inlineStr"/>
      <c r="F170" s="11" t="n">
        <v>55.11</v>
      </c>
      <c r="G170" t="inlineStr"/>
      <c r="I170" t="inlineStr">
        <is>
          <t>TN</t>
        </is>
      </c>
      <c r="J170" t="inlineStr"/>
      <c r="K170" t="inlineStr">
        <is>
          <t>20220504</t>
        </is>
      </c>
      <c r="L170" t="inlineStr">
        <is>
          <t>20230127</t>
        </is>
      </c>
    </row>
    <row r="171">
      <c r="A171" t="inlineStr">
        <is>
          <t>900006731</t>
        </is>
      </c>
      <c r="B171" t="inlineStr">
        <is>
          <t>DW55</t>
        </is>
      </c>
      <c r="C171" t="inlineStr">
        <is>
          <t>ER67</t>
        </is>
      </c>
      <c r="D171" t="inlineStr">
        <is>
          <t>10210260</t>
        </is>
      </c>
      <c r="E171" t="inlineStr"/>
      <c r="F171" s="11" t="n">
        <v>167.67</v>
      </c>
      <c r="G171" t="inlineStr"/>
      <c r="I171" t="inlineStr">
        <is>
          <t>TN</t>
        </is>
      </c>
      <c r="J171" t="inlineStr"/>
      <c r="K171" t="inlineStr">
        <is>
          <t>20220504</t>
        </is>
      </c>
      <c r="L171" t="inlineStr">
        <is>
          <t>20230127</t>
        </is>
      </c>
    </row>
    <row r="172">
      <c r="A172" t="inlineStr">
        <is>
          <t>900006731</t>
        </is>
      </c>
      <c r="B172" t="inlineStr">
        <is>
          <t>DW55</t>
        </is>
      </c>
      <c r="C172" t="inlineStr">
        <is>
          <t>ER67</t>
        </is>
      </c>
      <c r="D172" t="inlineStr">
        <is>
          <t>10210261</t>
        </is>
      </c>
      <c r="E172" t="inlineStr"/>
      <c r="F172" s="11" t="n">
        <v>53.51</v>
      </c>
      <c r="G172" t="inlineStr"/>
      <c r="I172" t="inlineStr">
        <is>
          <t>TN</t>
        </is>
      </c>
      <c r="J172" t="inlineStr"/>
      <c r="K172" t="inlineStr">
        <is>
          <t>20220504</t>
        </is>
      </c>
      <c r="L172" t="inlineStr">
        <is>
          <t>20230127</t>
        </is>
      </c>
    </row>
    <row r="173">
      <c r="A173" t="inlineStr">
        <is>
          <t>900006731</t>
        </is>
      </c>
      <c r="B173" t="inlineStr">
        <is>
          <t>DW55</t>
        </is>
      </c>
      <c r="C173" t="inlineStr">
        <is>
          <t>ER68</t>
        </is>
      </c>
      <c r="D173" t="inlineStr">
        <is>
          <t>10210260</t>
        </is>
      </c>
      <c r="E173" t="inlineStr"/>
      <c r="F173" s="11" t="n">
        <v>167.67</v>
      </c>
      <c r="G173" t="inlineStr"/>
      <c r="I173" t="inlineStr">
        <is>
          <t>TN</t>
        </is>
      </c>
      <c r="J173" t="inlineStr"/>
      <c r="K173" t="inlineStr">
        <is>
          <t>20220516</t>
        </is>
      </c>
      <c r="L173" t="inlineStr">
        <is>
          <t>20240320</t>
        </is>
      </c>
    </row>
    <row r="174">
      <c r="A174" t="inlineStr">
        <is>
          <t>900006731</t>
        </is>
      </c>
      <c r="B174" t="inlineStr">
        <is>
          <t>DW55</t>
        </is>
      </c>
      <c r="C174" t="inlineStr">
        <is>
          <t>ER68</t>
        </is>
      </c>
      <c r="D174" t="inlineStr">
        <is>
          <t>10210261</t>
        </is>
      </c>
      <c r="E174" t="inlineStr"/>
      <c r="F174" s="11" t="n">
        <v>53.51</v>
      </c>
      <c r="G174" t="inlineStr"/>
      <c r="I174" t="inlineStr">
        <is>
          <t>TN</t>
        </is>
      </c>
      <c r="J174" t="inlineStr"/>
      <c r="K174" t="inlineStr">
        <is>
          <t>20220516</t>
        </is>
      </c>
      <c r="L174" t="inlineStr">
        <is>
          <t>20240320</t>
        </is>
      </c>
    </row>
    <row r="175">
      <c r="A175" t="inlineStr">
        <is>
          <t>900006732</t>
        </is>
      </c>
      <c r="B175" t="inlineStr">
        <is>
          <t>DW55</t>
        </is>
      </c>
      <c r="C175" t="inlineStr">
        <is>
          <t>ER67</t>
        </is>
      </c>
      <c r="D175" t="inlineStr">
        <is>
          <t>10000372</t>
        </is>
      </c>
      <c r="E175" t="inlineStr"/>
      <c r="F175" s="11" t="n">
        <v>165.02</v>
      </c>
      <c r="G175" t="inlineStr"/>
      <c r="I175" t="inlineStr">
        <is>
          <t>TN</t>
        </is>
      </c>
      <c r="J175" t="inlineStr"/>
      <c r="K175" t="inlineStr">
        <is>
          <t>20220504</t>
        </is>
      </c>
      <c r="L175" t="inlineStr">
        <is>
          <t>20230127</t>
        </is>
      </c>
    </row>
    <row r="176">
      <c r="A176" t="inlineStr">
        <is>
          <t>900006732</t>
        </is>
      </c>
      <c r="B176" t="inlineStr">
        <is>
          <t>DW55</t>
        </is>
      </c>
      <c r="C176" t="inlineStr">
        <is>
          <t>ER67</t>
        </is>
      </c>
      <c r="D176" t="inlineStr">
        <is>
          <t>10123034</t>
        </is>
      </c>
      <c r="E176" t="inlineStr"/>
      <c r="F176" s="11" t="n">
        <v>124</v>
      </c>
      <c r="G176" t="inlineStr"/>
      <c r="I176" t="inlineStr">
        <is>
          <t>TN</t>
        </is>
      </c>
      <c r="J176" t="inlineStr"/>
      <c r="K176" t="inlineStr">
        <is>
          <t>20220504</t>
        </is>
      </c>
      <c r="L176" t="inlineStr">
        <is>
          <t>20230127</t>
        </is>
      </c>
    </row>
    <row r="177">
      <c r="A177" t="inlineStr">
        <is>
          <t>900006732</t>
        </is>
      </c>
      <c r="B177" t="inlineStr">
        <is>
          <t>DW55</t>
        </is>
      </c>
      <c r="C177" t="inlineStr">
        <is>
          <t>ER67</t>
        </is>
      </c>
      <c r="D177" t="inlineStr">
        <is>
          <t>10210260</t>
        </is>
      </c>
      <c r="E177" t="inlineStr"/>
      <c r="F177" s="11" t="n">
        <v>187.79</v>
      </c>
      <c r="G177" t="inlineStr"/>
      <c r="I177" t="inlineStr">
        <is>
          <t>TN</t>
        </is>
      </c>
      <c r="J177" t="inlineStr"/>
      <c r="K177" t="inlineStr">
        <is>
          <t>20220504</t>
        </is>
      </c>
      <c r="L177" t="inlineStr">
        <is>
          <t>20230127</t>
        </is>
      </c>
    </row>
    <row r="178">
      <c r="A178" t="inlineStr">
        <is>
          <t>900006732</t>
        </is>
      </c>
      <c r="B178" t="inlineStr">
        <is>
          <t>DW55</t>
        </is>
      </c>
      <c r="C178" t="inlineStr">
        <is>
          <t>ER67</t>
        </is>
      </c>
      <c r="D178" t="inlineStr">
        <is>
          <t>10210261</t>
        </is>
      </c>
      <c r="E178" t="inlineStr"/>
      <c r="F178" s="11" t="n">
        <v>126.74</v>
      </c>
      <c r="G178" t="inlineStr"/>
      <c r="I178" t="inlineStr">
        <is>
          <t>TN</t>
        </is>
      </c>
      <c r="J178" t="inlineStr"/>
      <c r="K178" t="inlineStr">
        <is>
          <t>20220504</t>
        </is>
      </c>
      <c r="L178" t="inlineStr">
        <is>
          <t>20230127</t>
        </is>
      </c>
    </row>
    <row r="179">
      <c r="A179" t="inlineStr">
        <is>
          <t>900006732</t>
        </is>
      </c>
      <c r="B179" t="inlineStr">
        <is>
          <t>DW55</t>
        </is>
      </c>
      <c r="C179" t="inlineStr">
        <is>
          <t>ER68</t>
        </is>
      </c>
      <c r="D179" t="inlineStr">
        <is>
          <t>10210260</t>
        </is>
      </c>
      <c r="E179" t="inlineStr"/>
      <c r="F179" s="11" t="n">
        <v>221.33</v>
      </c>
      <c r="G179" t="inlineStr"/>
      <c r="I179" t="inlineStr">
        <is>
          <t>TN</t>
        </is>
      </c>
      <c r="J179" t="inlineStr"/>
      <c r="K179" t="inlineStr">
        <is>
          <t>20230111</t>
        </is>
      </c>
      <c r="L179" t="inlineStr">
        <is>
          <t>20230608</t>
        </is>
      </c>
    </row>
    <row r="180">
      <c r="A180" t="inlineStr">
        <is>
          <t>900006733</t>
        </is>
      </c>
      <c r="B180" t="inlineStr">
        <is>
          <t>DW55</t>
        </is>
      </c>
      <c r="C180" t="inlineStr">
        <is>
          <t>ER67</t>
        </is>
      </c>
      <c r="D180" t="inlineStr">
        <is>
          <t>10049559</t>
        </is>
      </c>
      <c r="E180" t="inlineStr"/>
      <c r="F180" s="11" t="n">
        <v>176.48</v>
      </c>
      <c r="G180" t="inlineStr"/>
      <c r="I180" t="inlineStr">
        <is>
          <t>TN</t>
        </is>
      </c>
      <c r="J180" t="inlineStr"/>
      <c r="K180" t="inlineStr">
        <is>
          <t>20220504</t>
        </is>
      </c>
      <c r="L180" t="inlineStr">
        <is>
          <t>20230127</t>
        </is>
      </c>
    </row>
    <row r="181">
      <c r="A181" t="inlineStr">
        <is>
          <t>900006733</t>
        </is>
      </c>
      <c r="B181" t="inlineStr">
        <is>
          <t>DW55</t>
        </is>
      </c>
      <c r="C181" t="inlineStr">
        <is>
          <t>ER67</t>
        </is>
      </c>
      <c r="D181" t="inlineStr">
        <is>
          <t>10210260</t>
        </is>
      </c>
      <c r="E181" t="inlineStr"/>
      <c r="F181" s="11" t="n">
        <v>158.85</v>
      </c>
      <c r="G181" t="inlineStr"/>
      <c r="I181" t="inlineStr">
        <is>
          <t>TN</t>
        </is>
      </c>
      <c r="J181" t="inlineStr"/>
      <c r="K181" t="inlineStr">
        <is>
          <t>20220504</t>
        </is>
      </c>
      <c r="L181" t="inlineStr">
        <is>
          <t>20230127</t>
        </is>
      </c>
    </row>
    <row r="182">
      <c r="A182" t="inlineStr">
        <is>
          <t>900006740</t>
        </is>
      </c>
      <c r="B182" t="inlineStr">
        <is>
          <t>DW55</t>
        </is>
      </c>
      <c r="C182" t="inlineStr">
        <is>
          <t>ER67</t>
        </is>
      </c>
      <c r="D182" t="inlineStr">
        <is>
          <t>10000372</t>
        </is>
      </c>
      <c r="E182" t="inlineStr"/>
      <c r="F182" s="11" t="n">
        <v>169.03</v>
      </c>
      <c r="G182" t="inlineStr"/>
      <c r="I182" t="inlineStr">
        <is>
          <t>TN</t>
        </is>
      </c>
      <c r="J182" t="inlineStr"/>
      <c r="K182" t="inlineStr">
        <is>
          <t>20220504</t>
        </is>
      </c>
      <c r="L182" t="inlineStr">
        <is>
          <t>20230127</t>
        </is>
      </c>
    </row>
    <row r="183">
      <c r="A183" t="inlineStr">
        <is>
          <t>900006740</t>
        </is>
      </c>
      <c r="B183" t="inlineStr">
        <is>
          <t>DW55</t>
        </is>
      </c>
      <c r="C183" t="inlineStr">
        <is>
          <t>ER67</t>
        </is>
      </c>
      <c r="D183" t="inlineStr">
        <is>
          <t>10166283</t>
        </is>
      </c>
      <c r="E183" t="inlineStr"/>
      <c r="F183" s="11" t="n">
        <v>170.54</v>
      </c>
      <c r="G183" t="inlineStr"/>
      <c r="I183" t="inlineStr">
        <is>
          <t>TN</t>
        </is>
      </c>
      <c r="J183" t="inlineStr"/>
      <c r="K183" t="inlineStr">
        <is>
          <t>20220504</t>
        </is>
      </c>
      <c r="L183" t="inlineStr">
        <is>
          <t>20230127</t>
        </is>
      </c>
    </row>
    <row r="184">
      <c r="A184" t="inlineStr">
        <is>
          <t>900006741</t>
        </is>
      </c>
      <c r="B184" t="inlineStr">
        <is>
          <t>DW55</t>
        </is>
      </c>
      <c r="C184" t="inlineStr">
        <is>
          <t>ER67</t>
        </is>
      </c>
      <c r="D184" t="inlineStr">
        <is>
          <t>10000834</t>
        </is>
      </c>
      <c r="E184" t="inlineStr"/>
      <c r="F184" s="11" t="n">
        <v>42.81</v>
      </c>
      <c r="G184" t="inlineStr"/>
      <c r="I184" t="inlineStr">
        <is>
          <t>TN</t>
        </is>
      </c>
      <c r="J184" t="inlineStr"/>
      <c r="K184" t="inlineStr">
        <is>
          <t>20220504</t>
        </is>
      </c>
      <c r="L184" t="inlineStr">
        <is>
          <t>20230127</t>
        </is>
      </c>
    </row>
    <row r="185">
      <c r="A185" t="inlineStr">
        <is>
          <t>900006741</t>
        </is>
      </c>
      <c r="B185" t="inlineStr">
        <is>
          <t>DW55</t>
        </is>
      </c>
      <c r="C185" t="inlineStr">
        <is>
          <t>ER68</t>
        </is>
      </c>
      <c r="D185" t="inlineStr">
        <is>
          <t>10000834</t>
        </is>
      </c>
      <c r="E185" t="inlineStr"/>
      <c r="F185" s="11" t="n">
        <v>42.81</v>
      </c>
      <c r="G185" t="inlineStr"/>
      <c r="I185" t="inlineStr">
        <is>
          <t>TN</t>
        </is>
      </c>
      <c r="J185" t="inlineStr"/>
      <c r="K185" t="inlineStr">
        <is>
          <t>20240122</t>
        </is>
      </c>
      <c r="L185" t="inlineStr">
        <is>
          <t>20241015</t>
        </is>
      </c>
    </row>
    <row r="186">
      <c r="A186" t="inlineStr">
        <is>
          <t>900006742</t>
        </is>
      </c>
      <c r="B186" t="inlineStr">
        <is>
          <t>DW55</t>
        </is>
      </c>
      <c r="C186" t="inlineStr">
        <is>
          <t>ER67</t>
        </is>
      </c>
      <c r="D186" t="inlineStr">
        <is>
          <t>10210039</t>
        </is>
      </c>
      <c r="E186" t="inlineStr"/>
      <c r="F186" s="11" t="n">
        <v>35.69</v>
      </c>
      <c r="G186" t="inlineStr"/>
      <c r="I186" t="inlineStr">
        <is>
          <t>TN</t>
        </is>
      </c>
      <c r="J186" t="inlineStr"/>
      <c r="K186" t="inlineStr">
        <is>
          <t>20220504</t>
        </is>
      </c>
      <c r="L186" t="inlineStr">
        <is>
          <t>20230127</t>
        </is>
      </c>
    </row>
    <row r="187">
      <c r="A187" t="inlineStr">
        <is>
          <t>900006742</t>
        </is>
      </c>
      <c r="B187" t="inlineStr">
        <is>
          <t>DW55</t>
        </is>
      </c>
      <c r="C187" t="inlineStr">
        <is>
          <t>ER68</t>
        </is>
      </c>
      <c r="D187" t="inlineStr">
        <is>
          <t>10210039</t>
        </is>
      </c>
      <c r="E187" t="inlineStr"/>
      <c r="F187" s="11" t="n">
        <v>40.4</v>
      </c>
      <c r="G187" t="inlineStr"/>
      <c r="I187" t="inlineStr">
        <is>
          <t>TN</t>
        </is>
      </c>
      <c r="J187" t="inlineStr"/>
      <c r="K187" t="inlineStr">
        <is>
          <t>20220516</t>
        </is>
      </c>
      <c r="L187" t="inlineStr">
        <is>
          <t>20240320</t>
        </is>
      </c>
    </row>
    <row r="188">
      <c r="A188" t="inlineStr">
        <is>
          <t>900006743</t>
        </is>
      </c>
      <c r="B188" t="inlineStr">
        <is>
          <t>DW55</t>
        </is>
      </c>
      <c r="C188" t="inlineStr">
        <is>
          <t>ER67</t>
        </is>
      </c>
      <c r="D188" t="inlineStr">
        <is>
          <t>10000834</t>
        </is>
      </c>
      <c r="E188" t="inlineStr"/>
      <c r="F188" s="11" t="n">
        <v>38.04</v>
      </c>
      <c r="G188" t="inlineStr"/>
      <c r="I188" t="inlineStr">
        <is>
          <t>TN</t>
        </is>
      </c>
      <c r="J188" t="inlineStr"/>
      <c r="K188" t="inlineStr">
        <is>
          <t>20220504</t>
        </is>
      </c>
      <c r="L188" t="inlineStr">
        <is>
          <t>20230127</t>
        </is>
      </c>
    </row>
    <row r="189">
      <c r="A189" t="inlineStr">
        <is>
          <t>900006743</t>
        </is>
      </c>
      <c r="B189" t="inlineStr">
        <is>
          <t>DW55</t>
        </is>
      </c>
      <c r="C189" t="inlineStr">
        <is>
          <t>ER67</t>
        </is>
      </c>
      <c r="D189" t="inlineStr">
        <is>
          <t>10210039</t>
        </is>
      </c>
      <c r="E189" t="inlineStr"/>
      <c r="F189" s="11" t="n">
        <v>32.61</v>
      </c>
      <c r="G189" t="inlineStr"/>
      <c r="I189" t="inlineStr">
        <is>
          <t>TN</t>
        </is>
      </c>
      <c r="J189" t="inlineStr"/>
      <c r="K189" t="inlineStr">
        <is>
          <t>20220504</t>
        </is>
      </c>
      <c r="L189" t="inlineStr">
        <is>
          <t>20230127</t>
        </is>
      </c>
    </row>
    <row r="190">
      <c r="A190" t="inlineStr">
        <is>
          <t>900006744</t>
        </is>
      </c>
      <c r="B190" t="inlineStr">
        <is>
          <t>DW55</t>
        </is>
      </c>
      <c r="C190" t="inlineStr">
        <is>
          <t>ER67</t>
        </is>
      </c>
      <c r="D190" t="inlineStr">
        <is>
          <t>10000834</t>
        </is>
      </c>
      <c r="E190" t="inlineStr"/>
      <c r="F190" s="11" t="n">
        <v>38.04</v>
      </c>
      <c r="G190" t="inlineStr"/>
      <c r="I190" t="inlineStr">
        <is>
          <t>TN</t>
        </is>
      </c>
      <c r="J190" t="inlineStr"/>
      <c r="K190" t="inlineStr">
        <is>
          <t>20220504</t>
        </is>
      </c>
      <c r="L190" t="inlineStr">
        <is>
          <t>20230127</t>
        </is>
      </c>
    </row>
    <row r="191">
      <c r="A191" t="inlineStr">
        <is>
          <t>900006744</t>
        </is>
      </c>
      <c r="B191" t="inlineStr">
        <is>
          <t>DW55</t>
        </is>
      </c>
      <c r="C191" t="inlineStr">
        <is>
          <t>ER67</t>
        </is>
      </c>
      <c r="D191" t="inlineStr">
        <is>
          <t>10210039</t>
        </is>
      </c>
      <c r="E191" t="inlineStr"/>
      <c r="F191" s="11" t="n">
        <v>32.61</v>
      </c>
      <c r="G191" t="inlineStr"/>
      <c r="I191" t="inlineStr">
        <is>
          <t>TN</t>
        </is>
      </c>
      <c r="J191" t="inlineStr"/>
      <c r="K191" t="inlineStr">
        <is>
          <t>20220504</t>
        </is>
      </c>
      <c r="L191" t="inlineStr">
        <is>
          <t>20230127</t>
        </is>
      </c>
    </row>
    <row r="192">
      <c r="A192" t="inlineStr">
        <is>
          <t>900006745</t>
        </is>
      </c>
      <c r="B192" t="inlineStr">
        <is>
          <t>DW55</t>
        </is>
      </c>
      <c r="C192" t="inlineStr">
        <is>
          <t>ER67</t>
        </is>
      </c>
      <c r="D192" t="inlineStr">
        <is>
          <t>10123034</t>
        </is>
      </c>
      <c r="E192" t="inlineStr"/>
      <c r="F192" s="11" t="n">
        <v>124</v>
      </c>
      <c r="G192" t="inlineStr"/>
      <c r="I192" t="inlineStr">
        <is>
          <t>TN</t>
        </is>
      </c>
      <c r="J192" t="inlineStr"/>
      <c r="K192" t="inlineStr">
        <is>
          <t>20220504</t>
        </is>
      </c>
      <c r="L192" t="inlineStr">
        <is>
          <t>20230127</t>
        </is>
      </c>
    </row>
    <row r="193">
      <c r="A193" t="inlineStr">
        <is>
          <t>900006745</t>
        </is>
      </c>
      <c r="B193" t="inlineStr">
        <is>
          <t>DW55</t>
        </is>
      </c>
      <c r="C193" t="inlineStr">
        <is>
          <t>ER68</t>
        </is>
      </c>
      <c r="D193" t="inlineStr">
        <is>
          <t>10000372</t>
        </is>
      </c>
      <c r="E193" t="inlineStr"/>
      <c r="F193" s="11" t="n">
        <v>193.37</v>
      </c>
      <c r="G193" t="inlineStr"/>
      <c r="I193" t="inlineStr">
        <is>
          <t>TN</t>
        </is>
      </c>
      <c r="J193" t="inlineStr"/>
      <c r="K193" t="inlineStr">
        <is>
          <t>20230111</t>
        </is>
      </c>
      <c r="L193" t="inlineStr">
        <is>
          <t>20230608</t>
        </is>
      </c>
    </row>
    <row r="194">
      <c r="A194" t="inlineStr">
        <is>
          <t>900006813</t>
        </is>
      </c>
      <c r="B194" t="inlineStr">
        <is>
          <t>DW55</t>
        </is>
      </c>
      <c r="C194" t="inlineStr">
        <is>
          <t>ER67</t>
        </is>
      </c>
      <c r="D194" t="inlineStr">
        <is>
          <t>10000834</t>
        </is>
      </c>
      <c r="E194" t="inlineStr"/>
      <c r="F194" s="11" t="n">
        <v>43.21</v>
      </c>
      <c r="G194" t="inlineStr"/>
      <c r="I194" t="inlineStr">
        <is>
          <t>TN</t>
        </is>
      </c>
      <c r="J194" t="inlineStr"/>
      <c r="K194" t="inlineStr">
        <is>
          <t>20220504</t>
        </is>
      </c>
      <c r="L194" t="inlineStr">
        <is>
          <t>20230127</t>
        </is>
      </c>
    </row>
    <row r="195">
      <c r="A195" t="inlineStr">
        <is>
          <t>900006813</t>
        </is>
      </c>
      <c r="B195" t="inlineStr">
        <is>
          <t>DW55</t>
        </is>
      </c>
      <c r="C195" t="inlineStr">
        <is>
          <t>ER67</t>
        </is>
      </c>
      <c r="D195" t="inlineStr">
        <is>
          <t>10210039</t>
        </is>
      </c>
      <c r="E195" t="inlineStr"/>
      <c r="F195" s="11" t="n">
        <v>36.86</v>
      </c>
      <c r="G195" t="inlineStr"/>
      <c r="I195" t="inlineStr">
        <is>
          <t>TN</t>
        </is>
      </c>
      <c r="J195" t="inlineStr"/>
      <c r="K195" t="inlineStr">
        <is>
          <t>20220504</t>
        </is>
      </c>
      <c r="L195" t="inlineStr">
        <is>
          <t>20230127</t>
        </is>
      </c>
    </row>
    <row r="196">
      <c r="A196" t="inlineStr">
        <is>
          <t>900006813</t>
        </is>
      </c>
      <c r="B196" t="inlineStr">
        <is>
          <t>DW55</t>
        </is>
      </c>
      <c r="C196" t="inlineStr">
        <is>
          <t>ER68</t>
        </is>
      </c>
      <c r="D196" t="inlineStr">
        <is>
          <t>10210039</t>
        </is>
      </c>
      <c r="E196" t="inlineStr"/>
      <c r="F196" s="11" t="n">
        <v>40.4</v>
      </c>
      <c r="G196" t="inlineStr"/>
      <c r="I196" t="inlineStr">
        <is>
          <t>TN</t>
        </is>
      </c>
      <c r="J196" t="inlineStr"/>
      <c r="K196" t="inlineStr">
        <is>
          <t>20220501</t>
        </is>
      </c>
      <c r="L196" t="inlineStr">
        <is>
          <t>20241015</t>
        </is>
      </c>
    </row>
    <row r="197">
      <c r="A197" t="inlineStr">
        <is>
          <t>900006814</t>
        </is>
      </c>
      <c r="B197" t="inlineStr">
        <is>
          <t>DW55</t>
        </is>
      </c>
      <c r="C197" t="inlineStr">
        <is>
          <t>ER67</t>
        </is>
      </c>
      <c r="D197" t="inlineStr">
        <is>
          <t>10210039</t>
        </is>
      </c>
      <c r="E197" t="inlineStr"/>
      <c r="F197" s="11" t="n">
        <v>37.04</v>
      </c>
      <c r="G197" t="inlineStr"/>
      <c r="I197" t="inlineStr">
        <is>
          <t>TN</t>
        </is>
      </c>
      <c r="J197" t="inlineStr"/>
      <c r="K197" t="inlineStr">
        <is>
          <t>20220504</t>
        </is>
      </c>
      <c r="L197" t="inlineStr">
        <is>
          <t>20230127</t>
        </is>
      </c>
    </row>
    <row r="198">
      <c r="A198" t="inlineStr">
        <is>
          <t>900006814</t>
        </is>
      </c>
      <c r="B198" t="inlineStr">
        <is>
          <t>DW55</t>
        </is>
      </c>
      <c r="C198" t="inlineStr">
        <is>
          <t>ER67</t>
        </is>
      </c>
      <c r="D198" t="inlineStr">
        <is>
          <t>10210260</t>
        </is>
      </c>
      <c r="E198" t="inlineStr"/>
      <c r="F198" s="11" t="n">
        <v>174.38</v>
      </c>
      <c r="G198" t="inlineStr"/>
      <c r="I198" t="inlineStr">
        <is>
          <t>TN</t>
        </is>
      </c>
      <c r="J198" t="inlineStr"/>
      <c r="K198" t="inlineStr">
        <is>
          <t>20220504</t>
        </is>
      </c>
      <c r="L198" t="inlineStr">
        <is>
          <t>20230127</t>
        </is>
      </c>
    </row>
    <row r="199">
      <c r="A199" t="inlineStr">
        <is>
          <t>900006814</t>
        </is>
      </c>
      <c r="B199" t="inlineStr">
        <is>
          <t>DW55</t>
        </is>
      </c>
      <c r="C199" t="inlineStr">
        <is>
          <t>ER68</t>
        </is>
      </c>
      <c r="D199" t="inlineStr">
        <is>
          <t>10210039</t>
        </is>
      </c>
      <c r="E199" t="inlineStr"/>
      <c r="F199" s="11" t="n">
        <v>37.04</v>
      </c>
      <c r="G199" t="inlineStr"/>
      <c r="I199" t="inlineStr">
        <is>
          <t>TN</t>
        </is>
      </c>
      <c r="J199" t="inlineStr"/>
      <c r="K199" t="inlineStr">
        <is>
          <t>20240122</t>
        </is>
      </c>
      <c r="L199" t="inlineStr">
        <is>
          <t>20241015</t>
        </is>
      </c>
    </row>
    <row r="200">
      <c r="A200" t="inlineStr">
        <is>
          <t>900006814</t>
        </is>
      </c>
      <c r="B200" t="inlineStr">
        <is>
          <t>DW55</t>
        </is>
      </c>
      <c r="C200" t="inlineStr">
        <is>
          <t>ER68</t>
        </is>
      </c>
      <c r="D200" t="inlineStr">
        <is>
          <t>10210260</t>
        </is>
      </c>
      <c r="E200" t="inlineStr"/>
      <c r="F200" s="11" t="n">
        <v>174.38</v>
      </c>
      <c r="G200" t="inlineStr"/>
      <c r="I200" t="inlineStr">
        <is>
          <t>TN</t>
        </is>
      </c>
      <c r="J200" t="inlineStr"/>
      <c r="K200" t="inlineStr">
        <is>
          <t>20240122</t>
        </is>
      </c>
      <c r="L200" t="inlineStr">
        <is>
          <t>20241015</t>
        </is>
      </c>
    </row>
    <row r="201">
      <c r="A201" t="inlineStr">
        <is>
          <t>900006829</t>
        </is>
      </c>
      <c r="B201" t="inlineStr">
        <is>
          <t>DW55</t>
        </is>
      </c>
      <c r="C201" t="inlineStr">
        <is>
          <t>ER67</t>
        </is>
      </c>
      <c r="D201" t="inlineStr">
        <is>
          <t>10000834</t>
        </is>
      </c>
      <c r="E201" t="inlineStr"/>
      <c r="F201" s="11" t="n">
        <v>38.04</v>
      </c>
      <c r="G201" t="inlineStr"/>
      <c r="I201" t="inlineStr">
        <is>
          <t>TN</t>
        </is>
      </c>
      <c r="J201" t="inlineStr"/>
      <c r="K201" t="inlineStr">
        <is>
          <t>20220504</t>
        </is>
      </c>
      <c r="L201" t="inlineStr">
        <is>
          <t>20230127</t>
        </is>
      </c>
    </row>
    <row r="202">
      <c r="A202" t="inlineStr">
        <is>
          <t>900006853</t>
        </is>
      </c>
      <c r="B202" t="inlineStr">
        <is>
          <t>DW55</t>
        </is>
      </c>
      <c r="C202" t="inlineStr">
        <is>
          <t>D284</t>
        </is>
      </c>
      <c r="D202" t="inlineStr">
        <is>
          <t>10049559</t>
        </is>
      </c>
      <c r="E202" t="inlineStr"/>
      <c r="F202" s="11" t="n">
        <v>156.48</v>
      </c>
      <c r="G202" t="inlineStr"/>
      <c r="I202" t="inlineStr">
        <is>
          <t>TN</t>
        </is>
      </c>
      <c r="J202" t="inlineStr"/>
      <c r="K202" t="inlineStr">
        <is>
          <t>20220504</t>
        </is>
      </c>
      <c r="L202" t="inlineStr">
        <is>
          <t>20230127</t>
        </is>
      </c>
    </row>
    <row r="203">
      <c r="A203" t="inlineStr">
        <is>
          <t>900006853</t>
        </is>
      </c>
      <c r="B203" t="inlineStr">
        <is>
          <t>DW55</t>
        </is>
      </c>
      <c r="C203" t="inlineStr">
        <is>
          <t>D284</t>
        </is>
      </c>
      <c r="D203" t="inlineStr">
        <is>
          <t>10189800</t>
        </is>
      </c>
      <c r="E203" t="inlineStr"/>
      <c r="F203" s="11" t="n">
        <v>161.54</v>
      </c>
      <c r="G203" t="inlineStr"/>
      <c r="I203" t="inlineStr">
        <is>
          <t>TN</t>
        </is>
      </c>
      <c r="J203" t="inlineStr"/>
      <c r="K203" t="inlineStr">
        <is>
          <t>20220504</t>
        </is>
      </c>
      <c r="L203" t="inlineStr">
        <is>
          <t>20230127</t>
        </is>
      </c>
    </row>
    <row r="204">
      <c r="A204" t="inlineStr">
        <is>
          <t>900006855</t>
        </is>
      </c>
      <c r="B204" t="inlineStr">
        <is>
          <t>DW55</t>
        </is>
      </c>
      <c r="C204" t="inlineStr">
        <is>
          <t>ER67</t>
        </is>
      </c>
      <c r="D204" t="inlineStr">
        <is>
          <t>10000834</t>
        </is>
      </c>
      <c r="E204" t="inlineStr"/>
      <c r="F204" s="11" t="n">
        <v>45.37</v>
      </c>
      <c r="G204" t="inlineStr"/>
      <c r="I204" t="inlineStr">
        <is>
          <t>TN</t>
        </is>
      </c>
      <c r="J204" t="inlineStr"/>
      <c r="K204" t="inlineStr">
        <is>
          <t>20220504</t>
        </is>
      </c>
      <c r="L204" t="inlineStr">
        <is>
          <t>20230127</t>
        </is>
      </c>
    </row>
    <row r="205">
      <c r="A205" t="inlineStr">
        <is>
          <t>900006856</t>
        </is>
      </c>
      <c r="B205" t="inlineStr">
        <is>
          <t>DW55</t>
        </is>
      </c>
      <c r="C205" t="inlineStr">
        <is>
          <t>D348</t>
        </is>
      </c>
      <c r="D205" t="inlineStr">
        <is>
          <t>10000561</t>
        </is>
      </c>
      <c r="E205" t="inlineStr"/>
      <c r="F205" s="11" t="n">
        <v>125.87</v>
      </c>
      <c r="G205" t="inlineStr"/>
      <c r="I205" t="inlineStr">
        <is>
          <t>TN</t>
        </is>
      </c>
      <c r="J205" t="inlineStr"/>
      <c r="K205" t="inlineStr">
        <is>
          <t>20220614</t>
        </is>
      </c>
      <c r="L205" t="inlineStr">
        <is>
          <t>20240716</t>
        </is>
      </c>
    </row>
    <row r="206">
      <c r="A206" t="inlineStr">
        <is>
          <t>900006856</t>
        </is>
      </c>
      <c r="B206" t="inlineStr">
        <is>
          <t>DW55</t>
        </is>
      </c>
      <c r="C206" t="inlineStr">
        <is>
          <t>D348</t>
        </is>
      </c>
      <c r="D206" t="inlineStr">
        <is>
          <t>10079650</t>
        </is>
      </c>
      <c r="E206" t="inlineStr"/>
      <c r="F206" s="11" t="n">
        <v>103.59</v>
      </c>
      <c r="G206" t="inlineStr"/>
      <c r="I206" t="inlineStr">
        <is>
          <t>TN</t>
        </is>
      </c>
      <c r="J206" t="inlineStr"/>
      <c r="K206" t="inlineStr">
        <is>
          <t>20220713</t>
        </is>
      </c>
      <c r="L206" t="inlineStr">
        <is>
          <t>20240716</t>
        </is>
      </c>
    </row>
    <row r="207">
      <c r="A207" t="inlineStr">
        <is>
          <t>900006856</t>
        </is>
      </c>
      <c r="B207" t="inlineStr">
        <is>
          <t>DW55</t>
        </is>
      </c>
      <c r="C207" t="inlineStr">
        <is>
          <t>D348</t>
        </is>
      </c>
      <c r="D207" t="inlineStr">
        <is>
          <t>10123034</t>
        </is>
      </c>
      <c r="E207" t="inlineStr"/>
      <c r="F207" s="11" t="n">
        <v>64.14</v>
      </c>
      <c r="G207" t="inlineStr"/>
      <c r="I207" t="inlineStr">
        <is>
          <t>TN</t>
        </is>
      </c>
      <c r="J207" t="inlineStr"/>
      <c r="K207" t="inlineStr">
        <is>
          <t>20220614</t>
        </is>
      </c>
      <c r="L207" t="inlineStr">
        <is>
          <t>20240716</t>
        </is>
      </c>
    </row>
    <row r="208">
      <c r="A208" t="inlineStr">
        <is>
          <t>900006856</t>
        </is>
      </c>
      <c r="B208" t="inlineStr">
        <is>
          <t>DW55</t>
        </is>
      </c>
      <c r="C208" t="inlineStr">
        <is>
          <t>ER67</t>
        </is>
      </c>
      <c r="D208" t="inlineStr">
        <is>
          <t>10000372</t>
        </is>
      </c>
      <c r="E208" t="inlineStr"/>
      <c r="F208" s="11" t="n">
        <v>103.59</v>
      </c>
      <c r="G208" t="inlineStr"/>
      <c r="I208" t="inlineStr">
        <is>
          <t>TN</t>
        </is>
      </c>
      <c r="J208" t="inlineStr"/>
      <c r="K208" t="inlineStr">
        <is>
          <t>20220504</t>
        </is>
      </c>
      <c r="L208" t="inlineStr">
        <is>
          <t>20230127</t>
        </is>
      </c>
    </row>
    <row r="209">
      <c r="A209" t="inlineStr">
        <is>
          <t>900006856</t>
        </is>
      </c>
      <c r="B209" t="inlineStr">
        <is>
          <t>DW55</t>
        </is>
      </c>
      <c r="C209" t="inlineStr">
        <is>
          <t>ER68</t>
        </is>
      </c>
      <c r="D209" t="inlineStr">
        <is>
          <t>10000372</t>
        </is>
      </c>
      <c r="E209" t="inlineStr"/>
      <c r="F209" s="11" t="n">
        <v>103.59</v>
      </c>
      <c r="G209" t="inlineStr"/>
      <c r="I209" t="inlineStr">
        <is>
          <t>TN</t>
        </is>
      </c>
      <c r="J209" t="inlineStr"/>
      <c r="K209" t="inlineStr">
        <is>
          <t>20220210</t>
        </is>
      </c>
      <c r="L209" t="inlineStr">
        <is>
          <t>20240716</t>
        </is>
      </c>
    </row>
    <row r="210">
      <c r="A210" t="inlineStr">
        <is>
          <t>900006947</t>
        </is>
      </c>
      <c r="B210" t="inlineStr">
        <is>
          <t>DW55</t>
        </is>
      </c>
      <c r="C210" t="inlineStr">
        <is>
          <t>D325</t>
        </is>
      </c>
      <c r="D210" t="inlineStr">
        <is>
          <t>10000372</t>
        </is>
      </c>
      <c r="E210" t="inlineStr"/>
      <c r="F210" s="11" t="n">
        <v>85.15000000000001</v>
      </c>
      <c r="G210" t="inlineStr"/>
      <c r="I210" t="inlineStr">
        <is>
          <t>TN</t>
        </is>
      </c>
      <c r="J210" t="inlineStr"/>
      <c r="K210" t="inlineStr">
        <is>
          <t>20220516</t>
        </is>
      </c>
      <c r="L210" t="inlineStr">
        <is>
          <t>20240930</t>
        </is>
      </c>
    </row>
    <row r="211">
      <c r="A211" t="inlineStr">
        <is>
          <t>900006948</t>
        </is>
      </c>
      <c r="B211" t="inlineStr">
        <is>
          <t>DW55</t>
        </is>
      </c>
      <c r="C211" t="inlineStr">
        <is>
          <t>D325</t>
        </is>
      </c>
      <c r="D211" t="inlineStr">
        <is>
          <t>10000372</t>
        </is>
      </c>
      <c r="E211" t="inlineStr"/>
      <c r="F211" s="11" t="n">
        <v>141.57</v>
      </c>
      <c r="G211" t="inlineStr"/>
      <c r="I211" t="inlineStr">
        <is>
          <t>TN</t>
        </is>
      </c>
      <c r="J211" t="inlineStr"/>
      <c r="K211" t="inlineStr">
        <is>
          <t>20230522</t>
        </is>
      </c>
      <c r="L211" t="inlineStr">
        <is>
          <t>99991231</t>
        </is>
      </c>
    </row>
    <row r="212">
      <c r="A212" t="inlineStr">
        <is>
          <t>900006948</t>
        </is>
      </c>
      <c r="B212" t="inlineStr">
        <is>
          <t>DW55</t>
        </is>
      </c>
      <c r="C212" t="inlineStr">
        <is>
          <t>D325</t>
        </is>
      </c>
      <c r="D212" t="inlineStr">
        <is>
          <t>10023592</t>
        </is>
      </c>
      <c r="E212" t="inlineStr"/>
      <c r="F212" s="11" t="n">
        <v>110.62</v>
      </c>
      <c r="G212" t="inlineStr"/>
      <c r="I212" t="inlineStr">
        <is>
          <t>TN</t>
        </is>
      </c>
      <c r="J212" t="inlineStr"/>
      <c r="K212" t="inlineStr">
        <is>
          <t>20250428</t>
        </is>
      </c>
      <c r="L212" t="inlineStr">
        <is>
          <t>20251031</t>
        </is>
      </c>
    </row>
    <row r="213">
      <c r="A213" t="inlineStr">
        <is>
          <t>900007051</t>
        </is>
      </c>
      <c r="B213" t="inlineStr">
        <is>
          <t>DW55</t>
        </is>
      </c>
      <c r="C213" t="inlineStr">
        <is>
          <t>ER67</t>
        </is>
      </c>
      <c r="D213" t="inlineStr">
        <is>
          <t>10210260</t>
        </is>
      </c>
      <c r="E213" t="inlineStr"/>
      <c r="F213" s="11" t="n">
        <v>142.39</v>
      </c>
      <c r="G213" t="inlineStr"/>
      <c r="I213" t="inlineStr">
        <is>
          <t>TN</t>
        </is>
      </c>
      <c r="J213" t="inlineStr"/>
      <c r="K213" t="inlineStr">
        <is>
          <t>20220504</t>
        </is>
      </c>
      <c r="L213" t="inlineStr">
        <is>
          <t>20230127</t>
        </is>
      </c>
    </row>
    <row r="214">
      <c r="A214" t="inlineStr">
        <is>
          <t>900007051</t>
        </is>
      </c>
      <c r="B214" t="inlineStr">
        <is>
          <t>DW55</t>
        </is>
      </c>
      <c r="C214" t="inlineStr">
        <is>
          <t>ER68</t>
        </is>
      </c>
      <c r="D214" t="inlineStr">
        <is>
          <t>10210260</t>
        </is>
      </c>
      <c r="E214" t="inlineStr"/>
      <c r="F214" s="11" t="n">
        <v>142.39</v>
      </c>
      <c r="G214" t="inlineStr"/>
      <c r="I214" t="inlineStr">
        <is>
          <t>TN</t>
        </is>
      </c>
      <c r="J214" t="inlineStr"/>
      <c r="K214" t="inlineStr">
        <is>
          <t>20220520</t>
        </is>
      </c>
      <c r="L214" t="inlineStr">
        <is>
          <t>20240716</t>
        </is>
      </c>
    </row>
    <row r="215">
      <c r="A215" t="inlineStr">
        <is>
          <t>900007052</t>
        </is>
      </c>
      <c r="B215" t="inlineStr">
        <is>
          <t>DW55</t>
        </is>
      </c>
      <c r="C215" t="inlineStr">
        <is>
          <t>D284</t>
        </is>
      </c>
      <c r="D215" t="inlineStr">
        <is>
          <t>10000372</t>
        </is>
      </c>
      <c r="E215" t="inlineStr"/>
      <c r="F215" s="11" t="n">
        <v>151.93</v>
      </c>
      <c r="G215" t="inlineStr"/>
      <c r="I215" t="inlineStr">
        <is>
          <t>TN</t>
        </is>
      </c>
      <c r="J215" t="inlineStr"/>
      <c r="K215" t="inlineStr">
        <is>
          <t>20251027</t>
        </is>
      </c>
      <c r="L215" t="inlineStr">
        <is>
          <t>99991231</t>
        </is>
      </c>
    </row>
    <row r="216">
      <c r="A216" t="inlineStr">
        <is>
          <t>900007052</t>
        </is>
      </c>
      <c r="B216" t="inlineStr">
        <is>
          <t>DW55</t>
        </is>
      </c>
      <c r="C216" t="inlineStr">
        <is>
          <t>D284</t>
        </is>
      </c>
      <c r="D216" t="inlineStr">
        <is>
          <t>10000541</t>
        </is>
      </c>
      <c r="E216" t="inlineStr"/>
      <c r="F216" s="11" t="n">
        <v>189.79</v>
      </c>
      <c r="G216" t="inlineStr"/>
      <c r="I216" t="inlineStr">
        <is>
          <t>TN</t>
        </is>
      </c>
      <c r="J216" t="inlineStr"/>
      <c r="K216" t="inlineStr">
        <is>
          <t>20250219</t>
        </is>
      </c>
      <c r="L216" t="inlineStr">
        <is>
          <t>99991231</t>
        </is>
      </c>
    </row>
    <row r="217">
      <c r="A217" t="inlineStr">
        <is>
          <t>900007052</t>
        </is>
      </c>
      <c r="B217" t="inlineStr">
        <is>
          <t>DW55</t>
        </is>
      </c>
      <c r="C217" t="inlineStr">
        <is>
          <t>D309</t>
        </is>
      </c>
      <c r="D217" t="inlineStr">
        <is>
          <t>10000372</t>
        </is>
      </c>
      <c r="E217" t="inlineStr"/>
      <c r="F217" s="11" t="n">
        <v>138.12</v>
      </c>
      <c r="G217" t="inlineStr"/>
      <c r="I217" t="inlineStr">
        <is>
          <t>TN</t>
        </is>
      </c>
      <c r="J217" t="inlineStr"/>
      <c r="K217" t="inlineStr">
        <is>
          <t>20240122</t>
        </is>
      </c>
      <c r="L217" t="inlineStr">
        <is>
          <t>20241015</t>
        </is>
      </c>
    </row>
    <row r="218">
      <c r="A218" t="inlineStr">
        <is>
          <t>900007052</t>
        </is>
      </c>
      <c r="B218" t="inlineStr">
        <is>
          <t>DW55</t>
        </is>
      </c>
      <c r="C218" t="inlineStr">
        <is>
          <t>D309</t>
        </is>
      </c>
      <c r="D218" t="inlineStr">
        <is>
          <t>10000541</t>
        </is>
      </c>
      <c r="E218" t="inlineStr"/>
      <c r="F218" s="11" t="n">
        <v>189.79</v>
      </c>
      <c r="G218" t="inlineStr"/>
      <c r="I218" t="inlineStr">
        <is>
          <t>TN</t>
        </is>
      </c>
      <c r="J218" t="inlineStr"/>
      <c r="K218" t="inlineStr">
        <is>
          <t>20250219</t>
        </is>
      </c>
      <c r="L218" t="inlineStr">
        <is>
          <t>99991231</t>
        </is>
      </c>
    </row>
    <row r="219">
      <c r="A219" t="inlineStr">
        <is>
          <t>900007052</t>
        </is>
      </c>
      <c r="B219" t="inlineStr">
        <is>
          <t>DW55</t>
        </is>
      </c>
      <c r="C219" t="inlineStr">
        <is>
          <t>D325</t>
        </is>
      </c>
      <c r="D219" t="inlineStr">
        <is>
          <t>10000541</t>
        </is>
      </c>
      <c r="E219" t="inlineStr"/>
      <c r="F219" s="11" t="n">
        <v>196.34</v>
      </c>
      <c r="G219" t="inlineStr"/>
      <c r="I219" t="inlineStr">
        <is>
          <t>TN</t>
        </is>
      </c>
      <c r="J219" t="inlineStr"/>
      <c r="K219" t="inlineStr">
        <is>
          <t>20241030</t>
        </is>
      </c>
      <c r="L219" t="inlineStr">
        <is>
          <t>99991231</t>
        </is>
      </c>
    </row>
    <row r="220">
      <c r="A220" t="inlineStr">
        <is>
          <t>900007052</t>
        </is>
      </c>
      <c r="B220" t="inlineStr">
        <is>
          <t>DW55</t>
        </is>
      </c>
      <c r="C220" t="inlineStr">
        <is>
          <t>D342</t>
        </is>
      </c>
      <c r="D220" t="inlineStr">
        <is>
          <t>10000372</t>
        </is>
      </c>
      <c r="E220" t="inlineStr"/>
      <c r="F220" s="11" t="n">
        <v>151.93</v>
      </c>
      <c r="G220" t="inlineStr"/>
      <c r="I220" t="inlineStr">
        <is>
          <t>TN</t>
        </is>
      </c>
      <c r="J220" t="inlineStr"/>
      <c r="K220" t="inlineStr">
        <is>
          <t>20251020</t>
        </is>
      </c>
      <c r="L220" t="inlineStr">
        <is>
          <t>99991231</t>
        </is>
      </c>
    </row>
    <row r="221">
      <c r="A221" t="inlineStr">
        <is>
          <t>900007052</t>
        </is>
      </c>
      <c r="B221" t="inlineStr">
        <is>
          <t>DW55</t>
        </is>
      </c>
      <c r="C221" t="inlineStr">
        <is>
          <t>D348</t>
        </is>
      </c>
      <c r="D221" t="inlineStr">
        <is>
          <t>10000541</t>
        </is>
      </c>
      <c r="E221" t="inlineStr"/>
      <c r="F221" s="11" t="n">
        <v>84.81999999999999</v>
      </c>
      <c r="G221" t="inlineStr"/>
      <c r="I221" t="inlineStr">
        <is>
          <t>TN</t>
        </is>
      </c>
      <c r="J221" t="inlineStr"/>
      <c r="K221" t="inlineStr">
        <is>
          <t>20240122</t>
        </is>
      </c>
      <c r="L221" t="inlineStr">
        <is>
          <t>20241015</t>
        </is>
      </c>
    </row>
    <row r="222">
      <c r="A222" t="inlineStr">
        <is>
          <t>900007052</t>
        </is>
      </c>
      <c r="B222" t="inlineStr">
        <is>
          <t>DW55</t>
        </is>
      </c>
      <c r="C222" t="inlineStr">
        <is>
          <t>D348</t>
        </is>
      </c>
      <c r="D222" t="inlineStr">
        <is>
          <t>10000561</t>
        </is>
      </c>
      <c r="E222" t="inlineStr"/>
      <c r="F222" s="11" t="n">
        <v>209.79</v>
      </c>
      <c r="G222" t="inlineStr"/>
      <c r="I222" t="inlineStr">
        <is>
          <t>TN</t>
        </is>
      </c>
      <c r="J222" t="inlineStr"/>
      <c r="K222" t="inlineStr">
        <is>
          <t>20220905</t>
        </is>
      </c>
      <c r="L222" t="inlineStr">
        <is>
          <t>20240930</t>
        </is>
      </c>
    </row>
    <row r="223">
      <c r="A223" t="inlineStr">
        <is>
          <t>900007052</t>
        </is>
      </c>
      <c r="B223" t="inlineStr">
        <is>
          <t>DW55</t>
        </is>
      </c>
      <c r="C223" t="inlineStr">
        <is>
          <t>D348</t>
        </is>
      </c>
      <c r="D223" t="inlineStr">
        <is>
          <t>10036584</t>
        </is>
      </c>
      <c r="E223" t="inlineStr"/>
      <c r="F223" s="11" t="n">
        <v>340.14</v>
      </c>
      <c r="G223" t="inlineStr"/>
      <c r="I223" t="inlineStr">
        <is>
          <t>TN</t>
        </is>
      </c>
      <c r="J223" t="inlineStr"/>
      <c r="K223" t="inlineStr">
        <is>
          <t>20220905</t>
        </is>
      </c>
      <c r="L223" t="inlineStr">
        <is>
          <t>20240930</t>
        </is>
      </c>
    </row>
    <row r="224">
      <c r="A224" t="inlineStr">
        <is>
          <t>900007052</t>
        </is>
      </c>
      <c r="B224" t="inlineStr">
        <is>
          <t>DW55</t>
        </is>
      </c>
      <c r="C224" t="inlineStr">
        <is>
          <t>D348</t>
        </is>
      </c>
      <c r="D224" t="inlineStr">
        <is>
          <t>10213318</t>
        </is>
      </c>
      <c r="E224" t="inlineStr"/>
      <c r="F224" s="11" t="n">
        <v>593.16</v>
      </c>
      <c r="G224" t="inlineStr"/>
      <c r="I224" t="inlineStr">
        <is>
          <t>TN</t>
        </is>
      </c>
      <c r="J224" t="inlineStr"/>
      <c r="K224" t="inlineStr">
        <is>
          <t>20220905</t>
        </is>
      </c>
      <c r="L224" t="inlineStr">
        <is>
          <t>20240930</t>
        </is>
      </c>
    </row>
    <row r="225">
      <c r="A225" t="inlineStr">
        <is>
          <t>900007052</t>
        </is>
      </c>
      <c r="B225" t="inlineStr">
        <is>
          <t>DW55</t>
        </is>
      </c>
      <c r="C225" t="inlineStr">
        <is>
          <t>ER67</t>
        </is>
      </c>
      <c r="D225" t="inlineStr">
        <is>
          <t>10000372</t>
        </is>
      </c>
      <c r="E225" t="inlineStr"/>
      <c r="F225" s="11" t="n">
        <v>192.64</v>
      </c>
      <c r="G225" t="inlineStr"/>
      <c r="I225" t="inlineStr">
        <is>
          <t>TN</t>
        </is>
      </c>
      <c r="J225" t="inlineStr"/>
      <c r="K225" t="inlineStr">
        <is>
          <t>20220504</t>
        </is>
      </c>
      <c r="L225" t="inlineStr">
        <is>
          <t>20230127</t>
        </is>
      </c>
    </row>
    <row r="226">
      <c r="A226" t="inlineStr">
        <is>
          <t>900007052</t>
        </is>
      </c>
      <c r="B226" t="inlineStr">
        <is>
          <t>DW55</t>
        </is>
      </c>
      <c r="C226" t="inlineStr">
        <is>
          <t>ER67</t>
        </is>
      </c>
      <c r="D226" t="inlineStr">
        <is>
          <t>10000382</t>
        </is>
      </c>
      <c r="E226" t="inlineStr"/>
      <c r="F226" s="11" t="n">
        <v>226.76</v>
      </c>
      <c r="G226" t="inlineStr"/>
      <c r="I226" t="inlineStr">
        <is>
          <t>TN</t>
        </is>
      </c>
      <c r="J226" t="inlineStr"/>
      <c r="K226" t="inlineStr">
        <is>
          <t>20220504</t>
        </is>
      </c>
      <c r="L226" t="inlineStr">
        <is>
          <t>20230127</t>
        </is>
      </c>
    </row>
    <row r="227">
      <c r="A227" t="inlineStr">
        <is>
          <t>900007052</t>
        </is>
      </c>
      <c r="B227" t="inlineStr">
        <is>
          <t>DW55</t>
        </is>
      </c>
      <c r="C227" t="inlineStr">
        <is>
          <t>ER67</t>
        </is>
      </c>
      <c r="D227" t="inlineStr">
        <is>
          <t>10000541</t>
        </is>
      </c>
      <c r="E227" t="inlineStr"/>
      <c r="F227" s="11" t="n">
        <v>89.29000000000001</v>
      </c>
      <c r="G227" t="inlineStr"/>
      <c r="I227" t="inlineStr">
        <is>
          <t>TN</t>
        </is>
      </c>
      <c r="J227" t="inlineStr"/>
      <c r="K227" t="inlineStr">
        <is>
          <t>20220504</t>
        </is>
      </c>
      <c r="L227" t="inlineStr">
        <is>
          <t>20230127</t>
        </is>
      </c>
    </row>
    <row r="228">
      <c r="A228" t="inlineStr">
        <is>
          <t>900007052</t>
        </is>
      </c>
      <c r="B228" t="inlineStr">
        <is>
          <t>DW55</t>
        </is>
      </c>
      <c r="C228" t="inlineStr">
        <is>
          <t>ER67</t>
        </is>
      </c>
      <c r="D228" t="inlineStr">
        <is>
          <t>10000834</t>
        </is>
      </c>
      <c r="E228" t="inlineStr"/>
      <c r="F228" s="11" t="n">
        <v>45.37</v>
      </c>
      <c r="G228" t="inlineStr"/>
      <c r="I228" t="inlineStr">
        <is>
          <t>TN</t>
        </is>
      </c>
      <c r="J228" t="inlineStr"/>
      <c r="K228" t="inlineStr">
        <is>
          <t>20220504</t>
        </is>
      </c>
      <c r="L228" t="inlineStr">
        <is>
          <t>20230127</t>
        </is>
      </c>
    </row>
    <row r="229">
      <c r="A229" t="inlineStr">
        <is>
          <t>900007052</t>
        </is>
      </c>
      <c r="B229" t="inlineStr">
        <is>
          <t>DW55</t>
        </is>
      </c>
      <c r="C229" t="inlineStr">
        <is>
          <t>ER67</t>
        </is>
      </c>
      <c r="D229" t="inlineStr">
        <is>
          <t>10003240</t>
        </is>
      </c>
      <c r="E229" t="inlineStr"/>
      <c r="F229" s="11" t="n">
        <v>170.7</v>
      </c>
      <c r="G229" t="inlineStr"/>
      <c r="I229" t="inlineStr">
        <is>
          <t>TN</t>
        </is>
      </c>
      <c r="J229" t="inlineStr"/>
      <c r="K229" t="inlineStr">
        <is>
          <t>20220504</t>
        </is>
      </c>
      <c r="L229" t="inlineStr">
        <is>
          <t>20230127</t>
        </is>
      </c>
    </row>
    <row r="230">
      <c r="A230" t="inlineStr">
        <is>
          <t>900007052</t>
        </is>
      </c>
      <c r="B230" t="inlineStr">
        <is>
          <t>DW55</t>
        </is>
      </c>
      <c r="C230" t="inlineStr">
        <is>
          <t>ER67</t>
        </is>
      </c>
      <c r="D230" t="inlineStr">
        <is>
          <t>10210039</t>
        </is>
      </c>
      <c r="E230" t="inlineStr"/>
      <c r="F230" s="11" t="n">
        <v>38.99</v>
      </c>
      <c r="G230" t="inlineStr"/>
      <c r="I230" t="inlineStr">
        <is>
          <t>TN</t>
        </is>
      </c>
      <c r="J230" t="inlineStr"/>
      <c r="K230" t="inlineStr">
        <is>
          <t>20220504</t>
        </is>
      </c>
      <c r="L230" t="inlineStr">
        <is>
          <t>20230127</t>
        </is>
      </c>
    </row>
    <row r="231">
      <c r="A231" t="inlineStr">
        <is>
          <t>900007052</t>
        </is>
      </c>
      <c r="B231" t="inlineStr">
        <is>
          <t>DW55</t>
        </is>
      </c>
      <c r="C231" t="inlineStr">
        <is>
          <t>ER68</t>
        </is>
      </c>
      <c r="D231" t="inlineStr">
        <is>
          <t>10000382</t>
        </is>
      </c>
      <c r="E231" t="inlineStr"/>
      <c r="F231" s="11" t="n">
        <v>226.76</v>
      </c>
      <c r="G231" t="inlineStr"/>
      <c r="I231" t="inlineStr">
        <is>
          <t>TN</t>
        </is>
      </c>
      <c r="J231" t="inlineStr"/>
      <c r="K231" t="inlineStr">
        <is>
          <t>20240122</t>
        </is>
      </c>
      <c r="L231" t="inlineStr">
        <is>
          <t>20241015</t>
        </is>
      </c>
    </row>
    <row r="232">
      <c r="A232" t="inlineStr">
        <is>
          <t>900007052</t>
        </is>
      </c>
      <c r="B232" t="inlineStr">
        <is>
          <t>DW55</t>
        </is>
      </c>
      <c r="C232" t="inlineStr">
        <is>
          <t>ER68</t>
        </is>
      </c>
      <c r="D232" t="inlineStr">
        <is>
          <t>10000541</t>
        </is>
      </c>
      <c r="E232" t="inlineStr"/>
      <c r="F232" s="11" t="n">
        <v>84.81999999999999</v>
      </c>
      <c r="G232" t="inlineStr"/>
      <c r="I232" t="inlineStr">
        <is>
          <t>TN</t>
        </is>
      </c>
      <c r="J232" t="inlineStr"/>
      <c r="K232" t="inlineStr">
        <is>
          <t>20240122</t>
        </is>
      </c>
      <c r="L232" t="inlineStr">
        <is>
          <t>20241015</t>
        </is>
      </c>
    </row>
    <row r="233">
      <c r="A233" t="inlineStr">
        <is>
          <t>900007052</t>
        </is>
      </c>
      <c r="B233" t="inlineStr">
        <is>
          <t>DW55</t>
        </is>
      </c>
      <c r="C233" t="inlineStr">
        <is>
          <t>ER68</t>
        </is>
      </c>
      <c r="D233" t="inlineStr">
        <is>
          <t>10003240</t>
        </is>
      </c>
      <c r="E233" t="inlineStr"/>
      <c r="F233" s="11" t="n">
        <v>170.7</v>
      </c>
      <c r="G233" t="inlineStr"/>
      <c r="I233" t="inlineStr">
        <is>
          <t>TN</t>
        </is>
      </c>
      <c r="J233" t="inlineStr"/>
      <c r="K233" t="inlineStr">
        <is>
          <t>20240122</t>
        </is>
      </c>
      <c r="L233" t="inlineStr">
        <is>
          <t>20241015</t>
        </is>
      </c>
    </row>
    <row r="234">
      <c r="A234" t="inlineStr">
        <is>
          <t>900007052</t>
        </is>
      </c>
      <c r="B234" t="inlineStr">
        <is>
          <t>DW55</t>
        </is>
      </c>
      <c r="C234" t="inlineStr">
        <is>
          <t>ER68</t>
        </is>
      </c>
      <c r="D234" t="inlineStr">
        <is>
          <t>10210039</t>
        </is>
      </c>
      <c r="E234" t="inlineStr"/>
      <c r="F234" s="11" t="n">
        <v>37.04</v>
      </c>
      <c r="G234" t="inlineStr"/>
      <c r="I234" t="inlineStr">
        <is>
          <t>TN</t>
        </is>
      </c>
      <c r="J234" t="inlineStr"/>
      <c r="K234" t="inlineStr">
        <is>
          <t>20240122</t>
        </is>
      </c>
      <c r="L234" t="inlineStr">
        <is>
          <t>20241015</t>
        </is>
      </c>
    </row>
    <row r="235">
      <c r="A235" t="inlineStr">
        <is>
          <t>900007071</t>
        </is>
      </c>
      <c r="B235" t="inlineStr">
        <is>
          <t>DW55</t>
        </is>
      </c>
      <c r="C235" t="inlineStr">
        <is>
          <t>D325</t>
        </is>
      </c>
      <c r="D235" t="inlineStr">
        <is>
          <t>10000372</t>
        </is>
      </c>
      <c r="E235" t="inlineStr"/>
      <c r="F235" s="11" t="n">
        <v>110.5</v>
      </c>
      <c r="G235" t="inlineStr"/>
      <c r="I235" t="inlineStr">
        <is>
          <t>TN</t>
        </is>
      </c>
      <c r="J235" t="inlineStr"/>
      <c r="K235" t="inlineStr">
        <is>
          <t>20220504</t>
        </is>
      </c>
      <c r="L235" t="inlineStr">
        <is>
          <t>20230127</t>
        </is>
      </c>
    </row>
    <row r="236">
      <c r="A236" t="inlineStr">
        <is>
          <t>900007226</t>
        </is>
      </c>
      <c r="B236" t="inlineStr">
        <is>
          <t>DW55</t>
        </is>
      </c>
      <c r="C236" t="inlineStr">
        <is>
          <t>D325</t>
        </is>
      </c>
      <c r="D236" t="inlineStr">
        <is>
          <t>10000372</t>
        </is>
      </c>
      <c r="E236" t="inlineStr"/>
      <c r="F236" s="11" t="n">
        <v>77.69</v>
      </c>
      <c r="G236" t="inlineStr"/>
      <c r="I236" t="inlineStr">
        <is>
          <t>TN</t>
        </is>
      </c>
      <c r="J236" t="inlineStr"/>
      <c r="K236" t="inlineStr">
        <is>
          <t>20220516</t>
        </is>
      </c>
      <c r="L236" t="inlineStr">
        <is>
          <t>20240716</t>
        </is>
      </c>
    </row>
    <row r="237">
      <c r="A237" t="inlineStr">
        <is>
          <t>900007226</t>
        </is>
      </c>
      <c r="B237" t="inlineStr">
        <is>
          <t>DW55</t>
        </is>
      </c>
      <c r="C237" t="inlineStr">
        <is>
          <t>D325</t>
        </is>
      </c>
      <c r="D237" t="inlineStr">
        <is>
          <t>10023592</t>
        </is>
      </c>
      <c r="E237" t="inlineStr"/>
      <c r="F237" s="11" t="n">
        <v>70.06</v>
      </c>
      <c r="G237" t="inlineStr"/>
      <c r="I237" t="inlineStr">
        <is>
          <t>TN</t>
        </is>
      </c>
      <c r="J237" t="inlineStr"/>
      <c r="K237" t="inlineStr">
        <is>
          <t>20220516</t>
        </is>
      </c>
      <c r="L237" t="inlineStr">
        <is>
          <t>20240716</t>
        </is>
      </c>
    </row>
    <row r="238">
      <c r="A238" t="inlineStr">
        <is>
          <t>900007246</t>
        </is>
      </c>
      <c r="B238" t="inlineStr">
        <is>
          <t>DW55</t>
        </is>
      </c>
      <c r="C238" t="inlineStr">
        <is>
          <t>D284</t>
        </is>
      </c>
      <c r="D238" t="inlineStr">
        <is>
          <t>10210039</t>
        </is>
      </c>
      <c r="E238" t="inlineStr"/>
      <c r="F238" s="11" t="n">
        <v>43.77</v>
      </c>
      <c r="G238" t="inlineStr"/>
      <c r="I238" t="inlineStr">
        <is>
          <t>TN</t>
        </is>
      </c>
      <c r="J238" t="inlineStr"/>
      <c r="K238" t="inlineStr">
        <is>
          <t>20220504</t>
        </is>
      </c>
      <c r="L238" t="inlineStr">
        <is>
          <t>20240716</t>
        </is>
      </c>
    </row>
    <row r="239">
      <c r="A239" t="inlineStr">
        <is>
          <t>900007246</t>
        </is>
      </c>
      <c r="B239" t="inlineStr">
        <is>
          <t>DW55</t>
        </is>
      </c>
      <c r="C239" t="inlineStr">
        <is>
          <t>ER67</t>
        </is>
      </c>
      <c r="D239" t="inlineStr">
        <is>
          <t>10210039</t>
        </is>
      </c>
      <c r="E239" t="inlineStr"/>
      <c r="F239" s="11" t="n">
        <v>43.77</v>
      </c>
      <c r="G239" t="inlineStr"/>
      <c r="I239" t="inlineStr">
        <is>
          <t>TN</t>
        </is>
      </c>
      <c r="J239" t="inlineStr"/>
      <c r="K239" t="inlineStr">
        <is>
          <t>20220504</t>
        </is>
      </c>
      <c r="L239" t="inlineStr">
        <is>
          <t>20230127</t>
        </is>
      </c>
    </row>
    <row r="240">
      <c r="A240" t="inlineStr">
        <is>
          <t>900007246</t>
        </is>
      </c>
      <c r="B240" t="inlineStr">
        <is>
          <t>DW55</t>
        </is>
      </c>
      <c r="C240" t="inlineStr">
        <is>
          <t>ER68</t>
        </is>
      </c>
      <c r="D240" t="inlineStr">
        <is>
          <t>10210039</t>
        </is>
      </c>
      <c r="E240" t="inlineStr"/>
      <c r="F240" s="11" t="n">
        <v>43.77</v>
      </c>
      <c r="G240" t="inlineStr"/>
      <c r="I240" t="inlineStr">
        <is>
          <t>TN</t>
        </is>
      </c>
      <c r="J240" t="inlineStr"/>
      <c r="K240" t="inlineStr">
        <is>
          <t>20220501</t>
        </is>
      </c>
      <c r="L240" t="inlineStr">
        <is>
          <t>20240716</t>
        </is>
      </c>
    </row>
    <row r="241">
      <c r="A241" t="inlineStr">
        <is>
          <t>900007247</t>
        </is>
      </c>
      <c r="B241" t="inlineStr">
        <is>
          <t>DW55</t>
        </is>
      </c>
      <c r="C241" t="inlineStr">
        <is>
          <t>D342</t>
        </is>
      </c>
      <c r="D241" t="inlineStr">
        <is>
          <t>10000372</t>
        </is>
      </c>
      <c r="E241" t="inlineStr"/>
      <c r="F241" s="11" t="n">
        <v>151.93</v>
      </c>
      <c r="G241" t="inlineStr"/>
      <c r="I241" t="inlineStr">
        <is>
          <t>TN</t>
        </is>
      </c>
      <c r="J241" t="inlineStr"/>
      <c r="K241" t="inlineStr">
        <is>
          <t>20220705</t>
        </is>
      </c>
      <c r="L241" t="inlineStr">
        <is>
          <t>20240716</t>
        </is>
      </c>
    </row>
    <row r="242">
      <c r="A242" t="inlineStr">
        <is>
          <t>900007247</t>
        </is>
      </c>
      <c r="B242" t="inlineStr">
        <is>
          <t>DW55</t>
        </is>
      </c>
      <c r="C242" t="inlineStr">
        <is>
          <t>D348</t>
        </is>
      </c>
      <c r="D242" t="inlineStr">
        <is>
          <t>10000372</t>
        </is>
      </c>
      <c r="E242" t="inlineStr"/>
      <c r="F242" s="11" t="n">
        <v>103.59</v>
      </c>
      <c r="G242" t="inlineStr"/>
      <c r="I242" t="inlineStr">
        <is>
          <t>TN</t>
        </is>
      </c>
      <c r="J242" t="inlineStr"/>
      <c r="K242" t="inlineStr">
        <is>
          <t>20220516</t>
        </is>
      </c>
      <c r="L242" t="inlineStr">
        <is>
          <t>20240716</t>
        </is>
      </c>
    </row>
    <row r="243">
      <c r="A243" t="inlineStr">
        <is>
          <t>900007247</t>
        </is>
      </c>
      <c r="B243" t="inlineStr">
        <is>
          <t>DW55</t>
        </is>
      </c>
      <c r="C243" t="inlineStr">
        <is>
          <t>D348</t>
        </is>
      </c>
      <c r="D243" t="inlineStr">
        <is>
          <t>10214752</t>
        </is>
      </c>
      <c r="E243" t="inlineStr"/>
      <c r="F243" s="11" t="n">
        <v>40.27</v>
      </c>
      <c r="G243" t="inlineStr"/>
      <c r="I243" t="inlineStr">
        <is>
          <t>TN</t>
        </is>
      </c>
      <c r="J243" t="inlineStr"/>
      <c r="K243" t="inlineStr">
        <is>
          <t>20220614</t>
        </is>
      </c>
      <c r="L243" t="inlineStr">
        <is>
          <t>20240716</t>
        </is>
      </c>
    </row>
    <row r="244">
      <c r="A244" t="inlineStr">
        <is>
          <t>900007247</t>
        </is>
      </c>
      <c r="B244" t="inlineStr">
        <is>
          <t>DW55</t>
        </is>
      </c>
      <c r="C244" t="inlineStr">
        <is>
          <t>ER67</t>
        </is>
      </c>
      <c r="D244" t="inlineStr">
        <is>
          <t>10210039</t>
        </is>
      </c>
      <c r="E244" t="inlineStr"/>
      <c r="F244" s="11" t="n">
        <v>43.77</v>
      </c>
      <c r="G244" t="inlineStr"/>
      <c r="I244" t="inlineStr">
        <is>
          <t>TN</t>
        </is>
      </c>
      <c r="J244" t="inlineStr"/>
      <c r="K244" t="inlineStr">
        <is>
          <t>20220504</t>
        </is>
      </c>
      <c r="L244" t="inlineStr">
        <is>
          <t>20230127</t>
        </is>
      </c>
    </row>
    <row r="245">
      <c r="A245" t="inlineStr">
        <is>
          <t>900007247</t>
        </is>
      </c>
      <c r="B245" t="inlineStr">
        <is>
          <t>DW55</t>
        </is>
      </c>
      <c r="C245" t="inlineStr">
        <is>
          <t>ER67</t>
        </is>
      </c>
      <c r="D245" t="inlineStr">
        <is>
          <t>10210260</t>
        </is>
      </c>
      <c r="E245" t="inlineStr"/>
      <c r="F245" s="11" t="n">
        <v>120.72</v>
      </c>
      <c r="G245" t="inlineStr"/>
      <c r="I245" t="inlineStr">
        <is>
          <t>TN</t>
        </is>
      </c>
      <c r="J245" t="inlineStr"/>
      <c r="K245" t="inlineStr">
        <is>
          <t>20220504</t>
        </is>
      </c>
      <c r="L245" t="inlineStr">
        <is>
          <t>20230127</t>
        </is>
      </c>
    </row>
    <row r="246">
      <c r="A246" t="inlineStr">
        <is>
          <t>900007247</t>
        </is>
      </c>
      <c r="B246" t="inlineStr">
        <is>
          <t>DW55</t>
        </is>
      </c>
      <c r="C246" t="inlineStr">
        <is>
          <t>ER68</t>
        </is>
      </c>
      <c r="D246" t="inlineStr">
        <is>
          <t>10210039</t>
        </is>
      </c>
      <c r="E246" t="inlineStr"/>
      <c r="F246" s="11" t="n">
        <v>43.77</v>
      </c>
      <c r="G246" t="inlineStr"/>
      <c r="I246" t="inlineStr">
        <is>
          <t>TN</t>
        </is>
      </c>
      <c r="J246" t="inlineStr"/>
      <c r="K246" t="inlineStr">
        <is>
          <t>20220501</t>
        </is>
      </c>
      <c r="L246" t="inlineStr">
        <is>
          <t>20240716</t>
        </is>
      </c>
    </row>
    <row r="247">
      <c r="A247" t="inlineStr">
        <is>
          <t>900007247</t>
        </is>
      </c>
      <c r="B247" t="inlineStr">
        <is>
          <t>DW55</t>
        </is>
      </c>
      <c r="C247" t="inlineStr">
        <is>
          <t>ER68</t>
        </is>
      </c>
      <c r="D247" t="inlineStr">
        <is>
          <t>10210260</t>
        </is>
      </c>
      <c r="E247" t="inlineStr"/>
      <c r="F247" s="11" t="n">
        <v>120.72</v>
      </c>
      <c r="G247" t="inlineStr"/>
      <c r="I247" t="inlineStr">
        <is>
          <t>TN</t>
        </is>
      </c>
      <c r="J247" t="inlineStr"/>
      <c r="K247" t="inlineStr">
        <is>
          <t>20220501</t>
        </is>
      </c>
      <c r="L247" t="inlineStr">
        <is>
          <t>20240716</t>
        </is>
      </c>
    </row>
    <row r="248">
      <c r="A248" t="inlineStr">
        <is>
          <t>900007250</t>
        </is>
      </c>
      <c r="B248" t="inlineStr">
        <is>
          <t>DW55</t>
        </is>
      </c>
      <c r="C248" t="inlineStr">
        <is>
          <t>D284</t>
        </is>
      </c>
      <c r="D248" t="inlineStr">
        <is>
          <t>10000178</t>
        </is>
      </c>
      <c r="E248" t="inlineStr"/>
      <c r="F248" s="11" t="n">
        <v>152.62</v>
      </c>
      <c r="G248" t="inlineStr"/>
      <c r="I248" t="inlineStr">
        <is>
          <t>TN</t>
        </is>
      </c>
      <c r="J248" t="inlineStr"/>
      <c r="K248" t="inlineStr">
        <is>
          <t>20220630</t>
        </is>
      </c>
      <c r="L248" t="inlineStr">
        <is>
          <t>20240716</t>
        </is>
      </c>
    </row>
    <row r="249">
      <c r="A249" t="inlineStr">
        <is>
          <t>900007250</t>
        </is>
      </c>
      <c r="B249" t="inlineStr">
        <is>
          <t>DW55</t>
        </is>
      </c>
      <c r="C249" t="inlineStr">
        <is>
          <t>D284</t>
        </is>
      </c>
      <c r="D249" t="inlineStr">
        <is>
          <t>10000826</t>
        </is>
      </c>
      <c r="E249" t="inlineStr"/>
      <c r="F249" s="11" t="n">
        <v>110.34</v>
      </c>
      <c r="G249" t="inlineStr"/>
      <c r="I249" t="inlineStr">
        <is>
          <t>TN</t>
        </is>
      </c>
      <c r="J249" t="inlineStr"/>
      <c r="K249" t="inlineStr">
        <is>
          <t>20220713</t>
        </is>
      </c>
      <c r="L249" t="inlineStr">
        <is>
          <t>20240716</t>
        </is>
      </c>
    </row>
    <row r="250">
      <c r="A250" t="inlineStr">
        <is>
          <t>900007250</t>
        </is>
      </c>
      <c r="B250" t="inlineStr">
        <is>
          <t>DW55</t>
        </is>
      </c>
      <c r="C250" t="inlineStr">
        <is>
          <t>D309</t>
        </is>
      </c>
      <c r="D250" t="inlineStr">
        <is>
          <t>10000178</t>
        </is>
      </c>
      <c r="E250" t="inlineStr"/>
      <c r="F250" s="11" t="n">
        <v>152.62</v>
      </c>
      <c r="G250" t="inlineStr"/>
      <c r="I250" t="inlineStr">
        <is>
          <t>TN</t>
        </is>
      </c>
      <c r="J250" t="inlineStr"/>
      <c r="K250" t="inlineStr">
        <is>
          <t>20220517</t>
        </is>
      </c>
      <c r="L250" t="inlineStr">
        <is>
          <t>20240716</t>
        </is>
      </c>
    </row>
    <row r="251">
      <c r="A251" t="inlineStr">
        <is>
          <t>900007250</t>
        </is>
      </c>
      <c r="B251" t="inlineStr">
        <is>
          <t>DW55</t>
        </is>
      </c>
      <c r="C251" t="inlineStr">
        <is>
          <t>D309</t>
        </is>
      </c>
      <c r="D251" t="inlineStr">
        <is>
          <t>10000541</t>
        </is>
      </c>
      <c r="E251" t="inlineStr"/>
      <c r="F251" s="11" t="n">
        <v>196.34</v>
      </c>
      <c r="G251" t="inlineStr"/>
      <c r="I251" t="inlineStr">
        <is>
          <t>TN</t>
        </is>
      </c>
      <c r="J251" t="inlineStr"/>
      <c r="K251" t="inlineStr">
        <is>
          <t>20240904</t>
        </is>
      </c>
      <c r="L251" t="inlineStr">
        <is>
          <t>20240905</t>
        </is>
      </c>
    </row>
    <row r="252">
      <c r="A252" t="inlineStr">
        <is>
          <t>900007250</t>
        </is>
      </c>
      <c r="B252" t="inlineStr">
        <is>
          <t>DW55</t>
        </is>
      </c>
      <c r="C252" t="inlineStr">
        <is>
          <t>D309</t>
        </is>
      </c>
      <c r="D252" t="inlineStr">
        <is>
          <t>10000826</t>
        </is>
      </c>
      <c r="E252" t="inlineStr"/>
      <c r="F252" s="11" t="n">
        <v>110.34</v>
      </c>
      <c r="G252" t="inlineStr"/>
      <c r="I252" t="inlineStr">
        <is>
          <t>TN</t>
        </is>
      </c>
      <c r="J252" t="inlineStr"/>
      <c r="K252" t="inlineStr">
        <is>
          <t>20220504</t>
        </is>
      </c>
      <c r="L252" t="inlineStr">
        <is>
          <t>20240716</t>
        </is>
      </c>
    </row>
    <row r="253">
      <c r="A253" t="inlineStr">
        <is>
          <t>900007250</t>
        </is>
      </c>
      <c r="B253" t="inlineStr">
        <is>
          <t>DW55</t>
        </is>
      </c>
      <c r="C253" t="inlineStr">
        <is>
          <t>D342</t>
        </is>
      </c>
      <c r="D253" t="inlineStr">
        <is>
          <t>10000178</t>
        </is>
      </c>
      <c r="E253" t="inlineStr"/>
      <c r="F253" s="11" t="n">
        <v>152.62</v>
      </c>
      <c r="G253" t="inlineStr"/>
      <c r="I253" t="inlineStr">
        <is>
          <t>TN</t>
        </is>
      </c>
      <c r="J253" t="inlineStr"/>
      <c r="K253" t="inlineStr">
        <is>
          <t>20220630</t>
        </is>
      </c>
      <c r="L253" t="inlineStr">
        <is>
          <t>20240716</t>
        </is>
      </c>
    </row>
    <row r="254">
      <c r="A254" t="inlineStr">
        <is>
          <t>900007250</t>
        </is>
      </c>
      <c r="B254" t="inlineStr">
        <is>
          <t>DW55</t>
        </is>
      </c>
      <c r="C254" t="inlineStr">
        <is>
          <t>D342</t>
        </is>
      </c>
      <c r="D254" t="inlineStr">
        <is>
          <t>10000826</t>
        </is>
      </c>
      <c r="E254" t="inlineStr"/>
      <c r="F254" s="11" t="n">
        <v>110.34</v>
      </c>
      <c r="G254" t="inlineStr"/>
      <c r="I254" t="inlineStr">
        <is>
          <t>TN</t>
        </is>
      </c>
      <c r="J254" t="inlineStr"/>
      <c r="K254" t="inlineStr">
        <is>
          <t>20220713</t>
        </is>
      </c>
      <c r="L254" t="inlineStr">
        <is>
          <t>20240716</t>
        </is>
      </c>
    </row>
    <row r="255">
      <c r="A255" t="inlineStr">
        <is>
          <t>900007250</t>
        </is>
      </c>
      <c r="B255" t="inlineStr">
        <is>
          <t>DW55</t>
        </is>
      </c>
      <c r="C255" t="inlineStr">
        <is>
          <t>ER67</t>
        </is>
      </c>
      <c r="D255" t="inlineStr">
        <is>
          <t>10000826</t>
        </is>
      </c>
      <c r="E255" t="inlineStr"/>
      <c r="F255" s="11" t="n">
        <v>110.34</v>
      </c>
      <c r="G255" t="inlineStr"/>
      <c r="I255" t="inlineStr">
        <is>
          <t>TN</t>
        </is>
      </c>
      <c r="J255" t="inlineStr"/>
      <c r="K255" t="inlineStr">
        <is>
          <t>20220504</t>
        </is>
      </c>
      <c r="L255" t="inlineStr">
        <is>
          <t>20230127</t>
        </is>
      </c>
    </row>
    <row r="256">
      <c r="A256" t="inlineStr">
        <is>
          <t>900007250</t>
        </is>
      </c>
      <c r="B256" t="inlineStr">
        <is>
          <t>DW55</t>
        </is>
      </c>
      <c r="C256" t="inlineStr">
        <is>
          <t>ER68</t>
        </is>
      </c>
      <c r="D256" t="inlineStr">
        <is>
          <t>10000826</t>
        </is>
      </c>
      <c r="E256" t="inlineStr"/>
      <c r="F256" s="11" t="n">
        <v>110.34</v>
      </c>
      <c r="G256" t="inlineStr"/>
      <c r="I256" t="inlineStr">
        <is>
          <t>TN</t>
        </is>
      </c>
      <c r="J256" t="inlineStr"/>
      <c r="K256" t="inlineStr">
        <is>
          <t>20220501</t>
        </is>
      </c>
      <c r="L256" t="inlineStr">
        <is>
          <t>20240716</t>
        </is>
      </c>
    </row>
    <row r="257">
      <c r="A257" t="inlineStr">
        <is>
          <t>900007303</t>
        </is>
      </c>
      <c r="B257" t="inlineStr">
        <is>
          <t>DW55</t>
        </is>
      </c>
      <c r="C257" t="inlineStr">
        <is>
          <t>D325</t>
        </is>
      </c>
      <c r="D257" t="inlineStr">
        <is>
          <t>10213318</t>
        </is>
      </c>
      <c r="E257" t="inlineStr"/>
      <c r="F257" s="11" t="n">
        <v>460.57</v>
      </c>
      <c r="G257" t="inlineStr"/>
      <c r="I257" t="inlineStr">
        <is>
          <t>TN</t>
        </is>
      </c>
      <c r="J257" t="inlineStr"/>
      <c r="K257" t="inlineStr">
        <is>
          <t>20220516</t>
        </is>
      </c>
      <c r="L257" t="inlineStr">
        <is>
          <t>20240320</t>
        </is>
      </c>
    </row>
    <row r="258">
      <c r="A258" t="inlineStr">
        <is>
          <t>900007303</t>
        </is>
      </c>
      <c r="B258" t="inlineStr">
        <is>
          <t>DW55</t>
        </is>
      </c>
      <c r="C258" t="inlineStr">
        <is>
          <t>D348</t>
        </is>
      </c>
      <c r="D258" t="inlineStr">
        <is>
          <t>10213318</t>
        </is>
      </c>
      <c r="E258" t="inlineStr"/>
      <c r="F258" s="11" t="n">
        <v>460.57</v>
      </c>
      <c r="G258" t="inlineStr"/>
      <c r="I258" t="inlineStr">
        <is>
          <t>TN</t>
        </is>
      </c>
      <c r="J258" t="inlineStr"/>
      <c r="K258" t="inlineStr">
        <is>
          <t>20220516</t>
        </is>
      </c>
      <c r="L258" t="inlineStr">
        <is>
          <t>20240320</t>
        </is>
      </c>
    </row>
    <row r="259">
      <c r="A259" t="inlineStr">
        <is>
          <t>900007304</t>
        </is>
      </c>
      <c r="B259" t="inlineStr">
        <is>
          <t>DW55</t>
        </is>
      </c>
      <c r="C259" t="inlineStr">
        <is>
          <t>D284</t>
        </is>
      </c>
      <c r="D259" t="inlineStr">
        <is>
          <t>10000372</t>
        </is>
      </c>
      <c r="E259" t="inlineStr"/>
      <c r="F259" s="11" t="n">
        <v>200.28</v>
      </c>
      <c r="G259" t="inlineStr"/>
      <c r="I259" t="inlineStr">
        <is>
          <t>TN</t>
        </is>
      </c>
      <c r="J259" t="inlineStr"/>
      <c r="K259" t="inlineStr">
        <is>
          <t>20220504</t>
        </is>
      </c>
      <c r="L259" t="inlineStr">
        <is>
          <t>20251031</t>
        </is>
      </c>
    </row>
    <row r="260">
      <c r="A260" t="inlineStr">
        <is>
          <t>900007304</t>
        </is>
      </c>
      <c r="B260" t="inlineStr">
        <is>
          <t>DW55</t>
        </is>
      </c>
      <c r="C260" t="inlineStr">
        <is>
          <t>D284</t>
        </is>
      </c>
      <c r="D260" t="inlineStr">
        <is>
          <t>10000373</t>
        </is>
      </c>
      <c r="E260" t="inlineStr"/>
      <c r="F260" s="11" t="n">
        <v>286.74</v>
      </c>
      <c r="G260" t="inlineStr"/>
      <c r="I260" t="inlineStr">
        <is>
          <t>TN</t>
        </is>
      </c>
      <c r="J260" t="inlineStr"/>
      <c r="K260" t="inlineStr">
        <is>
          <t>20250428</t>
        </is>
      </c>
      <c r="L260" t="inlineStr">
        <is>
          <t>20251031</t>
        </is>
      </c>
    </row>
    <row r="261">
      <c r="A261" t="inlineStr">
        <is>
          <t>900007304</t>
        </is>
      </c>
      <c r="B261" t="inlineStr">
        <is>
          <t>DW55</t>
        </is>
      </c>
      <c r="C261" t="inlineStr">
        <is>
          <t>D284</t>
        </is>
      </c>
      <c r="D261" t="inlineStr">
        <is>
          <t>10218414</t>
        </is>
      </c>
      <c r="E261" t="inlineStr"/>
      <c r="F261" s="11" t="n">
        <v>217.82</v>
      </c>
      <c r="G261" t="inlineStr"/>
      <c r="I261" t="inlineStr">
        <is>
          <t>TN</t>
        </is>
      </c>
      <c r="J261" t="inlineStr"/>
      <c r="K261" t="inlineStr">
        <is>
          <t>20220705</t>
        </is>
      </c>
      <c r="L261" t="inlineStr">
        <is>
          <t>20240930</t>
        </is>
      </c>
    </row>
    <row r="262">
      <c r="A262" t="inlineStr">
        <is>
          <t>900007304</t>
        </is>
      </c>
      <c r="B262" t="inlineStr">
        <is>
          <t>DW55</t>
        </is>
      </c>
      <c r="C262" t="inlineStr">
        <is>
          <t>D309</t>
        </is>
      </c>
      <c r="D262" t="inlineStr">
        <is>
          <t>10000372</t>
        </is>
      </c>
      <c r="E262" t="inlineStr"/>
      <c r="F262" s="11" t="n">
        <v>200.28</v>
      </c>
      <c r="G262" t="inlineStr"/>
      <c r="I262" t="inlineStr">
        <is>
          <t>TN</t>
        </is>
      </c>
      <c r="J262" t="inlineStr"/>
      <c r="K262" t="inlineStr">
        <is>
          <t>20220504</t>
        </is>
      </c>
      <c r="L262" t="inlineStr">
        <is>
          <t>20251031</t>
        </is>
      </c>
    </row>
    <row r="263">
      <c r="A263" t="inlineStr">
        <is>
          <t>900007304</t>
        </is>
      </c>
      <c r="B263" t="inlineStr">
        <is>
          <t>DW55</t>
        </is>
      </c>
      <c r="C263" t="inlineStr">
        <is>
          <t>D309</t>
        </is>
      </c>
      <c r="D263" t="inlineStr">
        <is>
          <t>10000373</t>
        </is>
      </c>
      <c r="E263" t="inlineStr"/>
      <c r="F263" s="11" t="n">
        <v>286.74</v>
      </c>
      <c r="G263" t="inlineStr"/>
      <c r="I263" t="inlineStr">
        <is>
          <t>TN</t>
        </is>
      </c>
      <c r="J263" t="inlineStr"/>
      <c r="K263" t="inlineStr">
        <is>
          <t>20250428</t>
        </is>
      </c>
      <c r="L263" t="inlineStr">
        <is>
          <t>20251031</t>
        </is>
      </c>
    </row>
    <row r="264">
      <c r="A264" t="inlineStr">
        <is>
          <t>900007304</t>
        </is>
      </c>
      <c r="B264" t="inlineStr">
        <is>
          <t>DW55</t>
        </is>
      </c>
      <c r="C264" t="inlineStr">
        <is>
          <t>D309</t>
        </is>
      </c>
      <c r="D264" t="inlineStr">
        <is>
          <t>10218414</t>
        </is>
      </c>
      <c r="E264" t="inlineStr"/>
      <c r="F264" s="11" t="n">
        <v>217.82</v>
      </c>
      <c r="G264" t="inlineStr"/>
      <c r="I264" t="inlineStr">
        <is>
          <t>TN</t>
        </is>
      </c>
      <c r="J264" t="inlineStr"/>
      <c r="K264" t="inlineStr">
        <is>
          <t>20220705</t>
        </is>
      </c>
      <c r="L264" t="inlineStr">
        <is>
          <t>20240930</t>
        </is>
      </c>
    </row>
    <row r="265">
      <c r="A265" t="inlineStr">
        <is>
          <t>900007304</t>
        </is>
      </c>
      <c r="B265" t="inlineStr">
        <is>
          <t>DW55</t>
        </is>
      </c>
      <c r="C265" t="inlineStr">
        <is>
          <t>D325</t>
        </is>
      </c>
      <c r="D265" t="inlineStr">
        <is>
          <t>10000373</t>
        </is>
      </c>
      <c r="E265" t="inlineStr"/>
      <c r="F265" s="11" t="n">
        <v>358.42</v>
      </c>
      <c r="G265" t="inlineStr"/>
      <c r="I265" t="inlineStr">
        <is>
          <t>TN</t>
        </is>
      </c>
      <c r="J265" t="inlineStr"/>
      <c r="K265" t="inlineStr">
        <is>
          <t>20250428</t>
        </is>
      </c>
      <c r="L265" t="inlineStr">
        <is>
          <t>20251031</t>
        </is>
      </c>
    </row>
    <row r="266">
      <c r="A266" t="inlineStr">
        <is>
          <t>900007304</t>
        </is>
      </c>
      <c r="B266" t="inlineStr">
        <is>
          <t>DW55</t>
        </is>
      </c>
      <c r="C266" t="inlineStr">
        <is>
          <t>D325</t>
        </is>
      </c>
      <c r="D266" t="inlineStr">
        <is>
          <t>10000673</t>
        </is>
      </c>
      <c r="E266" t="inlineStr"/>
      <c r="F266" s="11" t="n">
        <v>472.73</v>
      </c>
      <c r="G266" t="inlineStr"/>
      <c r="I266" t="inlineStr">
        <is>
          <t>TN</t>
        </is>
      </c>
      <c r="J266" t="inlineStr"/>
      <c r="K266" t="inlineStr">
        <is>
          <t>20220705</t>
        </is>
      </c>
      <c r="L266" t="inlineStr">
        <is>
          <t>20240930</t>
        </is>
      </c>
    </row>
    <row r="267">
      <c r="A267" t="inlineStr">
        <is>
          <t>900007304</t>
        </is>
      </c>
      <c r="B267" t="inlineStr">
        <is>
          <t>DW55</t>
        </is>
      </c>
      <c r="C267" t="inlineStr">
        <is>
          <t>D325</t>
        </is>
      </c>
      <c r="D267" t="inlineStr">
        <is>
          <t>10213318</t>
        </is>
      </c>
      <c r="E267" t="inlineStr"/>
      <c r="F267" s="11" t="n">
        <v>319.47</v>
      </c>
      <c r="G267" t="inlineStr"/>
      <c r="I267" t="inlineStr">
        <is>
          <t>TN</t>
        </is>
      </c>
      <c r="J267" t="inlineStr"/>
      <c r="K267" t="inlineStr">
        <is>
          <t>20220705</t>
        </is>
      </c>
      <c r="L267" t="inlineStr">
        <is>
          <t>20240930</t>
        </is>
      </c>
    </row>
    <row r="268">
      <c r="A268" t="inlineStr">
        <is>
          <t>900007304</t>
        </is>
      </c>
      <c r="B268" t="inlineStr">
        <is>
          <t>DW55</t>
        </is>
      </c>
      <c r="C268" t="inlineStr">
        <is>
          <t>D342</t>
        </is>
      </c>
      <c r="D268" t="inlineStr">
        <is>
          <t>10000372</t>
        </is>
      </c>
      <c r="E268" t="inlineStr"/>
      <c r="F268" s="11" t="n">
        <v>200.28</v>
      </c>
      <c r="G268" t="inlineStr"/>
      <c r="I268" t="inlineStr">
        <is>
          <t>TN</t>
        </is>
      </c>
      <c r="J268" t="inlineStr"/>
      <c r="K268" t="inlineStr">
        <is>
          <t>20220504</t>
        </is>
      </c>
      <c r="L268" t="inlineStr">
        <is>
          <t>20251031</t>
        </is>
      </c>
    </row>
    <row r="269">
      <c r="A269" t="inlineStr">
        <is>
          <t>900007304</t>
        </is>
      </c>
      <c r="B269" t="inlineStr">
        <is>
          <t>DW55</t>
        </is>
      </c>
      <c r="C269" t="inlineStr">
        <is>
          <t>D342</t>
        </is>
      </c>
      <c r="D269" t="inlineStr">
        <is>
          <t>10000373</t>
        </is>
      </c>
      <c r="E269" t="inlineStr"/>
      <c r="F269" s="11" t="n">
        <v>286.74</v>
      </c>
      <c r="G269" t="inlineStr"/>
      <c r="I269" t="inlineStr">
        <is>
          <t>TN</t>
        </is>
      </c>
      <c r="J269" t="inlineStr"/>
      <c r="K269" t="inlineStr">
        <is>
          <t>20250428</t>
        </is>
      </c>
      <c r="L269" t="inlineStr">
        <is>
          <t>20251031</t>
        </is>
      </c>
    </row>
    <row r="270">
      <c r="A270" t="inlineStr">
        <is>
          <t>900007304</t>
        </is>
      </c>
      <c r="B270" t="inlineStr">
        <is>
          <t>DW55</t>
        </is>
      </c>
      <c r="C270" t="inlineStr">
        <is>
          <t>D342</t>
        </is>
      </c>
      <c r="D270" t="inlineStr">
        <is>
          <t>10218414</t>
        </is>
      </c>
      <c r="E270" t="inlineStr"/>
      <c r="F270" s="11" t="n">
        <v>217.82</v>
      </c>
      <c r="G270" t="inlineStr"/>
      <c r="I270" t="inlineStr">
        <is>
          <t>TN</t>
        </is>
      </c>
      <c r="J270" t="inlineStr"/>
      <c r="K270" t="inlineStr">
        <is>
          <t>20220705</t>
        </is>
      </c>
      <c r="L270" t="inlineStr">
        <is>
          <t>20240930</t>
        </is>
      </c>
    </row>
    <row r="271">
      <c r="A271" t="inlineStr">
        <is>
          <t>900007304</t>
        </is>
      </c>
      <c r="B271" t="inlineStr">
        <is>
          <t>DW55</t>
        </is>
      </c>
      <c r="C271" t="inlineStr">
        <is>
          <t>D348</t>
        </is>
      </c>
      <c r="D271" t="inlineStr">
        <is>
          <t>10000373</t>
        </is>
      </c>
      <c r="E271" t="inlineStr"/>
      <c r="F271" s="11" t="n">
        <v>358.42</v>
      </c>
      <c r="G271" t="inlineStr"/>
      <c r="I271" t="inlineStr">
        <is>
          <t>TN</t>
        </is>
      </c>
      <c r="J271" t="inlineStr"/>
      <c r="K271" t="inlineStr">
        <is>
          <t>20250428</t>
        </is>
      </c>
      <c r="L271" t="inlineStr">
        <is>
          <t>20251031</t>
        </is>
      </c>
    </row>
    <row r="272">
      <c r="A272" t="inlineStr">
        <is>
          <t>900007304</t>
        </is>
      </c>
      <c r="B272" t="inlineStr">
        <is>
          <t>DW55</t>
        </is>
      </c>
      <c r="C272" t="inlineStr">
        <is>
          <t>D348</t>
        </is>
      </c>
      <c r="D272" t="inlineStr">
        <is>
          <t>10000673</t>
        </is>
      </c>
      <c r="E272" t="inlineStr"/>
      <c r="F272" s="11" t="n">
        <v>472.73</v>
      </c>
      <c r="G272" t="inlineStr"/>
      <c r="I272" t="inlineStr">
        <is>
          <t>TN</t>
        </is>
      </c>
      <c r="J272" t="inlineStr"/>
      <c r="K272" t="inlineStr">
        <is>
          <t>20220705</t>
        </is>
      </c>
      <c r="L272" t="inlineStr">
        <is>
          <t>20240930</t>
        </is>
      </c>
    </row>
    <row r="273">
      <c r="A273" t="inlineStr">
        <is>
          <t>900007304</t>
        </is>
      </c>
      <c r="B273" t="inlineStr">
        <is>
          <t>DW55</t>
        </is>
      </c>
      <c r="C273" t="inlineStr">
        <is>
          <t>D348</t>
        </is>
      </c>
      <c r="D273" t="inlineStr">
        <is>
          <t>10213318</t>
        </is>
      </c>
      <c r="E273" t="inlineStr"/>
      <c r="F273" s="11" t="n">
        <v>460.57</v>
      </c>
      <c r="G273" t="inlineStr"/>
      <c r="I273" t="inlineStr">
        <is>
          <t>TN</t>
        </is>
      </c>
      <c r="J273" t="inlineStr"/>
      <c r="K273" t="inlineStr">
        <is>
          <t>20220705</t>
        </is>
      </c>
      <c r="L273" t="inlineStr">
        <is>
          <t>20240930</t>
        </is>
      </c>
    </row>
    <row r="274">
      <c r="A274" t="inlineStr">
        <is>
          <t>900007304</t>
        </is>
      </c>
      <c r="B274" t="inlineStr">
        <is>
          <t>DW55</t>
        </is>
      </c>
      <c r="C274" t="inlineStr">
        <is>
          <t>D348</t>
        </is>
      </c>
      <c r="D274" t="inlineStr">
        <is>
          <t>10217663</t>
        </is>
      </c>
      <c r="E274" t="inlineStr"/>
      <c r="F274" s="11" t="n">
        <v>44.64</v>
      </c>
      <c r="G274" t="inlineStr"/>
      <c r="I274" t="inlineStr">
        <is>
          <t>TN</t>
        </is>
      </c>
      <c r="J274" t="inlineStr"/>
      <c r="K274" t="inlineStr">
        <is>
          <t>20220705</t>
        </is>
      </c>
      <c r="L274" t="inlineStr">
        <is>
          <t>20240930</t>
        </is>
      </c>
    </row>
    <row r="275">
      <c r="A275" t="inlineStr">
        <is>
          <t>900007304</t>
        </is>
      </c>
      <c r="B275" t="inlineStr">
        <is>
          <t>DW55</t>
        </is>
      </c>
      <c r="C275" t="inlineStr">
        <is>
          <t>D348</t>
        </is>
      </c>
      <c r="D275" t="inlineStr">
        <is>
          <t>10218414</t>
        </is>
      </c>
      <c r="E275" t="inlineStr"/>
      <c r="F275" s="11" t="n">
        <v>217.82</v>
      </c>
      <c r="G275" t="inlineStr"/>
      <c r="I275" t="inlineStr">
        <is>
          <t>TN</t>
        </is>
      </c>
      <c r="J275" t="inlineStr"/>
      <c r="K275" t="inlineStr">
        <is>
          <t>20220705</t>
        </is>
      </c>
      <c r="L275" t="inlineStr">
        <is>
          <t>20240930</t>
        </is>
      </c>
    </row>
    <row r="276">
      <c r="A276" t="inlineStr">
        <is>
          <t>900007341</t>
        </is>
      </c>
      <c r="B276" t="inlineStr">
        <is>
          <t>DW55</t>
        </is>
      </c>
      <c r="C276" t="inlineStr">
        <is>
          <t>D284</t>
        </is>
      </c>
      <c r="D276" t="inlineStr">
        <is>
          <t>10000373</t>
        </is>
      </c>
      <c r="E276" t="inlineStr"/>
      <c r="F276" s="11" t="n">
        <v>286.74</v>
      </c>
      <c r="G276" t="inlineStr"/>
      <c r="I276" t="inlineStr">
        <is>
          <t>TN</t>
        </is>
      </c>
      <c r="J276" t="inlineStr"/>
      <c r="K276" t="inlineStr">
        <is>
          <t>20230307</t>
        </is>
      </c>
      <c r="L276" t="inlineStr">
        <is>
          <t>20230316</t>
        </is>
      </c>
    </row>
    <row r="277">
      <c r="A277" t="inlineStr">
        <is>
          <t>900007341</t>
        </is>
      </c>
      <c r="B277" t="inlineStr">
        <is>
          <t>DW55</t>
        </is>
      </c>
      <c r="C277" t="inlineStr">
        <is>
          <t>D309</t>
        </is>
      </c>
      <c r="D277" t="inlineStr">
        <is>
          <t>10000373</t>
        </is>
      </c>
      <c r="E277" t="inlineStr"/>
      <c r="F277" s="11" t="n">
        <v>286.74</v>
      </c>
      <c r="G277" t="inlineStr"/>
      <c r="I277" t="inlineStr">
        <is>
          <t>TN</t>
        </is>
      </c>
      <c r="J277" t="inlineStr"/>
      <c r="K277" t="inlineStr">
        <is>
          <t>20230307</t>
        </is>
      </c>
      <c r="L277" t="inlineStr">
        <is>
          <t>20230316</t>
        </is>
      </c>
    </row>
    <row r="278">
      <c r="A278" t="inlineStr">
        <is>
          <t>900007341</t>
        </is>
      </c>
      <c r="B278" t="inlineStr">
        <is>
          <t>DW55</t>
        </is>
      </c>
      <c r="C278" t="inlineStr">
        <is>
          <t>D342</t>
        </is>
      </c>
      <c r="D278" t="inlineStr">
        <is>
          <t>10000373</t>
        </is>
      </c>
      <c r="E278" t="inlineStr"/>
      <c r="F278" s="11" t="n">
        <v>286.74</v>
      </c>
      <c r="G278" t="inlineStr"/>
      <c r="I278" t="inlineStr">
        <is>
          <t>TN</t>
        </is>
      </c>
      <c r="J278" t="inlineStr"/>
      <c r="K278" t="inlineStr">
        <is>
          <t>20230307</t>
        </is>
      </c>
      <c r="L278" t="inlineStr">
        <is>
          <t>20230316</t>
        </is>
      </c>
    </row>
    <row r="279">
      <c r="A279" t="inlineStr">
        <is>
          <t>900007378</t>
        </is>
      </c>
      <c r="B279" t="inlineStr">
        <is>
          <t>DW55</t>
        </is>
      </c>
      <c r="C279" t="inlineStr">
        <is>
          <t>D325</t>
        </is>
      </c>
      <c r="D279" t="inlineStr">
        <is>
          <t>10079650</t>
        </is>
      </c>
      <c r="E279" t="inlineStr"/>
      <c r="F279" s="11" t="n">
        <v>131.22</v>
      </c>
      <c r="G279" t="inlineStr"/>
      <c r="I279" t="inlineStr">
        <is>
          <t>TN</t>
        </is>
      </c>
      <c r="J279" t="inlineStr"/>
      <c r="K279" t="inlineStr">
        <is>
          <t>20220516</t>
        </is>
      </c>
      <c r="L279" t="inlineStr">
        <is>
          <t>20240320</t>
        </is>
      </c>
    </row>
    <row r="280">
      <c r="A280" t="inlineStr">
        <is>
          <t>900007378</t>
        </is>
      </c>
      <c r="B280" t="inlineStr">
        <is>
          <t>DW55</t>
        </is>
      </c>
      <c r="C280" t="inlineStr">
        <is>
          <t>D348</t>
        </is>
      </c>
      <c r="D280" t="inlineStr">
        <is>
          <t>10079650</t>
        </is>
      </c>
      <c r="E280" t="inlineStr"/>
      <c r="F280" s="11" t="n">
        <v>138.12</v>
      </c>
      <c r="G280" t="inlineStr"/>
      <c r="I280" t="inlineStr">
        <is>
          <t>TN</t>
        </is>
      </c>
      <c r="J280" t="inlineStr"/>
      <c r="K280" t="inlineStr">
        <is>
          <t>20220516</t>
        </is>
      </c>
      <c r="L280" t="inlineStr">
        <is>
          <t>20240320</t>
        </is>
      </c>
    </row>
    <row r="281">
      <c r="A281" t="inlineStr">
        <is>
          <t>900007378</t>
        </is>
      </c>
      <c r="B281" t="inlineStr">
        <is>
          <t>DW55</t>
        </is>
      </c>
      <c r="C281" t="inlineStr">
        <is>
          <t>ER67</t>
        </is>
      </c>
      <c r="D281" t="inlineStr">
        <is>
          <t>10000372</t>
        </is>
      </c>
      <c r="E281" t="inlineStr"/>
      <c r="F281" s="11" t="n">
        <v>155.99</v>
      </c>
      <c r="G281" t="inlineStr"/>
      <c r="I281" t="inlineStr">
        <is>
          <t>TN</t>
        </is>
      </c>
      <c r="J281" t="inlineStr"/>
      <c r="K281" t="inlineStr">
        <is>
          <t>20220504</t>
        </is>
      </c>
      <c r="L281" t="inlineStr">
        <is>
          <t>20230127</t>
        </is>
      </c>
    </row>
    <row r="282">
      <c r="A282" t="inlineStr">
        <is>
          <t>900007378</t>
        </is>
      </c>
      <c r="B282" t="inlineStr">
        <is>
          <t>DW55</t>
        </is>
      </c>
      <c r="C282" t="inlineStr">
        <is>
          <t>ER68</t>
        </is>
      </c>
      <c r="D282" t="inlineStr">
        <is>
          <t>10000372</t>
        </is>
      </c>
      <c r="E282" t="inlineStr"/>
      <c r="F282" s="11" t="n">
        <v>148.19</v>
      </c>
      <c r="G282" t="inlineStr"/>
      <c r="I282" t="inlineStr">
        <is>
          <t>TN</t>
        </is>
      </c>
      <c r="J282" t="inlineStr"/>
      <c r="K282" t="inlineStr">
        <is>
          <t>20220516</t>
        </is>
      </c>
      <c r="L282" t="inlineStr">
        <is>
          <t>20240319</t>
        </is>
      </c>
    </row>
    <row r="283">
      <c r="A283" t="inlineStr">
        <is>
          <t>900007399</t>
        </is>
      </c>
      <c r="B283" t="inlineStr">
        <is>
          <t>DW55</t>
        </is>
      </c>
      <c r="C283" t="inlineStr">
        <is>
          <t>D348</t>
        </is>
      </c>
      <c r="D283" t="inlineStr">
        <is>
          <t>10079650</t>
        </is>
      </c>
      <c r="E283" t="inlineStr"/>
      <c r="F283" s="11" t="n">
        <v>138.12</v>
      </c>
      <c r="G283" t="inlineStr"/>
      <c r="I283" t="inlineStr">
        <is>
          <t>TN</t>
        </is>
      </c>
      <c r="J283" t="inlineStr"/>
      <c r="K283" t="inlineStr">
        <is>
          <t>20240122</t>
        </is>
      </c>
      <c r="L283" t="inlineStr">
        <is>
          <t>20241015</t>
        </is>
      </c>
    </row>
    <row r="284">
      <c r="A284" t="inlineStr">
        <is>
          <t>900007412</t>
        </is>
      </c>
      <c r="B284" t="inlineStr">
        <is>
          <t>DW55</t>
        </is>
      </c>
      <c r="C284" t="inlineStr">
        <is>
          <t>D348</t>
        </is>
      </c>
      <c r="D284" t="inlineStr">
        <is>
          <t>10079650</t>
        </is>
      </c>
      <c r="E284" t="inlineStr"/>
      <c r="F284" s="11" t="n">
        <v>138.12</v>
      </c>
      <c r="G284" t="inlineStr"/>
      <c r="I284" t="inlineStr">
        <is>
          <t>TN</t>
        </is>
      </c>
      <c r="J284" t="inlineStr"/>
      <c r="K284" t="inlineStr">
        <is>
          <t>20220516</t>
        </is>
      </c>
      <c r="L284" t="inlineStr">
        <is>
          <t>20240716</t>
        </is>
      </c>
    </row>
    <row r="285">
      <c r="A285" t="inlineStr">
        <is>
          <t>900007484</t>
        </is>
      </c>
      <c r="B285" t="inlineStr">
        <is>
          <t>DW55</t>
        </is>
      </c>
      <c r="C285" t="inlineStr">
        <is>
          <t>D284</t>
        </is>
      </c>
      <c r="D285" t="inlineStr">
        <is>
          <t>10000372</t>
        </is>
      </c>
      <c r="E285" t="inlineStr"/>
      <c r="F285" s="11" t="n">
        <v>138.12</v>
      </c>
      <c r="G285" t="inlineStr"/>
      <c r="I285" t="inlineStr">
        <is>
          <t>TN</t>
        </is>
      </c>
      <c r="J285" t="inlineStr"/>
      <c r="K285" t="inlineStr">
        <is>
          <t>20250428</t>
        </is>
      </c>
      <c r="L285" t="inlineStr">
        <is>
          <t>20251031</t>
        </is>
      </c>
    </row>
    <row r="286">
      <c r="A286" t="inlineStr">
        <is>
          <t>900007484</t>
        </is>
      </c>
      <c r="B286" t="inlineStr">
        <is>
          <t>DW55</t>
        </is>
      </c>
      <c r="C286" t="inlineStr">
        <is>
          <t>D309</t>
        </is>
      </c>
      <c r="D286" t="inlineStr">
        <is>
          <t>10000372</t>
        </is>
      </c>
      <c r="E286" t="inlineStr"/>
      <c r="F286" s="11" t="n">
        <v>138.12</v>
      </c>
      <c r="G286" t="inlineStr"/>
      <c r="I286" t="inlineStr">
        <is>
          <t>TN</t>
        </is>
      </c>
      <c r="J286" t="inlineStr"/>
      <c r="K286" t="inlineStr">
        <is>
          <t>20250428</t>
        </is>
      </c>
      <c r="L286" t="inlineStr">
        <is>
          <t>20251031</t>
        </is>
      </c>
    </row>
    <row r="287">
      <c r="A287" t="inlineStr">
        <is>
          <t>900007484</t>
        </is>
      </c>
      <c r="B287" t="inlineStr">
        <is>
          <t>DW55</t>
        </is>
      </c>
      <c r="C287" t="inlineStr">
        <is>
          <t>D325</t>
        </is>
      </c>
      <c r="D287" t="inlineStr">
        <is>
          <t>10217663</t>
        </is>
      </c>
      <c r="E287" t="inlineStr"/>
      <c r="F287" s="11" t="n">
        <v>54.95</v>
      </c>
      <c r="G287" t="inlineStr"/>
      <c r="I287" t="inlineStr">
        <is>
          <t>TN</t>
        </is>
      </c>
      <c r="J287" t="inlineStr"/>
      <c r="K287" t="inlineStr">
        <is>
          <t>20250428</t>
        </is>
      </c>
      <c r="L287" t="inlineStr">
        <is>
          <t>20251031</t>
        </is>
      </c>
    </row>
    <row r="288">
      <c r="A288" t="inlineStr">
        <is>
          <t>900007484</t>
        </is>
      </c>
      <c r="B288" t="inlineStr">
        <is>
          <t>DW55</t>
        </is>
      </c>
      <c r="C288" t="inlineStr">
        <is>
          <t>D342</t>
        </is>
      </c>
      <c r="D288" t="inlineStr">
        <is>
          <t>10000372</t>
        </is>
      </c>
      <c r="E288" t="inlineStr"/>
      <c r="F288" s="11" t="n">
        <v>138.12</v>
      </c>
      <c r="G288" t="inlineStr"/>
      <c r="I288" t="inlineStr">
        <is>
          <t>TN</t>
        </is>
      </c>
      <c r="J288" t="inlineStr"/>
      <c r="K288" t="inlineStr">
        <is>
          <t>20220504</t>
        </is>
      </c>
      <c r="L288" t="inlineStr">
        <is>
          <t>20251031</t>
        </is>
      </c>
    </row>
    <row r="289">
      <c r="A289" t="inlineStr">
        <is>
          <t>900007484</t>
        </is>
      </c>
      <c r="B289" t="inlineStr">
        <is>
          <t>DW55</t>
        </is>
      </c>
      <c r="C289" t="inlineStr">
        <is>
          <t>D348</t>
        </is>
      </c>
      <c r="D289" t="inlineStr">
        <is>
          <t>10000372</t>
        </is>
      </c>
      <c r="E289" t="inlineStr"/>
      <c r="F289" s="11" t="n">
        <v>158.84</v>
      </c>
      <c r="G289" t="inlineStr"/>
      <c r="I289" t="inlineStr">
        <is>
          <t>TN</t>
        </is>
      </c>
      <c r="J289" t="inlineStr"/>
      <c r="K289" t="inlineStr">
        <is>
          <t>20250428</t>
        </is>
      </c>
      <c r="L289" t="inlineStr">
        <is>
          <t>20251031</t>
        </is>
      </c>
    </row>
    <row r="290">
      <c r="A290" t="inlineStr">
        <is>
          <t>900007484</t>
        </is>
      </c>
      <c r="B290" t="inlineStr">
        <is>
          <t>DW55</t>
        </is>
      </c>
      <c r="C290" t="inlineStr">
        <is>
          <t>D348</t>
        </is>
      </c>
      <c r="D290" t="inlineStr">
        <is>
          <t>10000373</t>
        </is>
      </c>
      <c r="E290" t="inlineStr"/>
      <c r="F290" s="11" t="n">
        <v>358.42</v>
      </c>
      <c r="G290" t="inlineStr"/>
      <c r="I290" t="inlineStr">
        <is>
          <t>TN</t>
        </is>
      </c>
      <c r="J290" t="inlineStr"/>
      <c r="K290" t="inlineStr">
        <is>
          <t>20230426</t>
        </is>
      </c>
      <c r="L290" t="inlineStr">
        <is>
          <t>20240930</t>
        </is>
      </c>
    </row>
    <row r="291">
      <c r="A291" t="inlineStr">
        <is>
          <t>900007484</t>
        </is>
      </c>
      <c r="B291" t="inlineStr">
        <is>
          <t>DW55</t>
        </is>
      </c>
      <c r="C291" t="inlineStr">
        <is>
          <t>D348</t>
        </is>
      </c>
      <c r="D291" t="inlineStr">
        <is>
          <t>10023592</t>
        </is>
      </c>
      <c r="E291" t="inlineStr"/>
      <c r="F291" s="11" t="n">
        <v>118</v>
      </c>
      <c r="G291" t="inlineStr"/>
      <c r="I291" t="inlineStr">
        <is>
          <t>TN</t>
        </is>
      </c>
      <c r="J291" t="inlineStr"/>
      <c r="K291" t="inlineStr">
        <is>
          <t>20250428</t>
        </is>
      </c>
      <c r="L291" t="inlineStr">
        <is>
          <t>20251031</t>
        </is>
      </c>
    </row>
    <row r="292">
      <c r="A292" t="inlineStr">
        <is>
          <t>900007484</t>
        </is>
      </c>
      <c r="B292" t="inlineStr">
        <is>
          <t>DW55</t>
        </is>
      </c>
      <c r="C292" t="inlineStr">
        <is>
          <t>D348</t>
        </is>
      </c>
      <c r="D292" t="inlineStr">
        <is>
          <t>10079650</t>
        </is>
      </c>
      <c r="E292" t="inlineStr"/>
      <c r="F292" s="11" t="n">
        <v>158.84</v>
      </c>
      <c r="G292" t="inlineStr"/>
      <c r="I292" t="inlineStr">
        <is>
          <t>TN</t>
        </is>
      </c>
      <c r="J292" t="inlineStr"/>
      <c r="K292" t="inlineStr">
        <is>
          <t>20230111</t>
        </is>
      </c>
      <c r="L292" t="inlineStr">
        <is>
          <t>20240712</t>
        </is>
      </c>
    </row>
    <row r="293">
      <c r="A293" t="inlineStr">
        <is>
          <t>900007484</t>
        </is>
      </c>
      <c r="B293" t="inlineStr">
        <is>
          <t>DW55</t>
        </is>
      </c>
      <c r="C293" t="inlineStr">
        <is>
          <t>D348</t>
        </is>
      </c>
      <c r="D293" t="inlineStr">
        <is>
          <t>10217663</t>
        </is>
      </c>
      <c r="E293" t="inlineStr"/>
      <c r="F293" s="11" t="n">
        <v>48.08</v>
      </c>
      <c r="G293" t="inlineStr"/>
      <c r="I293" t="inlineStr">
        <is>
          <t>TN</t>
        </is>
      </c>
      <c r="J293" t="inlineStr"/>
      <c r="K293" t="inlineStr">
        <is>
          <t>20250428</t>
        </is>
      </c>
      <c r="L293" t="inlineStr">
        <is>
          <t>20251031</t>
        </is>
      </c>
    </row>
    <row r="294">
      <c r="A294" t="inlineStr">
        <is>
          <t>900007532</t>
        </is>
      </c>
      <c r="B294" t="inlineStr">
        <is>
          <t>DW55</t>
        </is>
      </c>
      <c r="C294" t="inlineStr">
        <is>
          <t>D284</t>
        </is>
      </c>
      <c r="D294" t="inlineStr">
        <is>
          <t>10000541</t>
        </is>
      </c>
      <c r="E294" t="inlineStr"/>
      <c r="F294" s="11" t="n">
        <v>117.8</v>
      </c>
      <c r="G294" t="inlineStr"/>
      <c r="I294" t="inlineStr">
        <is>
          <t>TN</t>
        </is>
      </c>
      <c r="J294" t="inlineStr"/>
      <c r="K294" t="inlineStr">
        <is>
          <t>20220829</t>
        </is>
      </c>
      <c r="L294" t="inlineStr">
        <is>
          <t>20240716</t>
        </is>
      </c>
    </row>
    <row r="295">
      <c r="A295" t="inlineStr">
        <is>
          <t>900007532</t>
        </is>
      </c>
      <c r="B295" t="inlineStr">
        <is>
          <t>DW55</t>
        </is>
      </c>
      <c r="C295" t="inlineStr">
        <is>
          <t>D342</t>
        </is>
      </c>
      <c r="D295" t="inlineStr">
        <is>
          <t>10000541</t>
        </is>
      </c>
      <c r="E295" t="inlineStr"/>
      <c r="F295" s="11" t="n">
        <v>84.81999999999999</v>
      </c>
      <c r="G295" t="inlineStr"/>
      <c r="I295" t="inlineStr">
        <is>
          <t>TN</t>
        </is>
      </c>
      <c r="J295" t="inlineStr"/>
      <c r="K295" t="inlineStr">
        <is>
          <t>20221203</t>
        </is>
      </c>
      <c r="L295" t="inlineStr">
        <is>
          <t>20240716</t>
        </is>
      </c>
    </row>
    <row r="296">
      <c r="A296" t="inlineStr">
        <is>
          <t>900007532</t>
        </is>
      </c>
      <c r="B296" t="inlineStr">
        <is>
          <t>DW55</t>
        </is>
      </c>
      <c r="C296" t="inlineStr">
        <is>
          <t>D348</t>
        </is>
      </c>
      <c r="D296" t="inlineStr">
        <is>
          <t>10000372</t>
        </is>
      </c>
      <c r="E296" t="inlineStr"/>
      <c r="F296" s="11" t="n">
        <v>210.64</v>
      </c>
      <c r="G296" t="inlineStr"/>
      <c r="I296" t="inlineStr">
        <is>
          <t>TN</t>
        </is>
      </c>
      <c r="J296" t="inlineStr"/>
      <c r="K296" t="inlineStr">
        <is>
          <t>20221226</t>
        </is>
      </c>
      <c r="L296" t="inlineStr">
        <is>
          <t>20240716</t>
        </is>
      </c>
    </row>
    <row r="297">
      <c r="A297" t="inlineStr">
        <is>
          <t>900007532</t>
        </is>
      </c>
      <c r="B297" t="inlineStr">
        <is>
          <t>DW55</t>
        </is>
      </c>
      <c r="C297" t="inlineStr">
        <is>
          <t>D348</t>
        </is>
      </c>
      <c r="D297" t="inlineStr">
        <is>
          <t>10000561</t>
        </is>
      </c>
      <c r="E297" t="inlineStr"/>
      <c r="F297" s="11" t="n">
        <v>213.29</v>
      </c>
      <c r="G297" t="inlineStr"/>
      <c r="I297" t="inlineStr">
        <is>
          <t>TN</t>
        </is>
      </c>
      <c r="J297" t="inlineStr"/>
      <c r="K297" t="inlineStr">
        <is>
          <t>20230110</t>
        </is>
      </c>
      <c r="L297" t="inlineStr">
        <is>
          <t>20230113</t>
        </is>
      </c>
    </row>
    <row r="298">
      <c r="A298" t="inlineStr">
        <is>
          <t>900007532</t>
        </is>
      </c>
      <c r="B298" t="inlineStr">
        <is>
          <t>DW55</t>
        </is>
      </c>
      <c r="C298" t="inlineStr">
        <is>
          <t>D348</t>
        </is>
      </c>
      <c r="D298" t="inlineStr">
        <is>
          <t>10079650</t>
        </is>
      </c>
      <c r="E298" t="inlineStr"/>
      <c r="F298" s="11" t="n">
        <v>41.44</v>
      </c>
      <c r="G298" t="inlineStr"/>
      <c r="I298" t="inlineStr">
        <is>
          <t>TN</t>
        </is>
      </c>
      <c r="J298" t="inlineStr"/>
      <c r="K298" t="inlineStr">
        <is>
          <t>20220829</t>
        </is>
      </c>
      <c r="L298" t="inlineStr">
        <is>
          <t>20240716</t>
        </is>
      </c>
    </row>
    <row r="299">
      <c r="A299" t="inlineStr">
        <is>
          <t>900007532</t>
        </is>
      </c>
      <c r="B299" t="inlineStr">
        <is>
          <t>DW55</t>
        </is>
      </c>
      <c r="C299" t="inlineStr">
        <is>
          <t>ER67</t>
        </is>
      </c>
      <c r="D299" t="inlineStr">
        <is>
          <t>10210260</t>
        </is>
      </c>
      <c r="E299" t="inlineStr"/>
      <c r="F299" s="11" t="n">
        <v>127.44</v>
      </c>
      <c r="G299" t="inlineStr"/>
      <c r="I299" t="inlineStr">
        <is>
          <t>TN</t>
        </is>
      </c>
      <c r="J299" t="inlineStr"/>
      <c r="K299" t="inlineStr">
        <is>
          <t>20220504</t>
        </is>
      </c>
      <c r="L299" t="inlineStr">
        <is>
          <t>20230127</t>
        </is>
      </c>
    </row>
    <row r="300">
      <c r="A300" t="inlineStr">
        <is>
          <t>900007532</t>
        </is>
      </c>
      <c r="B300" t="inlineStr">
        <is>
          <t>DW55</t>
        </is>
      </c>
      <c r="C300" t="inlineStr">
        <is>
          <t>ER68</t>
        </is>
      </c>
      <c r="D300" t="inlineStr">
        <is>
          <t>10000372</t>
        </is>
      </c>
      <c r="E300" t="inlineStr"/>
      <c r="F300" s="11" t="n">
        <v>210.64</v>
      </c>
      <c r="G300" t="inlineStr"/>
      <c r="I300" t="inlineStr">
        <is>
          <t>TN</t>
        </is>
      </c>
      <c r="J300" t="inlineStr"/>
      <c r="K300" t="inlineStr">
        <is>
          <t>20230110</t>
        </is>
      </c>
      <c r="L300" t="inlineStr">
        <is>
          <t>20230113</t>
        </is>
      </c>
    </row>
    <row r="301">
      <c r="A301" t="inlineStr">
        <is>
          <t>900007532</t>
        </is>
      </c>
      <c r="B301" t="inlineStr">
        <is>
          <t>DW55</t>
        </is>
      </c>
      <c r="C301" t="inlineStr">
        <is>
          <t>ER68</t>
        </is>
      </c>
      <c r="D301" t="inlineStr">
        <is>
          <t>10210260</t>
        </is>
      </c>
      <c r="E301" t="inlineStr"/>
      <c r="F301" s="11" t="n">
        <v>204.56</v>
      </c>
      <c r="G301" t="inlineStr"/>
      <c r="I301" t="inlineStr">
        <is>
          <t>TN</t>
        </is>
      </c>
      <c r="J301" t="inlineStr"/>
      <c r="K301" t="inlineStr">
        <is>
          <t>20220501</t>
        </is>
      </c>
      <c r="L301" t="inlineStr">
        <is>
          <t>20240716</t>
        </is>
      </c>
    </row>
    <row r="302">
      <c r="A302" t="inlineStr">
        <is>
          <t>900007555</t>
        </is>
      </c>
      <c r="B302" t="inlineStr">
        <is>
          <t>DW55</t>
        </is>
      </c>
      <c r="C302" t="inlineStr">
        <is>
          <t>D348</t>
        </is>
      </c>
      <c r="D302" t="inlineStr">
        <is>
          <t>10000673</t>
        </is>
      </c>
      <c r="E302" t="inlineStr"/>
      <c r="F302" s="11" t="n">
        <v>254.55</v>
      </c>
      <c r="G302" t="inlineStr"/>
      <c r="I302" t="inlineStr">
        <is>
          <t>TN</t>
        </is>
      </c>
      <c r="J302" t="inlineStr"/>
      <c r="K302" t="inlineStr">
        <is>
          <t>20220713</t>
        </is>
      </c>
      <c r="L302" t="inlineStr">
        <is>
          <t>20240717</t>
        </is>
      </c>
    </row>
    <row r="303">
      <c r="A303" t="inlineStr">
        <is>
          <t>900007555</t>
        </is>
      </c>
      <c r="B303" t="inlineStr">
        <is>
          <t>DW55</t>
        </is>
      </c>
      <c r="C303" t="inlineStr">
        <is>
          <t>D348</t>
        </is>
      </c>
      <c r="D303" t="inlineStr">
        <is>
          <t>10213318</t>
        </is>
      </c>
      <c r="E303" t="inlineStr"/>
      <c r="F303" s="11" t="n">
        <v>418.7</v>
      </c>
      <c r="G303" t="inlineStr"/>
      <c r="I303" t="inlineStr">
        <is>
          <t>TN</t>
        </is>
      </c>
      <c r="J303" t="inlineStr"/>
      <c r="K303" t="inlineStr">
        <is>
          <t>20220713</t>
        </is>
      </c>
      <c r="L303" t="inlineStr">
        <is>
          <t>20240717</t>
        </is>
      </c>
    </row>
    <row r="304">
      <c r="A304" t="inlineStr">
        <is>
          <t>900007555</t>
        </is>
      </c>
      <c r="B304" t="inlineStr">
        <is>
          <t>DW55</t>
        </is>
      </c>
      <c r="C304" t="inlineStr">
        <is>
          <t>ER67</t>
        </is>
      </c>
      <c r="D304" t="inlineStr">
        <is>
          <t>10000372</t>
        </is>
      </c>
      <c r="E304" t="inlineStr"/>
      <c r="F304" s="11" t="n">
        <v>177.45</v>
      </c>
      <c r="G304" t="inlineStr"/>
      <c r="I304" t="inlineStr">
        <is>
          <t>TN</t>
        </is>
      </c>
      <c r="J304" t="inlineStr"/>
      <c r="K304" t="inlineStr">
        <is>
          <t>20220504</t>
        </is>
      </c>
      <c r="L304" t="inlineStr">
        <is>
          <t>20230127</t>
        </is>
      </c>
    </row>
    <row r="305">
      <c r="A305" t="inlineStr">
        <is>
          <t>900007555</t>
        </is>
      </c>
      <c r="B305" t="inlineStr">
        <is>
          <t>DW55</t>
        </is>
      </c>
      <c r="C305" t="inlineStr">
        <is>
          <t>ER68</t>
        </is>
      </c>
      <c r="D305" t="inlineStr">
        <is>
          <t>10000372</t>
        </is>
      </c>
      <c r="E305" t="inlineStr"/>
      <c r="F305" s="11" t="n">
        <v>165.75</v>
      </c>
      <c r="G305" t="inlineStr"/>
      <c r="I305" t="inlineStr">
        <is>
          <t>TN</t>
        </is>
      </c>
      <c r="J305" t="inlineStr"/>
      <c r="K305" t="inlineStr">
        <is>
          <t>20220329</t>
        </is>
      </c>
      <c r="L305" t="inlineStr">
        <is>
          <t>20240717</t>
        </is>
      </c>
    </row>
    <row r="306">
      <c r="A306" t="inlineStr">
        <is>
          <t>900007556</t>
        </is>
      </c>
      <c r="B306" t="inlineStr">
        <is>
          <t>DW55</t>
        </is>
      </c>
      <c r="C306" t="inlineStr">
        <is>
          <t>ER68</t>
        </is>
      </c>
      <c r="D306" t="inlineStr">
        <is>
          <t>10189800</t>
        </is>
      </c>
      <c r="E306" t="inlineStr"/>
      <c r="F306" s="11" t="n">
        <v>184.62</v>
      </c>
      <c r="G306" t="inlineStr"/>
      <c r="I306" t="inlineStr">
        <is>
          <t>TN</t>
        </is>
      </c>
      <c r="J306" t="inlineStr"/>
      <c r="K306" t="inlineStr">
        <is>
          <t>20220501</t>
        </is>
      </c>
      <c r="L306" t="inlineStr">
        <is>
          <t>20240717</t>
        </is>
      </c>
    </row>
    <row r="307">
      <c r="A307" t="inlineStr">
        <is>
          <t>900007557</t>
        </is>
      </c>
      <c r="B307" t="inlineStr">
        <is>
          <t>DW55</t>
        </is>
      </c>
      <c r="C307" t="inlineStr">
        <is>
          <t>ER67</t>
        </is>
      </c>
      <c r="D307" t="inlineStr">
        <is>
          <t>10189800</t>
        </is>
      </c>
      <c r="E307" t="inlineStr"/>
      <c r="F307" s="11" t="n">
        <v>194.33</v>
      </c>
      <c r="G307" t="inlineStr"/>
      <c r="I307" t="inlineStr">
        <is>
          <t>TN</t>
        </is>
      </c>
      <c r="J307" t="inlineStr"/>
      <c r="K307" t="inlineStr">
        <is>
          <t>20220504</t>
        </is>
      </c>
      <c r="L307" t="inlineStr">
        <is>
          <t>20230127</t>
        </is>
      </c>
    </row>
    <row r="308">
      <c r="A308" t="inlineStr">
        <is>
          <t>900007557</t>
        </is>
      </c>
      <c r="B308" t="inlineStr">
        <is>
          <t>DW55</t>
        </is>
      </c>
      <c r="C308" t="inlineStr">
        <is>
          <t>ER68</t>
        </is>
      </c>
      <c r="D308" t="inlineStr">
        <is>
          <t>10189800</t>
        </is>
      </c>
      <c r="E308" t="inlineStr"/>
      <c r="F308" s="11" t="n">
        <v>184.62</v>
      </c>
      <c r="G308" t="inlineStr"/>
      <c r="I308" t="inlineStr">
        <is>
          <t>TN</t>
        </is>
      </c>
      <c r="J308" t="inlineStr"/>
      <c r="K308" t="inlineStr">
        <is>
          <t>20220501</t>
        </is>
      </c>
      <c r="L308" t="inlineStr">
        <is>
          <t>20240717</t>
        </is>
      </c>
    </row>
    <row r="309">
      <c r="A309" t="inlineStr">
        <is>
          <t>900007580</t>
        </is>
      </c>
      <c r="B309" t="inlineStr">
        <is>
          <t>DW55</t>
        </is>
      </c>
      <c r="C309" t="inlineStr">
        <is>
          <t>D284</t>
        </is>
      </c>
      <c r="D309" t="inlineStr">
        <is>
          <t>10217663</t>
        </is>
      </c>
      <c r="E309" t="inlineStr"/>
      <c r="F309" s="11" t="n">
        <v>51.51</v>
      </c>
      <c r="G309" t="inlineStr"/>
      <c r="I309" t="inlineStr">
        <is>
          <t>TN</t>
        </is>
      </c>
      <c r="J309" t="inlineStr"/>
      <c r="K309" t="inlineStr">
        <is>
          <t>20260501</t>
        </is>
      </c>
      <c r="L309" t="inlineStr">
        <is>
          <t>99991231</t>
        </is>
      </c>
    </row>
    <row r="310">
      <c r="A310" t="inlineStr">
        <is>
          <t>900007580</t>
        </is>
      </c>
      <c r="B310" t="inlineStr">
        <is>
          <t>DW55</t>
        </is>
      </c>
      <c r="C310" t="inlineStr">
        <is>
          <t>D304</t>
        </is>
      </c>
      <c r="D310" t="inlineStr">
        <is>
          <t>10217663</t>
        </is>
      </c>
      <c r="E310" t="inlineStr"/>
      <c r="F310" s="11" t="n">
        <v>51.51</v>
      </c>
      <c r="G310" t="inlineStr"/>
      <c r="I310" t="inlineStr">
        <is>
          <t>TN</t>
        </is>
      </c>
      <c r="J310" t="inlineStr"/>
      <c r="K310" t="inlineStr">
        <is>
          <t>20260519</t>
        </is>
      </c>
      <c r="L310" t="inlineStr">
        <is>
          <t>99991231</t>
        </is>
      </c>
    </row>
    <row r="311">
      <c r="A311" t="inlineStr">
        <is>
          <t>900007580</t>
        </is>
      </c>
      <c r="B311" t="inlineStr">
        <is>
          <t>DW55</t>
        </is>
      </c>
      <c r="C311" t="inlineStr">
        <is>
          <t>D309</t>
        </is>
      </c>
      <c r="D311" t="inlineStr">
        <is>
          <t>10217663</t>
        </is>
      </c>
      <c r="E311" t="inlineStr"/>
      <c r="F311" s="11" t="n">
        <v>51.51</v>
      </c>
      <c r="G311" t="inlineStr"/>
      <c r="I311" t="inlineStr">
        <is>
          <t>TN</t>
        </is>
      </c>
      <c r="J311" t="inlineStr"/>
      <c r="K311" t="inlineStr">
        <is>
          <t>20260501</t>
        </is>
      </c>
      <c r="L311" t="inlineStr">
        <is>
          <t>99991231</t>
        </is>
      </c>
    </row>
    <row r="312">
      <c r="A312" t="inlineStr">
        <is>
          <t>900007580</t>
        </is>
      </c>
      <c r="B312" t="inlineStr">
        <is>
          <t>DW55</t>
        </is>
      </c>
      <c r="C312" t="inlineStr">
        <is>
          <t>D325</t>
        </is>
      </c>
      <c r="D312" t="inlineStr">
        <is>
          <t>10217663</t>
        </is>
      </c>
      <c r="E312" t="inlineStr"/>
      <c r="F312" s="11" t="n">
        <v>51.51</v>
      </c>
      <c r="G312" t="inlineStr"/>
      <c r="I312" t="inlineStr">
        <is>
          <t>TN</t>
        </is>
      </c>
      <c r="J312" t="inlineStr"/>
      <c r="K312" t="inlineStr">
        <is>
          <t>20260519</t>
        </is>
      </c>
      <c r="L312" t="inlineStr">
        <is>
          <t>99991231</t>
        </is>
      </c>
    </row>
    <row r="313">
      <c r="A313" t="inlineStr">
        <is>
          <t>900007580</t>
        </is>
      </c>
      <c r="B313" t="inlineStr">
        <is>
          <t>DW55</t>
        </is>
      </c>
      <c r="C313" t="inlineStr">
        <is>
          <t>D342</t>
        </is>
      </c>
      <c r="D313" t="inlineStr">
        <is>
          <t>10217663</t>
        </is>
      </c>
      <c r="E313" t="inlineStr"/>
      <c r="F313" s="11" t="n">
        <v>51.51</v>
      </c>
      <c r="G313" t="inlineStr"/>
      <c r="I313" t="inlineStr">
        <is>
          <t>TN</t>
        </is>
      </c>
      <c r="J313" t="inlineStr"/>
      <c r="K313" t="inlineStr">
        <is>
          <t>20260501</t>
        </is>
      </c>
      <c r="L313" t="inlineStr">
        <is>
          <t>99991231</t>
        </is>
      </c>
    </row>
    <row r="314">
      <c r="A314" t="inlineStr">
        <is>
          <t>900007581</t>
        </is>
      </c>
      <c r="B314" t="inlineStr">
        <is>
          <t>DW55</t>
        </is>
      </c>
      <c r="C314" t="inlineStr">
        <is>
          <t>D284</t>
        </is>
      </c>
      <c r="D314" t="inlineStr">
        <is>
          <t>10189800</t>
        </is>
      </c>
      <c r="E314" t="inlineStr"/>
      <c r="F314" s="11" t="n">
        <v>223.08</v>
      </c>
      <c r="G314" t="inlineStr"/>
      <c r="I314" t="inlineStr">
        <is>
          <t>TN</t>
        </is>
      </c>
      <c r="J314" t="inlineStr"/>
      <c r="K314" t="inlineStr">
        <is>
          <t>20220616</t>
        </is>
      </c>
      <c r="L314" t="inlineStr">
        <is>
          <t>20240717</t>
        </is>
      </c>
    </row>
    <row r="315">
      <c r="A315" t="inlineStr">
        <is>
          <t>900007581</t>
        </is>
      </c>
      <c r="B315" t="inlineStr">
        <is>
          <t>DW55</t>
        </is>
      </c>
      <c r="C315" t="inlineStr">
        <is>
          <t>D284</t>
        </is>
      </c>
      <c r="D315" t="inlineStr">
        <is>
          <t>10217663</t>
        </is>
      </c>
      <c r="E315" t="inlineStr"/>
      <c r="F315" s="11" t="n">
        <v>51.51</v>
      </c>
      <c r="G315" t="inlineStr"/>
      <c r="I315" t="inlineStr">
        <is>
          <t>TN</t>
        </is>
      </c>
      <c r="J315" t="inlineStr"/>
      <c r="K315" t="inlineStr">
        <is>
          <t>20260501</t>
        </is>
      </c>
      <c r="L315" t="inlineStr">
        <is>
          <t>99991231</t>
        </is>
      </c>
    </row>
    <row r="316">
      <c r="A316" t="inlineStr">
        <is>
          <t>900007581</t>
        </is>
      </c>
      <c r="B316" t="inlineStr">
        <is>
          <t>DW55</t>
        </is>
      </c>
      <c r="C316" t="inlineStr">
        <is>
          <t>D309</t>
        </is>
      </c>
      <c r="D316" t="inlineStr">
        <is>
          <t>10217663</t>
        </is>
      </c>
      <c r="E316" t="inlineStr"/>
      <c r="F316" s="11" t="n">
        <v>51.51</v>
      </c>
      <c r="G316" t="inlineStr"/>
      <c r="I316" t="inlineStr">
        <is>
          <t>TN</t>
        </is>
      </c>
      <c r="J316" t="inlineStr"/>
      <c r="K316" t="inlineStr">
        <is>
          <t>20260501</t>
        </is>
      </c>
      <c r="L316" t="inlineStr">
        <is>
          <t>99991231</t>
        </is>
      </c>
    </row>
    <row r="317">
      <c r="A317" t="inlineStr">
        <is>
          <t>900007581</t>
        </is>
      </c>
      <c r="B317" t="inlineStr">
        <is>
          <t>DW55</t>
        </is>
      </c>
      <c r="C317" t="inlineStr">
        <is>
          <t>D342</t>
        </is>
      </c>
      <c r="D317" t="inlineStr">
        <is>
          <t>10217663</t>
        </is>
      </c>
      <c r="E317" t="inlineStr"/>
      <c r="F317" s="11" t="n">
        <v>51.51</v>
      </c>
      <c r="G317" t="inlineStr"/>
      <c r="I317" t="inlineStr">
        <is>
          <t>TN</t>
        </is>
      </c>
      <c r="J317" t="inlineStr"/>
      <c r="K317" t="inlineStr">
        <is>
          <t>20260501</t>
        </is>
      </c>
      <c r="L317" t="inlineStr">
        <is>
          <t>99991231</t>
        </is>
      </c>
    </row>
    <row r="318">
      <c r="A318" t="inlineStr">
        <is>
          <t>900007581</t>
        </is>
      </c>
      <c r="B318" t="inlineStr">
        <is>
          <t>DW55</t>
        </is>
      </c>
      <c r="C318" t="inlineStr">
        <is>
          <t>D348</t>
        </is>
      </c>
      <c r="D318" t="inlineStr">
        <is>
          <t>10000561</t>
        </is>
      </c>
      <c r="E318" t="inlineStr"/>
      <c r="F318" s="11" t="n">
        <v>209.79</v>
      </c>
      <c r="G318" t="inlineStr"/>
      <c r="I318" t="inlineStr">
        <is>
          <t>TN</t>
        </is>
      </c>
      <c r="J318" t="inlineStr"/>
      <c r="K318" t="inlineStr">
        <is>
          <t>20220601</t>
        </is>
      </c>
      <c r="L318" t="inlineStr">
        <is>
          <t>20240717</t>
        </is>
      </c>
    </row>
    <row r="319">
      <c r="A319" t="inlineStr">
        <is>
          <t>900007581</t>
        </is>
      </c>
      <c r="B319" t="inlineStr">
        <is>
          <t>DW55</t>
        </is>
      </c>
      <c r="C319" t="inlineStr">
        <is>
          <t>ER67</t>
        </is>
      </c>
      <c r="D319" t="inlineStr">
        <is>
          <t>10189800</t>
        </is>
      </c>
      <c r="E319" t="inlineStr"/>
      <c r="F319" s="11" t="n">
        <v>200.01</v>
      </c>
      <c r="G319" t="inlineStr"/>
      <c r="I319" t="inlineStr">
        <is>
          <t>TN</t>
        </is>
      </c>
      <c r="J319" t="inlineStr"/>
      <c r="K319" t="inlineStr">
        <is>
          <t>20220504</t>
        </is>
      </c>
      <c r="L319" t="inlineStr">
        <is>
          <t>20230127</t>
        </is>
      </c>
    </row>
    <row r="320">
      <c r="A320" t="inlineStr">
        <is>
          <t>900007581</t>
        </is>
      </c>
      <c r="B320" t="inlineStr">
        <is>
          <t>DW55</t>
        </is>
      </c>
      <c r="C320" t="inlineStr">
        <is>
          <t>ER67</t>
        </is>
      </c>
      <c r="D320" t="inlineStr">
        <is>
          <t>10210039</t>
        </is>
      </c>
      <c r="E320" t="inlineStr"/>
      <c r="F320" s="11" t="n">
        <v>43.77</v>
      </c>
      <c r="G320" t="inlineStr"/>
      <c r="I320" t="inlineStr">
        <is>
          <t>TN</t>
        </is>
      </c>
      <c r="J320" t="inlineStr"/>
      <c r="K320" t="inlineStr">
        <is>
          <t>20220504</t>
        </is>
      </c>
      <c r="L320" t="inlineStr">
        <is>
          <t>20230127</t>
        </is>
      </c>
    </row>
    <row r="321">
      <c r="A321" t="inlineStr">
        <is>
          <t>900007581</t>
        </is>
      </c>
      <c r="B321" t="inlineStr">
        <is>
          <t>DW55</t>
        </is>
      </c>
      <c r="C321" t="inlineStr">
        <is>
          <t>ER68</t>
        </is>
      </c>
      <c r="D321" t="inlineStr">
        <is>
          <t>10189800</t>
        </is>
      </c>
      <c r="E321" t="inlineStr"/>
      <c r="F321" s="11" t="n">
        <v>200</v>
      </c>
      <c r="G321" t="inlineStr"/>
      <c r="I321" t="inlineStr">
        <is>
          <t>TN</t>
        </is>
      </c>
      <c r="J321" t="inlineStr"/>
      <c r="K321" t="inlineStr">
        <is>
          <t>20220501</t>
        </is>
      </c>
      <c r="L321" t="inlineStr">
        <is>
          <t>20240717</t>
        </is>
      </c>
    </row>
    <row r="322">
      <c r="A322" t="inlineStr">
        <is>
          <t>900007581</t>
        </is>
      </c>
      <c r="B322" t="inlineStr">
        <is>
          <t>DW55</t>
        </is>
      </c>
      <c r="C322" t="inlineStr">
        <is>
          <t>ER68</t>
        </is>
      </c>
      <c r="D322" t="inlineStr">
        <is>
          <t>10210039</t>
        </is>
      </c>
      <c r="E322" t="inlineStr"/>
      <c r="F322" s="11" t="n">
        <v>43.77</v>
      </c>
      <c r="G322" t="inlineStr"/>
      <c r="I322" t="inlineStr">
        <is>
          <t>TN</t>
        </is>
      </c>
      <c r="J322" t="inlineStr"/>
      <c r="K322" t="inlineStr">
        <is>
          <t>20220501</t>
        </is>
      </c>
      <c r="L322" t="inlineStr">
        <is>
          <t>20240717</t>
        </is>
      </c>
    </row>
    <row r="323">
      <c r="A323" t="inlineStr">
        <is>
          <t>900007590</t>
        </is>
      </c>
      <c r="B323" t="inlineStr">
        <is>
          <t>DW55</t>
        </is>
      </c>
      <c r="C323" t="inlineStr">
        <is>
          <t>ER67</t>
        </is>
      </c>
      <c r="D323" t="inlineStr">
        <is>
          <t>10189800</t>
        </is>
      </c>
      <c r="E323" t="inlineStr"/>
      <c r="F323" s="11" t="n">
        <v>192.31</v>
      </c>
      <c r="G323" t="inlineStr"/>
      <c r="I323" t="inlineStr">
        <is>
          <t>TN</t>
        </is>
      </c>
      <c r="J323" t="inlineStr"/>
      <c r="K323" t="inlineStr">
        <is>
          <t>20220504</t>
        </is>
      </c>
      <c r="L323" t="inlineStr">
        <is>
          <t>20230127</t>
        </is>
      </c>
    </row>
    <row r="324">
      <c r="A324" t="inlineStr">
        <is>
          <t>900007590</t>
        </is>
      </c>
      <c r="B324" t="inlineStr">
        <is>
          <t>DW55</t>
        </is>
      </c>
      <c r="C324" t="inlineStr">
        <is>
          <t>ER68</t>
        </is>
      </c>
      <c r="D324" t="inlineStr">
        <is>
          <t>10189800</t>
        </is>
      </c>
      <c r="E324" t="inlineStr"/>
      <c r="F324" s="11" t="n">
        <v>192.31</v>
      </c>
      <c r="G324" t="inlineStr"/>
      <c r="I324" t="inlineStr">
        <is>
          <t>TN</t>
        </is>
      </c>
      <c r="J324" t="inlineStr"/>
      <c r="K324" t="inlineStr">
        <is>
          <t>20220501</t>
        </is>
      </c>
      <c r="L324" t="inlineStr">
        <is>
          <t>20240717</t>
        </is>
      </c>
    </row>
    <row r="325">
      <c r="A325" t="inlineStr">
        <is>
          <t>900007603</t>
        </is>
      </c>
      <c r="B325" t="inlineStr">
        <is>
          <t>DW55</t>
        </is>
      </c>
      <c r="C325" t="inlineStr">
        <is>
          <t>D284</t>
        </is>
      </c>
      <c r="D325" t="inlineStr">
        <is>
          <t>10000372</t>
        </is>
      </c>
      <c r="E325" t="inlineStr"/>
      <c r="F325" s="11" t="n">
        <v>198.2</v>
      </c>
      <c r="G325" t="inlineStr"/>
      <c r="I325" t="inlineStr">
        <is>
          <t>TN</t>
        </is>
      </c>
      <c r="J325" t="inlineStr"/>
      <c r="K325" t="inlineStr">
        <is>
          <t>20220504</t>
        </is>
      </c>
      <c r="L325" t="inlineStr">
        <is>
          <t>20251031</t>
        </is>
      </c>
    </row>
    <row r="326">
      <c r="A326" t="inlineStr">
        <is>
          <t>900007603</t>
        </is>
      </c>
      <c r="B326" t="inlineStr">
        <is>
          <t>DW55</t>
        </is>
      </c>
      <c r="C326" t="inlineStr">
        <is>
          <t>D284</t>
        </is>
      </c>
      <c r="D326" t="inlineStr">
        <is>
          <t>10000623</t>
        </is>
      </c>
      <c r="E326" t="inlineStr"/>
      <c r="F326" s="11" t="n">
        <v>297.87</v>
      </c>
      <c r="G326" t="inlineStr"/>
      <c r="I326" t="inlineStr">
        <is>
          <t>TN</t>
        </is>
      </c>
      <c r="J326" t="inlineStr"/>
      <c r="K326" t="inlineStr">
        <is>
          <t>20250626</t>
        </is>
      </c>
      <c r="L326" t="inlineStr">
        <is>
          <t>20260420</t>
        </is>
      </c>
    </row>
    <row r="327">
      <c r="A327" t="inlineStr">
        <is>
          <t>900007603</t>
        </is>
      </c>
      <c r="B327" t="inlineStr">
        <is>
          <t>DW55</t>
        </is>
      </c>
      <c r="C327" t="inlineStr">
        <is>
          <t>D284</t>
        </is>
      </c>
      <c r="D327" t="inlineStr">
        <is>
          <t>10123034</t>
        </is>
      </c>
      <c r="E327" t="inlineStr"/>
      <c r="F327" s="11" t="n">
        <v>98.17</v>
      </c>
      <c r="G327" t="inlineStr"/>
      <c r="I327" t="inlineStr">
        <is>
          <t>TN</t>
        </is>
      </c>
      <c r="J327" t="inlineStr"/>
      <c r="K327" t="inlineStr">
        <is>
          <t>20250428</t>
        </is>
      </c>
      <c r="L327" t="inlineStr">
        <is>
          <t>20251031</t>
        </is>
      </c>
    </row>
    <row r="328">
      <c r="A328" t="inlineStr">
        <is>
          <t>900007603</t>
        </is>
      </c>
      <c r="B328" t="inlineStr">
        <is>
          <t>DW55</t>
        </is>
      </c>
      <c r="C328" t="inlineStr">
        <is>
          <t>D309</t>
        </is>
      </c>
      <c r="D328" t="inlineStr">
        <is>
          <t>10000372</t>
        </is>
      </c>
      <c r="E328" t="inlineStr"/>
      <c r="F328" s="11" t="n">
        <v>198.2</v>
      </c>
      <c r="G328" t="inlineStr"/>
      <c r="I328" t="inlineStr">
        <is>
          <t>TN</t>
        </is>
      </c>
      <c r="J328" t="inlineStr"/>
      <c r="K328" t="inlineStr">
        <is>
          <t>20220504</t>
        </is>
      </c>
      <c r="L328" t="inlineStr">
        <is>
          <t>20251031</t>
        </is>
      </c>
    </row>
    <row r="329">
      <c r="A329" t="inlineStr">
        <is>
          <t>900007603</t>
        </is>
      </c>
      <c r="B329" t="inlineStr">
        <is>
          <t>DW55</t>
        </is>
      </c>
      <c r="C329" t="inlineStr">
        <is>
          <t>D309</t>
        </is>
      </c>
      <c r="D329" t="inlineStr">
        <is>
          <t>10000623</t>
        </is>
      </c>
      <c r="E329" t="inlineStr"/>
      <c r="F329" s="11" t="n">
        <v>297.87</v>
      </c>
      <c r="G329" t="inlineStr"/>
      <c r="I329" t="inlineStr">
        <is>
          <t>TN</t>
        </is>
      </c>
      <c r="J329" t="inlineStr"/>
      <c r="K329" t="inlineStr">
        <is>
          <t>20250626</t>
        </is>
      </c>
      <c r="L329" t="inlineStr">
        <is>
          <t>20260420</t>
        </is>
      </c>
    </row>
    <row r="330">
      <c r="A330" t="inlineStr">
        <is>
          <t>900007603</t>
        </is>
      </c>
      <c r="B330" t="inlineStr">
        <is>
          <t>DW55</t>
        </is>
      </c>
      <c r="C330" t="inlineStr">
        <is>
          <t>D309</t>
        </is>
      </c>
      <c r="D330" t="inlineStr">
        <is>
          <t>10123034</t>
        </is>
      </c>
      <c r="E330" t="inlineStr"/>
      <c r="F330" s="11" t="n">
        <v>98.17</v>
      </c>
      <c r="G330" t="inlineStr"/>
      <c r="I330" t="inlineStr">
        <is>
          <t>TN</t>
        </is>
      </c>
      <c r="J330" t="inlineStr"/>
      <c r="K330" t="inlineStr">
        <is>
          <t>20260421</t>
        </is>
      </c>
      <c r="L330" t="inlineStr">
        <is>
          <t>20260421</t>
        </is>
      </c>
    </row>
    <row r="331">
      <c r="A331" t="inlineStr">
        <is>
          <t>900007603</t>
        </is>
      </c>
      <c r="B331" t="inlineStr">
        <is>
          <t>DW55</t>
        </is>
      </c>
      <c r="C331" t="inlineStr">
        <is>
          <t>D325</t>
        </is>
      </c>
      <c r="D331" t="inlineStr">
        <is>
          <t>10000372</t>
        </is>
      </c>
      <c r="E331" t="inlineStr"/>
      <c r="F331" s="11" t="n">
        <v>198.2</v>
      </c>
      <c r="G331" t="inlineStr"/>
      <c r="I331" t="inlineStr">
        <is>
          <t>TN</t>
        </is>
      </c>
      <c r="J331" t="inlineStr"/>
      <c r="K331" t="inlineStr">
        <is>
          <t>20250428</t>
        </is>
      </c>
      <c r="L331" t="inlineStr">
        <is>
          <t>20251031</t>
        </is>
      </c>
    </row>
    <row r="332">
      <c r="A332" t="inlineStr">
        <is>
          <t>900007603</t>
        </is>
      </c>
      <c r="B332" t="inlineStr">
        <is>
          <t>DW55</t>
        </is>
      </c>
      <c r="C332" t="inlineStr">
        <is>
          <t>D325</t>
        </is>
      </c>
      <c r="D332" t="inlineStr">
        <is>
          <t>10000373</t>
        </is>
      </c>
      <c r="E332" t="inlineStr"/>
      <c r="F332" s="11" t="n">
        <v>344.09</v>
      </c>
      <c r="G332" t="inlineStr"/>
      <c r="I332" t="inlineStr">
        <is>
          <t>TN</t>
        </is>
      </c>
      <c r="J332" t="inlineStr"/>
      <c r="K332" t="inlineStr">
        <is>
          <t>20220715</t>
        </is>
      </c>
      <c r="L332" t="inlineStr">
        <is>
          <t>20240930</t>
        </is>
      </c>
    </row>
    <row r="333">
      <c r="A333" t="inlineStr">
        <is>
          <t>900007603</t>
        </is>
      </c>
      <c r="B333" t="inlineStr">
        <is>
          <t>DW55</t>
        </is>
      </c>
      <c r="C333" t="inlineStr">
        <is>
          <t>D325</t>
        </is>
      </c>
      <c r="D333" t="inlineStr">
        <is>
          <t>10000623</t>
        </is>
      </c>
      <c r="E333" t="inlineStr"/>
      <c r="F333" s="11" t="n">
        <v>297.87</v>
      </c>
      <c r="G333" t="inlineStr"/>
      <c r="I333" t="inlineStr">
        <is>
          <t>TN</t>
        </is>
      </c>
      <c r="J333" t="inlineStr"/>
      <c r="K333" t="inlineStr">
        <is>
          <t>20250626</t>
        </is>
      </c>
      <c r="L333" t="inlineStr">
        <is>
          <t>20260420</t>
        </is>
      </c>
    </row>
    <row r="334">
      <c r="A334" t="inlineStr">
        <is>
          <t>900007603</t>
        </is>
      </c>
      <c r="B334" t="inlineStr">
        <is>
          <t>DW55</t>
        </is>
      </c>
      <c r="C334" t="inlineStr">
        <is>
          <t>D325</t>
        </is>
      </c>
      <c r="D334" t="inlineStr">
        <is>
          <t>10123034</t>
        </is>
      </c>
      <c r="E334" t="inlineStr"/>
      <c r="F334" s="11" t="n">
        <v>98.17</v>
      </c>
      <c r="G334" t="inlineStr"/>
      <c r="I334" t="inlineStr">
        <is>
          <t>TN</t>
        </is>
      </c>
      <c r="J334" t="inlineStr"/>
      <c r="K334" t="inlineStr">
        <is>
          <t>20250428</t>
        </is>
      </c>
      <c r="L334" t="inlineStr">
        <is>
          <t>20251031</t>
        </is>
      </c>
    </row>
    <row r="335">
      <c r="A335" t="inlineStr">
        <is>
          <t>900007603</t>
        </is>
      </c>
      <c r="B335" t="inlineStr">
        <is>
          <t>DW55</t>
        </is>
      </c>
      <c r="C335" t="inlineStr">
        <is>
          <t>D342</t>
        </is>
      </c>
      <c r="D335" t="inlineStr">
        <is>
          <t>10000372</t>
        </is>
      </c>
      <c r="E335" t="inlineStr"/>
      <c r="F335" s="11" t="n">
        <v>198.2</v>
      </c>
      <c r="G335" t="inlineStr"/>
      <c r="I335" t="inlineStr">
        <is>
          <t>TN</t>
        </is>
      </c>
      <c r="J335" t="inlineStr"/>
      <c r="K335" t="inlineStr">
        <is>
          <t>20220504</t>
        </is>
      </c>
      <c r="L335" t="inlineStr">
        <is>
          <t>20251031</t>
        </is>
      </c>
    </row>
    <row r="336">
      <c r="A336" t="inlineStr">
        <is>
          <t>900007603</t>
        </is>
      </c>
      <c r="B336" t="inlineStr">
        <is>
          <t>DW55</t>
        </is>
      </c>
      <c r="C336" t="inlineStr">
        <is>
          <t>D342</t>
        </is>
      </c>
      <c r="D336" t="inlineStr">
        <is>
          <t>10000623</t>
        </is>
      </c>
      <c r="E336" t="inlineStr"/>
      <c r="F336" s="11" t="n">
        <v>297.87</v>
      </c>
      <c r="G336" t="inlineStr"/>
      <c r="I336" t="inlineStr">
        <is>
          <t>TN</t>
        </is>
      </c>
      <c r="J336" t="inlineStr"/>
      <c r="K336" t="inlineStr">
        <is>
          <t>20250626</t>
        </is>
      </c>
      <c r="L336" t="inlineStr">
        <is>
          <t>20260420</t>
        </is>
      </c>
    </row>
    <row r="337">
      <c r="A337" t="inlineStr">
        <is>
          <t>900007603</t>
        </is>
      </c>
      <c r="B337" t="inlineStr">
        <is>
          <t>DW55</t>
        </is>
      </c>
      <c r="C337" t="inlineStr">
        <is>
          <t>D342</t>
        </is>
      </c>
      <c r="D337" t="inlineStr">
        <is>
          <t>10123034</t>
        </is>
      </c>
      <c r="E337" t="inlineStr"/>
      <c r="F337" s="11" t="n">
        <v>98.17</v>
      </c>
      <c r="G337" t="inlineStr"/>
      <c r="I337" t="inlineStr">
        <is>
          <t>TN</t>
        </is>
      </c>
      <c r="J337" t="inlineStr"/>
      <c r="K337" t="inlineStr">
        <is>
          <t>20250428</t>
        </is>
      </c>
      <c r="L337" t="inlineStr">
        <is>
          <t>20251031</t>
        </is>
      </c>
    </row>
    <row r="338">
      <c r="A338" t="inlineStr">
        <is>
          <t>900007603</t>
        </is>
      </c>
      <c r="B338" t="inlineStr">
        <is>
          <t>DW55</t>
        </is>
      </c>
      <c r="C338" t="inlineStr">
        <is>
          <t>D348</t>
        </is>
      </c>
      <c r="D338" t="inlineStr">
        <is>
          <t>10000372</t>
        </is>
      </c>
      <c r="E338" t="inlineStr"/>
      <c r="F338" s="11" t="n">
        <v>198.2</v>
      </c>
      <c r="G338" t="inlineStr"/>
      <c r="I338" t="inlineStr">
        <is>
          <t>TN</t>
        </is>
      </c>
      <c r="J338" t="inlineStr"/>
      <c r="K338" t="inlineStr">
        <is>
          <t>20250428</t>
        </is>
      </c>
      <c r="L338" t="inlineStr">
        <is>
          <t>20251031</t>
        </is>
      </c>
    </row>
    <row r="339">
      <c r="A339" t="inlineStr">
        <is>
          <t>900007603</t>
        </is>
      </c>
      <c r="B339" t="inlineStr">
        <is>
          <t>DW55</t>
        </is>
      </c>
      <c r="C339" t="inlineStr">
        <is>
          <t>D348</t>
        </is>
      </c>
      <c r="D339" t="inlineStr">
        <is>
          <t>10000373</t>
        </is>
      </c>
      <c r="E339" t="inlineStr"/>
      <c r="F339" s="11" t="n">
        <v>344.09</v>
      </c>
      <c r="G339" t="inlineStr"/>
      <c r="I339" t="inlineStr">
        <is>
          <t>TN</t>
        </is>
      </c>
      <c r="J339" t="inlineStr"/>
      <c r="K339" t="inlineStr">
        <is>
          <t>20220715</t>
        </is>
      </c>
      <c r="L339" t="inlineStr">
        <is>
          <t>20240930</t>
        </is>
      </c>
    </row>
    <row r="340">
      <c r="A340" t="inlineStr">
        <is>
          <t>900007603</t>
        </is>
      </c>
      <c r="B340" t="inlineStr">
        <is>
          <t>DW55</t>
        </is>
      </c>
      <c r="C340" t="inlineStr">
        <is>
          <t>ER67</t>
        </is>
      </c>
      <c r="D340" t="inlineStr">
        <is>
          <t>10000372</t>
        </is>
      </c>
      <c r="E340" t="inlineStr"/>
      <c r="F340" s="11" t="n">
        <v>169.03</v>
      </c>
      <c r="G340" t="inlineStr"/>
      <c r="I340" t="inlineStr">
        <is>
          <t>TN</t>
        </is>
      </c>
      <c r="J340" t="inlineStr"/>
      <c r="K340" t="inlineStr">
        <is>
          <t>20220504</t>
        </is>
      </c>
      <c r="L340" t="inlineStr">
        <is>
          <t>20230127</t>
        </is>
      </c>
    </row>
    <row r="341">
      <c r="A341" t="inlineStr">
        <is>
          <t>900007603</t>
        </is>
      </c>
      <c r="B341" t="inlineStr">
        <is>
          <t>DW55</t>
        </is>
      </c>
      <c r="C341" t="inlineStr">
        <is>
          <t>ER68</t>
        </is>
      </c>
      <c r="D341" t="inlineStr">
        <is>
          <t>10210260</t>
        </is>
      </c>
      <c r="E341" t="inlineStr"/>
      <c r="F341" s="11" t="n">
        <v>164.16</v>
      </c>
      <c r="G341" t="inlineStr"/>
      <c r="I341" t="inlineStr">
        <is>
          <t>TN</t>
        </is>
      </c>
      <c r="J341" t="inlineStr"/>
      <c r="K341" t="inlineStr">
        <is>
          <t>20220520</t>
        </is>
      </c>
      <c r="L341" t="inlineStr">
        <is>
          <t>20240717</t>
        </is>
      </c>
    </row>
    <row r="342">
      <c r="A342" t="inlineStr">
        <is>
          <t>900007604</t>
        </is>
      </c>
      <c r="B342" t="inlineStr">
        <is>
          <t>DW55</t>
        </is>
      </c>
      <c r="C342" t="inlineStr">
        <is>
          <t>D284</t>
        </is>
      </c>
      <c r="D342" t="inlineStr">
        <is>
          <t>10000372</t>
        </is>
      </c>
      <c r="E342" t="inlineStr"/>
      <c r="F342" s="11" t="n">
        <v>198.2</v>
      </c>
      <c r="G342" t="inlineStr"/>
      <c r="I342" t="inlineStr">
        <is>
          <t>TN</t>
        </is>
      </c>
      <c r="J342" t="inlineStr"/>
      <c r="K342" t="inlineStr">
        <is>
          <t>20241203</t>
        </is>
      </c>
      <c r="L342" t="inlineStr">
        <is>
          <t>20260420</t>
        </is>
      </c>
    </row>
    <row r="343">
      <c r="A343" t="inlineStr">
        <is>
          <t>900007604</t>
        </is>
      </c>
      <c r="B343" t="inlineStr">
        <is>
          <t>DW55</t>
        </is>
      </c>
      <c r="C343" t="inlineStr">
        <is>
          <t>D284</t>
        </is>
      </c>
      <c r="D343" t="inlineStr">
        <is>
          <t>10123034</t>
        </is>
      </c>
      <c r="E343" t="inlineStr"/>
      <c r="F343" s="11" t="n">
        <v>98.17</v>
      </c>
      <c r="G343" t="inlineStr"/>
      <c r="I343" t="inlineStr">
        <is>
          <t>TN</t>
        </is>
      </c>
      <c r="J343" t="inlineStr"/>
      <c r="K343" t="inlineStr">
        <is>
          <t>20241203</t>
        </is>
      </c>
      <c r="L343" t="inlineStr">
        <is>
          <t>20260420</t>
        </is>
      </c>
    </row>
    <row r="344">
      <c r="A344" t="inlineStr">
        <is>
          <t>900007604</t>
        </is>
      </c>
      <c r="B344" t="inlineStr">
        <is>
          <t>DW55</t>
        </is>
      </c>
      <c r="C344" t="inlineStr">
        <is>
          <t>D284</t>
        </is>
      </c>
      <c r="D344" t="inlineStr">
        <is>
          <t>10147454</t>
        </is>
      </c>
      <c r="E344" t="inlineStr"/>
      <c r="F344" s="11" t="n">
        <v>160.67</v>
      </c>
      <c r="G344" t="inlineStr"/>
      <c r="I344" t="inlineStr">
        <is>
          <t>TN</t>
        </is>
      </c>
      <c r="J344" t="inlineStr"/>
      <c r="K344" t="inlineStr">
        <is>
          <t>20220628</t>
        </is>
      </c>
      <c r="L344" t="inlineStr">
        <is>
          <t>20240821</t>
        </is>
      </c>
    </row>
    <row r="345">
      <c r="A345" t="inlineStr">
        <is>
          <t>900007604</t>
        </is>
      </c>
      <c r="B345" t="inlineStr">
        <is>
          <t>DW55</t>
        </is>
      </c>
      <c r="C345" t="inlineStr">
        <is>
          <t>D309</t>
        </is>
      </c>
      <c r="D345" t="inlineStr">
        <is>
          <t>10000372</t>
        </is>
      </c>
      <c r="E345" t="inlineStr"/>
      <c r="F345" s="11" t="n">
        <v>198.2</v>
      </c>
      <c r="G345" t="inlineStr"/>
      <c r="I345" t="inlineStr">
        <is>
          <t>TN</t>
        </is>
      </c>
      <c r="J345" t="inlineStr"/>
      <c r="K345" t="inlineStr">
        <is>
          <t>20241203</t>
        </is>
      </c>
      <c r="L345" t="inlineStr">
        <is>
          <t>20260420</t>
        </is>
      </c>
    </row>
    <row r="346">
      <c r="A346" t="inlineStr">
        <is>
          <t>900007604</t>
        </is>
      </c>
      <c r="B346" t="inlineStr">
        <is>
          <t>DW55</t>
        </is>
      </c>
      <c r="C346" t="inlineStr">
        <is>
          <t>D309</t>
        </is>
      </c>
      <c r="D346" t="inlineStr">
        <is>
          <t>10123034</t>
        </is>
      </c>
      <c r="E346" t="inlineStr"/>
      <c r="F346" s="11" t="n">
        <v>98.17</v>
      </c>
      <c r="G346" t="inlineStr"/>
      <c r="I346" t="inlineStr">
        <is>
          <t>TN</t>
        </is>
      </c>
      <c r="J346" t="inlineStr"/>
      <c r="K346" t="inlineStr">
        <is>
          <t>20241203</t>
        </is>
      </c>
      <c r="L346" t="inlineStr">
        <is>
          <t>20260420</t>
        </is>
      </c>
    </row>
    <row r="347">
      <c r="A347" t="inlineStr">
        <is>
          <t>900007604</t>
        </is>
      </c>
      <c r="B347" t="inlineStr">
        <is>
          <t>DW55</t>
        </is>
      </c>
      <c r="C347" t="inlineStr">
        <is>
          <t>D309</t>
        </is>
      </c>
      <c r="D347" t="inlineStr">
        <is>
          <t>10147454</t>
        </is>
      </c>
      <c r="E347" t="inlineStr"/>
      <c r="F347" s="11" t="n">
        <v>134.96</v>
      </c>
      <c r="G347" t="inlineStr"/>
      <c r="I347" t="inlineStr">
        <is>
          <t>TN</t>
        </is>
      </c>
      <c r="J347" t="inlineStr"/>
      <c r="K347" t="inlineStr">
        <is>
          <t>20220715</t>
        </is>
      </c>
      <c r="L347" t="inlineStr">
        <is>
          <t>20240419</t>
        </is>
      </c>
    </row>
    <row r="348">
      <c r="A348" t="inlineStr">
        <is>
          <t>900007604</t>
        </is>
      </c>
      <c r="B348" t="inlineStr">
        <is>
          <t>DW55</t>
        </is>
      </c>
      <c r="C348" t="inlineStr">
        <is>
          <t>D342</t>
        </is>
      </c>
      <c r="D348" t="inlineStr">
        <is>
          <t>10000372</t>
        </is>
      </c>
      <c r="E348" t="inlineStr"/>
      <c r="F348" s="11" t="n">
        <v>198.2</v>
      </c>
      <c r="G348" t="inlineStr"/>
      <c r="I348" t="inlineStr">
        <is>
          <t>TN</t>
        </is>
      </c>
      <c r="J348" t="inlineStr"/>
      <c r="K348" t="inlineStr">
        <is>
          <t>20241203</t>
        </is>
      </c>
      <c r="L348" t="inlineStr">
        <is>
          <t>20260420</t>
        </is>
      </c>
    </row>
    <row r="349">
      <c r="A349" t="inlineStr">
        <is>
          <t>900007604</t>
        </is>
      </c>
      <c r="B349" t="inlineStr">
        <is>
          <t>DW55</t>
        </is>
      </c>
      <c r="C349" t="inlineStr">
        <is>
          <t>D342</t>
        </is>
      </c>
      <c r="D349" t="inlineStr">
        <is>
          <t>10123034</t>
        </is>
      </c>
      <c r="E349" t="inlineStr"/>
      <c r="F349" s="11" t="n">
        <v>98.17</v>
      </c>
      <c r="G349" t="inlineStr"/>
      <c r="I349" t="inlineStr">
        <is>
          <t>TN</t>
        </is>
      </c>
      <c r="J349" t="inlineStr"/>
      <c r="K349" t="inlineStr">
        <is>
          <t>20250428</t>
        </is>
      </c>
      <c r="L349" t="inlineStr">
        <is>
          <t>20251031</t>
        </is>
      </c>
    </row>
    <row r="350">
      <c r="A350" t="inlineStr">
        <is>
          <t>900007604</t>
        </is>
      </c>
      <c r="B350" t="inlineStr">
        <is>
          <t>DW55</t>
        </is>
      </c>
      <c r="C350" t="inlineStr">
        <is>
          <t>D342</t>
        </is>
      </c>
      <c r="D350" t="inlineStr">
        <is>
          <t>10147454</t>
        </is>
      </c>
      <c r="E350" t="inlineStr"/>
      <c r="F350" s="11" t="n">
        <v>134.96</v>
      </c>
      <c r="G350" t="inlineStr"/>
      <c r="I350" t="inlineStr">
        <is>
          <t>TN</t>
        </is>
      </c>
      <c r="J350" t="inlineStr"/>
      <c r="K350" t="inlineStr">
        <is>
          <t>20220715</t>
        </is>
      </c>
      <c r="L350" t="inlineStr">
        <is>
          <t>20240821</t>
        </is>
      </c>
    </row>
    <row r="351">
      <c r="A351" t="inlineStr">
        <is>
          <t>900007604</t>
        </is>
      </c>
      <c r="B351" t="inlineStr">
        <is>
          <t>DW55</t>
        </is>
      </c>
      <c r="C351" t="inlineStr">
        <is>
          <t>ER67</t>
        </is>
      </c>
      <c r="D351" t="inlineStr">
        <is>
          <t>10210260</t>
        </is>
      </c>
      <c r="E351" t="inlineStr"/>
      <c r="F351" s="11" t="n">
        <v>163.98</v>
      </c>
      <c r="G351" t="inlineStr"/>
      <c r="I351" t="inlineStr">
        <is>
          <t>TN</t>
        </is>
      </c>
      <c r="J351" t="inlineStr"/>
      <c r="K351" t="inlineStr">
        <is>
          <t>20220504</t>
        </is>
      </c>
      <c r="L351" t="inlineStr">
        <is>
          <t>20230127</t>
        </is>
      </c>
    </row>
    <row r="352">
      <c r="A352" t="inlineStr">
        <is>
          <t>900007604</t>
        </is>
      </c>
      <c r="B352" t="inlineStr">
        <is>
          <t>DW55</t>
        </is>
      </c>
      <c r="C352" t="inlineStr">
        <is>
          <t>ER68</t>
        </is>
      </c>
      <c r="D352" t="inlineStr">
        <is>
          <t>10210260</t>
        </is>
      </c>
      <c r="E352" t="inlineStr"/>
      <c r="F352" s="11" t="n">
        <v>163.98</v>
      </c>
      <c r="G352" t="inlineStr"/>
      <c r="I352" t="inlineStr">
        <is>
          <t>TN</t>
        </is>
      </c>
      <c r="J352" t="inlineStr"/>
      <c r="K352" t="inlineStr">
        <is>
          <t>20220501</t>
        </is>
      </c>
      <c r="L352" t="inlineStr">
        <is>
          <t>20240717</t>
        </is>
      </c>
    </row>
    <row r="353">
      <c r="A353" t="inlineStr">
        <is>
          <t>900007645</t>
        </is>
      </c>
      <c r="B353" t="inlineStr">
        <is>
          <t>DW55</t>
        </is>
      </c>
      <c r="C353" t="inlineStr">
        <is>
          <t>ER67</t>
        </is>
      </c>
      <c r="D353" t="inlineStr">
        <is>
          <t>10210039</t>
        </is>
      </c>
      <c r="E353" t="inlineStr"/>
      <c r="F353" s="11" t="n">
        <v>40.4</v>
      </c>
      <c r="G353" t="inlineStr"/>
      <c r="I353" t="inlineStr">
        <is>
          <t>TN</t>
        </is>
      </c>
      <c r="J353" t="inlineStr"/>
      <c r="K353" t="inlineStr">
        <is>
          <t>20220504</t>
        </is>
      </c>
      <c r="L353" t="inlineStr">
        <is>
          <t>20230127</t>
        </is>
      </c>
    </row>
    <row r="354">
      <c r="A354" t="inlineStr">
        <is>
          <t>900007645</t>
        </is>
      </c>
      <c r="B354" t="inlineStr">
        <is>
          <t>DW55</t>
        </is>
      </c>
      <c r="C354" t="inlineStr">
        <is>
          <t>ER68</t>
        </is>
      </c>
      <c r="D354" t="inlineStr">
        <is>
          <t>10210039</t>
        </is>
      </c>
      <c r="E354" t="inlineStr"/>
      <c r="F354" s="11" t="n">
        <v>40.4</v>
      </c>
      <c r="G354" t="inlineStr"/>
      <c r="I354" t="inlineStr">
        <is>
          <t>TN</t>
        </is>
      </c>
      <c r="J354" t="inlineStr"/>
      <c r="K354" t="inlineStr">
        <is>
          <t>20220501</t>
        </is>
      </c>
      <c r="L354" t="inlineStr">
        <is>
          <t>20240717</t>
        </is>
      </c>
    </row>
    <row r="355">
      <c r="A355" t="inlineStr">
        <is>
          <t>900007666</t>
        </is>
      </c>
      <c r="B355" t="inlineStr">
        <is>
          <t>DW55</t>
        </is>
      </c>
      <c r="C355" t="inlineStr">
        <is>
          <t>D284</t>
        </is>
      </c>
      <c r="D355" t="inlineStr">
        <is>
          <t>10218414</t>
        </is>
      </c>
      <c r="E355" t="inlineStr"/>
      <c r="F355" s="11" t="n">
        <v>227.72</v>
      </c>
      <c r="G355" t="inlineStr"/>
      <c r="I355" t="inlineStr">
        <is>
          <t>TN</t>
        </is>
      </c>
      <c r="J355" t="inlineStr"/>
      <c r="K355" t="inlineStr">
        <is>
          <t>20220704</t>
        </is>
      </c>
      <c r="L355" t="inlineStr">
        <is>
          <t>20240717</t>
        </is>
      </c>
    </row>
    <row r="356">
      <c r="A356" t="inlineStr">
        <is>
          <t>900007666</t>
        </is>
      </c>
      <c r="B356" t="inlineStr">
        <is>
          <t>DW55</t>
        </is>
      </c>
      <c r="C356" t="inlineStr">
        <is>
          <t>D309</t>
        </is>
      </c>
      <c r="D356" t="inlineStr">
        <is>
          <t>10218414</t>
        </is>
      </c>
      <c r="E356" t="inlineStr"/>
      <c r="F356" s="11" t="n">
        <v>217.82</v>
      </c>
      <c r="G356" t="inlineStr"/>
      <c r="I356" t="inlineStr">
        <is>
          <t>TN</t>
        </is>
      </c>
      <c r="J356" t="inlineStr"/>
      <c r="K356" t="inlineStr">
        <is>
          <t>20220517</t>
        </is>
      </c>
      <c r="L356" t="inlineStr">
        <is>
          <t>20240717</t>
        </is>
      </c>
    </row>
    <row r="357">
      <c r="A357" t="inlineStr">
        <is>
          <t>900007666</t>
        </is>
      </c>
      <c r="B357" t="inlineStr">
        <is>
          <t>DW55</t>
        </is>
      </c>
      <c r="C357" t="inlineStr">
        <is>
          <t>D342</t>
        </is>
      </c>
      <c r="D357" t="inlineStr">
        <is>
          <t>10218414</t>
        </is>
      </c>
      <c r="E357" t="inlineStr"/>
      <c r="F357" s="11" t="n">
        <v>227.72</v>
      </c>
      <c r="G357" t="inlineStr"/>
      <c r="I357" t="inlineStr">
        <is>
          <t>TN</t>
        </is>
      </c>
      <c r="J357" t="inlineStr"/>
      <c r="K357" t="inlineStr">
        <is>
          <t>20220704</t>
        </is>
      </c>
      <c r="L357" t="inlineStr">
        <is>
          <t>20240717</t>
        </is>
      </c>
    </row>
    <row r="358">
      <c r="A358" t="inlineStr">
        <is>
          <t>900007674</t>
        </is>
      </c>
      <c r="B358" t="inlineStr">
        <is>
          <t>DW55</t>
        </is>
      </c>
      <c r="C358" t="inlineStr">
        <is>
          <t>D284</t>
        </is>
      </c>
      <c r="D358" t="inlineStr">
        <is>
          <t>10000561</t>
        </is>
      </c>
      <c r="E358" t="inlineStr"/>
      <c r="F358" s="11" t="n">
        <v>230.77</v>
      </c>
      <c r="G358" t="inlineStr"/>
      <c r="I358" t="inlineStr">
        <is>
          <t>TN</t>
        </is>
      </c>
      <c r="J358" t="inlineStr"/>
      <c r="K358" t="inlineStr">
        <is>
          <t>20221227</t>
        </is>
      </c>
      <c r="L358" t="inlineStr">
        <is>
          <t>20240717</t>
        </is>
      </c>
    </row>
    <row r="359">
      <c r="A359" t="inlineStr">
        <is>
          <t>900007674</t>
        </is>
      </c>
      <c r="B359" t="inlineStr">
        <is>
          <t>DW55</t>
        </is>
      </c>
      <c r="C359" t="inlineStr">
        <is>
          <t>D309</t>
        </is>
      </c>
      <c r="D359" t="inlineStr">
        <is>
          <t>10000561</t>
        </is>
      </c>
      <c r="E359" t="inlineStr"/>
      <c r="F359" s="11" t="n">
        <v>230.77</v>
      </c>
      <c r="G359" t="inlineStr"/>
      <c r="I359" t="inlineStr">
        <is>
          <t>TN</t>
        </is>
      </c>
      <c r="J359" t="inlineStr"/>
      <c r="K359" t="inlineStr">
        <is>
          <t>20221227</t>
        </is>
      </c>
      <c r="L359" t="inlineStr">
        <is>
          <t>20240717</t>
        </is>
      </c>
    </row>
    <row r="360">
      <c r="A360" t="inlineStr">
        <is>
          <t>900007674</t>
        </is>
      </c>
      <c r="B360" t="inlineStr">
        <is>
          <t>DW55</t>
        </is>
      </c>
      <c r="C360" t="inlineStr">
        <is>
          <t>D342</t>
        </is>
      </c>
      <c r="D360" t="inlineStr">
        <is>
          <t>10000561</t>
        </is>
      </c>
      <c r="E360" t="inlineStr"/>
      <c r="F360" s="11" t="n">
        <v>230.77</v>
      </c>
      <c r="G360" t="inlineStr"/>
      <c r="I360" t="inlineStr">
        <is>
          <t>TN</t>
        </is>
      </c>
      <c r="J360" t="inlineStr"/>
      <c r="K360" t="inlineStr">
        <is>
          <t>20221227</t>
        </is>
      </c>
      <c r="L360" t="inlineStr">
        <is>
          <t>20240717</t>
        </is>
      </c>
    </row>
    <row r="361">
      <c r="A361" t="inlineStr">
        <is>
          <t>900007674</t>
        </is>
      </c>
      <c r="B361" t="inlineStr">
        <is>
          <t>DW55</t>
        </is>
      </c>
      <c r="C361" t="inlineStr">
        <is>
          <t>D348</t>
        </is>
      </c>
      <c r="D361" t="inlineStr">
        <is>
          <t>10000561</t>
        </is>
      </c>
      <c r="E361" t="inlineStr"/>
      <c r="F361" s="11" t="n">
        <v>230.77</v>
      </c>
      <c r="G361" t="inlineStr"/>
      <c r="I361" t="inlineStr">
        <is>
          <t>TN</t>
        </is>
      </c>
      <c r="J361" t="inlineStr"/>
      <c r="K361" t="inlineStr">
        <is>
          <t>20221227</t>
        </is>
      </c>
      <c r="L361" t="inlineStr">
        <is>
          <t>20240717</t>
        </is>
      </c>
    </row>
    <row r="362">
      <c r="A362" t="inlineStr">
        <is>
          <t>900007715</t>
        </is>
      </c>
      <c r="B362" t="inlineStr">
        <is>
          <t>DW55</t>
        </is>
      </c>
      <c r="C362" t="inlineStr">
        <is>
          <t>ER67</t>
        </is>
      </c>
      <c r="D362" t="inlineStr">
        <is>
          <t>10210039</t>
        </is>
      </c>
      <c r="E362" t="inlineStr"/>
      <c r="F362" s="11" t="n">
        <v>43.77</v>
      </c>
      <c r="G362" t="inlineStr"/>
      <c r="I362" t="inlineStr">
        <is>
          <t>TN</t>
        </is>
      </c>
      <c r="J362" t="inlineStr"/>
      <c r="K362" t="inlineStr">
        <is>
          <t>20220504</t>
        </is>
      </c>
      <c r="L362" t="inlineStr">
        <is>
          <t>20230127</t>
        </is>
      </c>
    </row>
    <row r="363">
      <c r="A363" t="inlineStr">
        <is>
          <t>900007715</t>
        </is>
      </c>
      <c r="B363" t="inlineStr">
        <is>
          <t>DW55</t>
        </is>
      </c>
      <c r="C363" t="inlineStr">
        <is>
          <t>ER68</t>
        </is>
      </c>
      <c r="D363" t="inlineStr">
        <is>
          <t>10210039</t>
        </is>
      </c>
      <c r="E363" t="inlineStr"/>
      <c r="F363" s="11" t="n">
        <v>43.77</v>
      </c>
      <c r="G363" t="inlineStr"/>
      <c r="I363" t="inlineStr">
        <is>
          <t>TN</t>
        </is>
      </c>
      <c r="J363" t="inlineStr"/>
      <c r="K363" t="inlineStr">
        <is>
          <t>20220501</t>
        </is>
      </c>
      <c r="L363" t="inlineStr">
        <is>
          <t>20240717</t>
        </is>
      </c>
    </row>
    <row r="364">
      <c r="A364" t="inlineStr">
        <is>
          <t>900007717</t>
        </is>
      </c>
      <c r="B364" t="inlineStr">
        <is>
          <t>DW55</t>
        </is>
      </c>
      <c r="C364" t="inlineStr">
        <is>
          <t>ER67</t>
        </is>
      </c>
      <c r="D364" t="inlineStr">
        <is>
          <t>10210039</t>
        </is>
      </c>
      <c r="E364" t="inlineStr"/>
      <c r="F364" s="11" t="n">
        <v>50.51</v>
      </c>
      <c r="G364" t="inlineStr"/>
      <c r="I364" t="inlineStr">
        <is>
          <t>TN</t>
        </is>
      </c>
      <c r="J364" t="inlineStr"/>
      <c r="K364" t="inlineStr">
        <is>
          <t>20220504</t>
        </is>
      </c>
      <c r="L364" t="inlineStr">
        <is>
          <t>20230127</t>
        </is>
      </c>
    </row>
    <row r="365">
      <c r="A365" t="inlineStr">
        <is>
          <t>900007717</t>
        </is>
      </c>
      <c r="B365" t="inlineStr">
        <is>
          <t>DW55</t>
        </is>
      </c>
      <c r="C365" t="inlineStr">
        <is>
          <t>ER68</t>
        </is>
      </c>
      <c r="D365" t="inlineStr">
        <is>
          <t>10210039</t>
        </is>
      </c>
      <c r="E365" t="inlineStr"/>
      <c r="F365" s="11" t="n">
        <v>50.51</v>
      </c>
      <c r="G365" t="inlineStr"/>
      <c r="I365" t="inlineStr">
        <is>
          <t>TN</t>
        </is>
      </c>
      <c r="J365" t="inlineStr"/>
      <c r="K365" t="inlineStr">
        <is>
          <t>20220501</t>
        </is>
      </c>
      <c r="L365" t="inlineStr">
        <is>
          <t>20240726</t>
        </is>
      </c>
    </row>
    <row r="366">
      <c r="A366" t="inlineStr">
        <is>
          <t>900007718</t>
        </is>
      </c>
      <c r="B366" t="inlineStr">
        <is>
          <t>DW55</t>
        </is>
      </c>
      <c r="C366" t="inlineStr">
        <is>
          <t>D348</t>
        </is>
      </c>
      <c r="D366" t="inlineStr">
        <is>
          <t>10000372</t>
        </is>
      </c>
      <c r="E366" t="inlineStr"/>
      <c r="F366" s="11" t="n">
        <v>172.65</v>
      </c>
      <c r="G366" t="inlineStr"/>
      <c r="I366" t="inlineStr">
        <is>
          <t>TN</t>
        </is>
      </c>
      <c r="J366" t="inlineStr"/>
      <c r="K366" t="inlineStr">
        <is>
          <t>20230401</t>
        </is>
      </c>
      <c r="L366" t="inlineStr">
        <is>
          <t>20240726</t>
        </is>
      </c>
    </row>
    <row r="367">
      <c r="A367" t="inlineStr">
        <is>
          <t>900007772</t>
        </is>
      </c>
      <c r="B367" t="inlineStr">
        <is>
          <t>DW55</t>
        </is>
      </c>
      <c r="C367" t="inlineStr">
        <is>
          <t>D348</t>
        </is>
      </c>
      <c r="D367" t="inlineStr">
        <is>
          <t>10213318</t>
        </is>
      </c>
      <c r="E367" t="inlineStr"/>
      <c r="F367" s="11" t="n">
        <v>446.62</v>
      </c>
      <c r="G367" t="inlineStr"/>
      <c r="I367" t="inlineStr">
        <is>
          <t>TN</t>
        </is>
      </c>
      <c r="J367" t="inlineStr"/>
      <c r="K367" t="inlineStr">
        <is>
          <t>20230401</t>
        </is>
      </c>
      <c r="L367" t="inlineStr">
        <is>
          <t>20240726</t>
        </is>
      </c>
    </row>
    <row r="368">
      <c r="A368" t="inlineStr">
        <is>
          <t>900007800</t>
        </is>
      </c>
      <c r="B368" t="inlineStr">
        <is>
          <t>DW55</t>
        </is>
      </c>
      <c r="C368" t="inlineStr">
        <is>
          <t>D284</t>
        </is>
      </c>
      <c r="D368" t="inlineStr">
        <is>
          <t>10000178</t>
        </is>
      </c>
      <c r="E368" t="inlineStr"/>
      <c r="F368" s="11" t="n">
        <v>165.89</v>
      </c>
      <c r="G368" t="inlineStr"/>
      <c r="I368" t="inlineStr">
        <is>
          <t>TN</t>
        </is>
      </c>
      <c r="J368" t="inlineStr"/>
      <c r="K368" t="inlineStr">
        <is>
          <t>20220713</t>
        </is>
      </c>
      <c r="L368" t="inlineStr">
        <is>
          <t>20240726</t>
        </is>
      </c>
    </row>
    <row r="369">
      <c r="A369" t="inlineStr">
        <is>
          <t>900007800</t>
        </is>
      </c>
      <c r="B369" t="inlineStr">
        <is>
          <t>DW55</t>
        </is>
      </c>
      <c r="C369" t="inlineStr">
        <is>
          <t>D284</t>
        </is>
      </c>
      <c r="D369" t="inlineStr">
        <is>
          <t>10000541</t>
        </is>
      </c>
      <c r="E369" t="inlineStr"/>
      <c r="F369" s="11" t="n">
        <v>84.81</v>
      </c>
      <c r="G369" t="inlineStr"/>
      <c r="I369" t="inlineStr">
        <is>
          <t>TN</t>
        </is>
      </c>
      <c r="J369" t="inlineStr"/>
      <c r="K369" t="inlineStr">
        <is>
          <t>20250428</t>
        </is>
      </c>
      <c r="L369" t="inlineStr">
        <is>
          <t>20251031</t>
        </is>
      </c>
    </row>
    <row r="370">
      <c r="A370" t="inlineStr">
        <is>
          <t>900007800</t>
        </is>
      </c>
      <c r="B370" t="inlineStr">
        <is>
          <t>DW55</t>
        </is>
      </c>
      <c r="C370" t="inlineStr">
        <is>
          <t>D284</t>
        </is>
      </c>
      <c r="D370" t="inlineStr">
        <is>
          <t>10000826</t>
        </is>
      </c>
      <c r="E370" t="inlineStr"/>
      <c r="F370" s="11" t="n">
        <v>165.52</v>
      </c>
      <c r="G370" t="inlineStr"/>
      <c r="I370" t="inlineStr">
        <is>
          <t>TN</t>
        </is>
      </c>
      <c r="J370" t="inlineStr"/>
      <c r="K370" t="inlineStr">
        <is>
          <t>20220713</t>
        </is>
      </c>
      <c r="L370" t="inlineStr">
        <is>
          <t>20240726</t>
        </is>
      </c>
    </row>
    <row r="371">
      <c r="A371" t="inlineStr">
        <is>
          <t>900007800</t>
        </is>
      </c>
      <c r="B371" t="inlineStr">
        <is>
          <t>DW55</t>
        </is>
      </c>
      <c r="C371" t="inlineStr">
        <is>
          <t>D309</t>
        </is>
      </c>
      <c r="D371" t="inlineStr">
        <is>
          <t>10000178</t>
        </is>
      </c>
      <c r="E371" t="inlineStr"/>
      <c r="F371" s="11" t="n">
        <v>165.89</v>
      </c>
      <c r="G371" t="inlineStr"/>
      <c r="I371" t="inlineStr">
        <is>
          <t>TN</t>
        </is>
      </c>
      <c r="J371" t="inlineStr"/>
      <c r="K371" t="inlineStr">
        <is>
          <t>20220517</t>
        </is>
      </c>
      <c r="L371" t="inlineStr">
        <is>
          <t>20240726</t>
        </is>
      </c>
    </row>
    <row r="372">
      <c r="A372" t="inlineStr">
        <is>
          <t>900007800</t>
        </is>
      </c>
      <c r="B372" t="inlineStr">
        <is>
          <t>DW55</t>
        </is>
      </c>
      <c r="C372" t="inlineStr">
        <is>
          <t>D309</t>
        </is>
      </c>
      <c r="D372" t="inlineStr">
        <is>
          <t>10000541</t>
        </is>
      </c>
      <c r="E372" t="inlineStr"/>
      <c r="F372" s="11" t="n">
        <v>84.81</v>
      </c>
      <c r="G372" t="inlineStr"/>
      <c r="I372" t="inlineStr">
        <is>
          <t>TN</t>
        </is>
      </c>
      <c r="J372" t="inlineStr"/>
      <c r="K372" t="inlineStr">
        <is>
          <t>20240122</t>
        </is>
      </c>
      <c r="L372" t="inlineStr">
        <is>
          <t>20241015</t>
        </is>
      </c>
    </row>
    <row r="373">
      <c r="A373" t="inlineStr">
        <is>
          <t>900007800</t>
        </is>
      </c>
      <c r="B373" t="inlineStr">
        <is>
          <t>DW55</t>
        </is>
      </c>
      <c r="C373" t="inlineStr">
        <is>
          <t>D309</t>
        </is>
      </c>
      <c r="D373" t="inlineStr">
        <is>
          <t>10000826</t>
        </is>
      </c>
      <c r="E373" t="inlineStr"/>
      <c r="F373" s="11" t="n">
        <v>165.52</v>
      </c>
      <c r="G373" t="inlineStr"/>
      <c r="I373" t="inlineStr">
        <is>
          <t>TN</t>
        </is>
      </c>
      <c r="J373" t="inlineStr"/>
      <c r="K373" t="inlineStr">
        <is>
          <t>20220517</t>
        </is>
      </c>
      <c r="L373" t="inlineStr">
        <is>
          <t>20240726</t>
        </is>
      </c>
    </row>
    <row r="374">
      <c r="A374" t="inlineStr">
        <is>
          <t>900007800</t>
        </is>
      </c>
      <c r="B374" t="inlineStr">
        <is>
          <t>DW55</t>
        </is>
      </c>
      <c r="C374" t="inlineStr">
        <is>
          <t>D325</t>
        </is>
      </c>
      <c r="D374" t="inlineStr">
        <is>
          <t>10000541</t>
        </is>
      </c>
      <c r="E374" t="inlineStr"/>
      <c r="F374" s="11" t="n">
        <v>196.34</v>
      </c>
      <c r="G374" t="inlineStr"/>
      <c r="I374" t="inlineStr">
        <is>
          <t>TN</t>
        </is>
      </c>
      <c r="J374" t="inlineStr"/>
      <c r="K374" t="inlineStr">
        <is>
          <t>20240726</t>
        </is>
      </c>
      <c r="L374" t="inlineStr">
        <is>
          <t>99991231</t>
        </is>
      </c>
    </row>
    <row r="375">
      <c r="A375" t="inlineStr">
        <is>
          <t>900007800</t>
        </is>
      </c>
      <c r="B375" t="inlineStr">
        <is>
          <t>DW55</t>
        </is>
      </c>
      <c r="C375" t="inlineStr">
        <is>
          <t>D342</t>
        </is>
      </c>
      <c r="D375" t="inlineStr">
        <is>
          <t>10000178</t>
        </is>
      </c>
      <c r="E375" t="inlineStr"/>
      <c r="F375" s="11" t="n">
        <v>165.89</v>
      </c>
      <c r="G375" t="inlineStr"/>
      <c r="I375" t="inlineStr">
        <is>
          <t>TN</t>
        </is>
      </c>
      <c r="J375" t="inlineStr"/>
      <c r="K375" t="inlineStr">
        <is>
          <t>20220713</t>
        </is>
      </c>
      <c r="L375" t="inlineStr">
        <is>
          <t>20240726</t>
        </is>
      </c>
    </row>
    <row r="376">
      <c r="A376" t="inlineStr">
        <is>
          <t>900007800</t>
        </is>
      </c>
      <c r="B376" t="inlineStr">
        <is>
          <t>DW55</t>
        </is>
      </c>
      <c r="C376" t="inlineStr">
        <is>
          <t>D342</t>
        </is>
      </c>
      <c r="D376" t="inlineStr">
        <is>
          <t>10000541</t>
        </is>
      </c>
      <c r="E376" t="inlineStr"/>
      <c r="F376" s="11" t="n">
        <v>215.97</v>
      </c>
      <c r="G376" t="inlineStr"/>
      <c r="I376" t="inlineStr">
        <is>
          <t>TN</t>
        </is>
      </c>
      <c r="J376" t="inlineStr"/>
      <c r="K376" t="inlineStr">
        <is>
          <t>20250428</t>
        </is>
      </c>
      <c r="L376" t="inlineStr">
        <is>
          <t>20251031</t>
        </is>
      </c>
    </row>
    <row r="377">
      <c r="A377" t="inlineStr">
        <is>
          <t>900007800</t>
        </is>
      </c>
      <c r="B377" t="inlineStr">
        <is>
          <t>DW55</t>
        </is>
      </c>
      <c r="C377" t="inlineStr">
        <is>
          <t>D342</t>
        </is>
      </c>
      <c r="D377" t="inlineStr">
        <is>
          <t>10000826</t>
        </is>
      </c>
      <c r="E377" t="inlineStr"/>
      <c r="F377" s="11" t="n">
        <v>165.52</v>
      </c>
      <c r="G377" t="inlineStr"/>
      <c r="I377" t="inlineStr">
        <is>
          <t>TN</t>
        </is>
      </c>
      <c r="J377" t="inlineStr"/>
      <c r="K377" t="inlineStr">
        <is>
          <t>20220713</t>
        </is>
      </c>
      <c r="L377" t="inlineStr">
        <is>
          <t>20240726</t>
        </is>
      </c>
    </row>
    <row r="378">
      <c r="A378" t="inlineStr">
        <is>
          <t>900007800</t>
        </is>
      </c>
      <c r="B378" t="inlineStr">
        <is>
          <t>DW55</t>
        </is>
      </c>
      <c r="C378" t="inlineStr">
        <is>
          <t>D348</t>
        </is>
      </c>
      <c r="D378" t="inlineStr">
        <is>
          <t>10000541</t>
        </is>
      </c>
      <c r="E378" t="inlineStr"/>
      <c r="F378" s="11" t="n">
        <v>84.81999999999999</v>
      </c>
      <c r="G378" t="inlineStr"/>
      <c r="I378" t="inlineStr">
        <is>
          <t>TN</t>
        </is>
      </c>
      <c r="J378" t="inlineStr"/>
      <c r="K378" t="inlineStr">
        <is>
          <t>20240122</t>
        </is>
      </c>
      <c r="L378" t="inlineStr">
        <is>
          <t>20241015</t>
        </is>
      </c>
    </row>
    <row r="379">
      <c r="A379" t="inlineStr">
        <is>
          <t>900007800</t>
        </is>
      </c>
      <c r="B379" t="inlineStr">
        <is>
          <t>DW55</t>
        </is>
      </c>
      <c r="C379" t="inlineStr">
        <is>
          <t>ER67</t>
        </is>
      </c>
      <c r="D379" t="inlineStr">
        <is>
          <t>10000541</t>
        </is>
      </c>
      <c r="E379" t="inlineStr"/>
      <c r="F379" s="11" t="n">
        <v>84.81999999999999</v>
      </c>
      <c r="G379" t="inlineStr"/>
      <c r="I379" t="inlineStr">
        <is>
          <t>TN</t>
        </is>
      </c>
      <c r="J379" t="inlineStr"/>
      <c r="K379" t="inlineStr">
        <is>
          <t>20220504</t>
        </is>
      </c>
      <c r="L379" t="inlineStr">
        <is>
          <t>20230127</t>
        </is>
      </c>
    </row>
    <row r="380">
      <c r="A380" t="inlineStr">
        <is>
          <t>900007800</t>
        </is>
      </c>
      <c r="B380" t="inlineStr">
        <is>
          <t>DW55</t>
        </is>
      </c>
      <c r="C380" t="inlineStr">
        <is>
          <t>ER67</t>
        </is>
      </c>
      <c r="D380" t="inlineStr">
        <is>
          <t>10000826</t>
        </is>
      </c>
      <c r="E380" t="inlineStr"/>
      <c r="F380" s="11" t="n">
        <v>165.52</v>
      </c>
      <c r="G380" t="inlineStr"/>
      <c r="I380" t="inlineStr">
        <is>
          <t>TN</t>
        </is>
      </c>
      <c r="J380" t="inlineStr"/>
      <c r="K380" t="inlineStr">
        <is>
          <t>20220504</t>
        </is>
      </c>
      <c r="L380" t="inlineStr">
        <is>
          <t>20230127</t>
        </is>
      </c>
    </row>
    <row r="381">
      <c r="A381" t="inlineStr">
        <is>
          <t>900007800</t>
        </is>
      </c>
      <c r="B381" t="inlineStr">
        <is>
          <t>DW55</t>
        </is>
      </c>
      <c r="C381" t="inlineStr">
        <is>
          <t>ER68</t>
        </is>
      </c>
      <c r="D381" t="inlineStr">
        <is>
          <t>10000541</t>
        </is>
      </c>
      <c r="E381" t="inlineStr"/>
      <c r="F381" s="11" t="n">
        <v>84.81999999999999</v>
      </c>
      <c r="G381" t="inlineStr"/>
      <c r="I381" t="inlineStr">
        <is>
          <t>TN</t>
        </is>
      </c>
      <c r="J381" t="inlineStr"/>
      <c r="K381" t="inlineStr">
        <is>
          <t>20240122</t>
        </is>
      </c>
      <c r="L381" t="inlineStr">
        <is>
          <t>20241015</t>
        </is>
      </c>
    </row>
    <row r="382">
      <c r="A382" t="inlineStr">
        <is>
          <t>900007800</t>
        </is>
      </c>
      <c r="B382" t="inlineStr">
        <is>
          <t>DW55</t>
        </is>
      </c>
      <c r="C382" t="inlineStr">
        <is>
          <t>ER68</t>
        </is>
      </c>
      <c r="D382" t="inlineStr">
        <is>
          <t>10000826</t>
        </is>
      </c>
      <c r="E382" t="inlineStr"/>
      <c r="F382" s="11" t="n">
        <v>165.52</v>
      </c>
      <c r="G382" t="inlineStr"/>
      <c r="I382" t="inlineStr">
        <is>
          <t>TN</t>
        </is>
      </c>
      <c r="J382" t="inlineStr"/>
      <c r="K382" t="inlineStr">
        <is>
          <t>20220501</t>
        </is>
      </c>
      <c r="L382" t="inlineStr">
        <is>
          <t>20240726</t>
        </is>
      </c>
    </row>
    <row r="383">
      <c r="A383" t="inlineStr">
        <is>
          <t>900007803</t>
        </is>
      </c>
      <c r="B383" t="inlineStr">
        <is>
          <t>DW55</t>
        </is>
      </c>
      <c r="C383" t="inlineStr">
        <is>
          <t>D325</t>
        </is>
      </c>
      <c r="D383" t="inlineStr">
        <is>
          <t>10000372</t>
        </is>
      </c>
      <c r="E383" t="inlineStr"/>
      <c r="F383" s="11" t="n">
        <v>120.86</v>
      </c>
      <c r="G383" t="inlineStr"/>
      <c r="I383" t="inlineStr">
        <is>
          <t>TN</t>
        </is>
      </c>
      <c r="J383" t="inlineStr"/>
      <c r="K383" t="inlineStr">
        <is>
          <t>20231201</t>
        </is>
      </c>
      <c r="L383" t="inlineStr">
        <is>
          <t>20240726</t>
        </is>
      </c>
    </row>
    <row r="384">
      <c r="A384" t="inlineStr">
        <is>
          <t>900007803</t>
        </is>
      </c>
      <c r="B384" t="inlineStr">
        <is>
          <t>DW55</t>
        </is>
      </c>
      <c r="C384" t="inlineStr">
        <is>
          <t>D325</t>
        </is>
      </c>
      <c r="D384" t="inlineStr">
        <is>
          <t>10000673</t>
        </is>
      </c>
      <c r="E384" t="inlineStr"/>
      <c r="F384" s="11" t="n">
        <v>400</v>
      </c>
      <c r="G384" t="inlineStr"/>
      <c r="I384" t="inlineStr">
        <is>
          <t>TN</t>
        </is>
      </c>
      <c r="J384" t="inlineStr"/>
      <c r="K384" t="inlineStr">
        <is>
          <t>20231201</t>
        </is>
      </c>
      <c r="L384" t="inlineStr">
        <is>
          <t>20240726</t>
        </is>
      </c>
    </row>
    <row r="385">
      <c r="A385" t="inlineStr">
        <is>
          <t>900007803</t>
        </is>
      </c>
      <c r="B385" t="inlineStr">
        <is>
          <t>DW55</t>
        </is>
      </c>
      <c r="C385" t="inlineStr">
        <is>
          <t>D325</t>
        </is>
      </c>
      <c r="D385" t="inlineStr">
        <is>
          <t>10079650</t>
        </is>
      </c>
      <c r="E385" t="inlineStr"/>
      <c r="F385" s="11" t="n">
        <v>138.12</v>
      </c>
      <c r="G385" t="inlineStr"/>
      <c r="I385" t="inlineStr">
        <is>
          <t>TN</t>
        </is>
      </c>
      <c r="J385" t="inlineStr"/>
      <c r="K385" t="inlineStr">
        <is>
          <t>20231201</t>
        </is>
      </c>
      <c r="L385" t="inlineStr">
        <is>
          <t>20240726</t>
        </is>
      </c>
    </row>
    <row r="386">
      <c r="A386" t="inlineStr">
        <is>
          <t>900007803</t>
        </is>
      </c>
      <c r="B386" t="inlineStr">
        <is>
          <t>DW55</t>
        </is>
      </c>
      <c r="C386" t="inlineStr">
        <is>
          <t>D348</t>
        </is>
      </c>
      <c r="D386" t="inlineStr">
        <is>
          <t>10000372</t>
        </is>
      </c>
      <c r="E386" t="inlineStr"/>
      <c r="F386" s="11" t="n">
        <v>186.46</v>
      </c>
      <c r="G386" t="inlineStr"/>
      <c r="I386" t="inlineStr">
        <is>
          <t>TN</t>
        </is>
      </c>
      <c r="J386" t="inlineStr"/>
      <c r="K386" t="inlineStr">
        <is>
          <t>20230401</t>
        </is>
      </c>
      <c r="L386" t="inlineStr">
        <is>
          <t>20240726</t>
        </is>
      </c>
    </row>
    <row r="387">
      <c r="A387" t="inlineStr">
        <is>
          <t>900007803</t>
        </is>
      </c>
      <c r="B387" t="inlineStr">
        <is>
          <t>DW55</t>
        </is>
      </c>
      <c r="C387" t="inlineStr">
        <is>
          <t>D348</t>
        </is>
      </c>
      <c r="D387" t="inlineStr">
        <is>
          <t>10000673</t>
        </is>
      </c>
      <c r="E387" t="inlineStr"/>
      <c r="F387" s="11" t="n">
        <v>400</v>
      </c>
      <c r="G387" t="inlineStr"/>
      <c r="I387" t="inlineStr">
        <is>
          <t>TN</t>
        </is>
      </c>
      <c r="J387" t="inlineStr"/>
      <c r="K387" t="inlineStr">
        <is>
          <t>20230401</t>
        </is>
      </c>
      <c r="L387" t="inlineStr">
        <is>
          <t>20240726</t>
        </is>
      </c>
    </row>
    <row r="388">
      <c r="A388" t="inlineStr">
        <is>
          <t>900007931</t>
        </is>
      </c>
      <c r="B388" t="inlineStr">
        <is>
          <t>DW55</t>
        </is>
      </c>
      <c r="C388" t="inlineStr">
        <is>
          <t>D309</t>
        </is>
      </c>
      <c r="D388" t="inlineStr">
        <is>
          <t>10000372</t>
        </is>
      </c>
      <c r="E388" t="inlineStr"/>
      <c r="F388" s="11" t="n">
        <v>234.81</v>
      </c>
      <c r="G388" t="inlineStr"/>
      <c r="I388" t="inlineStr">
        <is>
          <t>TN</t>
        </is>
      </c>
      <c r="J388" t="inlineStr"/>
      <c r="K388" t="inlineStr">
        <is>
          <t>20260707</t>
        </is>
      </c>
      <c r="L388" t="inlineStr">
        <is>
          <t>99991231</t>
        </is>
      </c>
    </row>
    <row r="389">
      <c r="A389" t="inlineStr">
        <is>
          <t>900007931</t>
        </is>
      </c>
      <c r="B389" t="inlineStr">
        <is>
          <t>DW55</t>
        </is>
      </c>
      <c r="C389" t="inlineStr">
        <is>
          <t>D309</t>
        </is>
      </c>
      <c r="D389" t="inlineStr">
        <is>
          <t>10000623</t>
        </is>
      </c>
      <c r="E389" t="inlineStr"/>
      <c r="F389" s="11" t="n">
        <v>297.87</v>
      </c>
      <c r="G389" t="inlineStr"/>
      <c r="I389" t="inlineStr">
        <is>
          <t>TN</t>
        </is>
      </c>
      <c r="J389" t="inlineStr"/>
      <c r="K389" t="inlineStr">
        <is>
          <t>20260716</t>
        </is>
      </c>
      <c r="L389" t="inlineStr">
        <is>
          <t>99991231</t>
        </is>
      </c>
    </row>
    <row r="390">
      <c r="A390" t="inlineStr">
        <is>
          <t>900007932</t>
        </is>
      </c>
      <c r="B390" t="inlineStr">
        <is>
          <t>DW55</t>
        </is>
      </c>
      <c r="C390" t="inlineStr">
        <is>
          <t>D309</t>
        </is>
      </c>
      <c r="D390" t="inlineStr">
        <is>
          <t>10000372</t>
        </is>
      </c>
      <c r="E390" t="inlineStr"/>
      <c r="F390" s="11" t="n">
        <v>234.81</v>
      </c>
      <c r="G390" t="inlineStr"/>
      <c r="I390" t="inlineStr">
        <is>
          <t>TN</t>
        </is>
      </c>
      <c r="J390" t="inlineStr"/>
      <c r="K390" t="inlineStr">
        <is>
          <t>20260707</t>
        </is>
      </c>
      <c r="L390" t="inlineStr">
        <is>
          <t>99991231</t>
        </is>
      </c>
    </row>
    <row r="391">
      <c r="A391" t="inlineStr">
        <is>
          <t>900007932</t>
        </is>
      </c>
      <c r="B391" t="inlineStr">
        <is>
          <t>DW55</t>
        </is>
      </c>
      <c r="C391" t="inlineStr">
        <is>
          <t>D325</t>
        </is>
      </c>
      <c r="D391" t="inlineStr">
        <is>
          <t>10000372</t>
        </is>
      </c>
      <c r="E391" t="inlineStr"/>
      <c r="F391" s="11" t="n">
        <v>158.84</v>
      </c>
      <c r="G391" t="inlineStr"/>
      <c r="I391" t="inlineStr">
        <is>
          <t>TN</t>
        </is>
      </c>
      <c r="J391" t="inlineStr"/>
      <c r="K391" t="inlineStr">
        <is>
          <t>20220504</t>
        </is>
      </c>
      <c r="L391" t="inlineStr">
        <is>
          <t>99991231</t>
        </is>
      </c>
    </row>
    <row r="392">
      <c r="A392" t="inlineStr">
        <is>
          <t>900007932</t>
        </is>
      </c>
      <c r="B392" t="inlineStr">
        <is>
          <t>DW55</t>
        </is>
      </c>
      <c r="C392" t="inlineStr">
        <is>
          <t>D325</t>
        </is>
      </c>
      <c r="D392" t="inlineStr">
        <is>
          <t>10000623</t>
        </is>
      </c>
      <c r="E392" t="inlineStr"/>
      <c r="F392" s="11" t="n">
        <v>425.53</v>
      </c>
      <c r="G392" t="inlineStr"/>
      <c r="I392" t="inlineStr">
        <is>
          <t>TN</t>
        </is>
      </c>
      <c r="J392" t="inlineStr"/>
      <c r="K392" t="inlineStr">
        <is>
          <t>20260313</t>
        </is>
      </c>
      <c r="L392" t="inlineStr">
        <is>
          <t>99991231</t>
        </is>
      </c>
    </row>
    <row r="393">
      <c r="A393" t="inlineStr">
        <is>
          <t>900007932</t>
        </is>
      </c>
      <c r="B393" t="inlineStr">
        <is>
          <t>DW55</t>
        </is>
      </c>
      <c r="C393" t="inlineStr">
        <is>
          <t>D325</t>
        </is>
      </c>
      <c r="D393" t="inlineStr">
        <is>
          <t>10000834</t>
        </is>
      </c>
      <c r="E393" t="inlineStr"/>
      <c r="F393" s="11" t="n">
        <v>184.6</v>
      </c>
      <c r="G393" t="inlineStr"/>
      <c r="I393" t="inlineStr">
        <is>
          <t>TN</t>
        </is>
      </c>
      <c r="J393" t="inlineStr"/>
      <c r="K393" t="inlineStr">
        <is>
          <t>20250428</t>
        </is>
      </c>
      <c r="L393" t="inlineStr">
        <is>
          <t>20251031</t>
        </is>
      </c>
    </row>
    <row r="394">
      <c r="A394" t="inlineStr">
        <is>
          <t>900007932</t>
        </is>
      </c>
      <c r="B394" t="inlineStr">
        <is>
          <t>DW55</t>
        </is>
      </c>
      <c r="C394" t="inlineStr">
        <is>
          <t>D325</t>
        </is>
      </c>
      <c r="D394" t="inlineStr">
        <is>
          <t>10023592</t>
        </is>
      </c>
      <c r="E394" t="inlineStr"/>
      <c r="F394" s="11" t="n">
        <v>106.93</v>
      </c>
      <c r="G394" t="inlineStr"/>
      <c r="I394" t="inlineStr">
        <is>
          <t>TN</t>
        </is>
      </c>
      <c r="J394" t="inlineStr"/>
      <c r="K394" t="inlineStr">
        <is>
          <t>20240628</t>
        </is>
      </c>
      <c r="L394" t="inlineStr">
        <is>
          <t>99991231</t>
        </is>
      </c>
    </row>
    <row r="395">
      <c r="A395" t="inlineStr">
        <is>
          <t>900007932</t>
        </is>
      </c>
      <c r="B395" t="inlineStr">
        <is>
          <t>DW55</t>
        </is>
      </c>
      <c r="C395" t="inlineStr">
        <is>
          <t>D348</t>
        </is>
      </c>
      <c r="D395" t="inlineStr">
        <is>
          <t>10000372</t>
        </is>
      </c>
      <c r="E395" t="inlineStr"/>
      <c r="F395" s="11" t="n">
        <v>151.93</v>
      </c>
      <c r="G395" t="inlineStr"/>
      <c r="I395" t="inlineStr">
        <is>
          <t>TN</t>
        </is>
      </c>
      <c r="J395" t="inlineStr"/>
      <c r="K395" t="inlineStr">
        <is>
          <t>20250428</t>
        </is>
      </c>
      <c r="L395" t="inlineStr">
        <is>
          <t>20251031</t>
        </is>
      </c>
    </row>
    <row r="396">
      <c r="A396" t="inlineStr">
        <is>
          <t>900007932</t>
        </is>
      </c>
      <c r="B396" t="inlineStr">
        <is>
          <t>DW55</t>
        </is>
      </c>
      <c r="C396" t="inlineStr">
        <is>
          <t>D348</t>
        </is>
      </c>
      <c r="D396" t="inlineStr">
        <is>
          <t>10000834</t>
        </is>
      </c>
      <c r="E396" t="inlineStr"/>
      <c r="F396" s="11" t="n">
        <v>78.55</v>
      </c>
      <c r="G396" t="inlineStr"/>
      <c r="I396" t="inlineStr">
        <is>
          <t>TN</t>
        </is>
      </c>
      <c r="J396" t="inlineStr"/>
      <c r="K396" t="inlineStr">
        <is>
          <t>20250428</t>
        </is>
      </c>
      <c r="L396" t="inlineStr">
        <is>
          <t>20251031</t>
        </is>
      </c>
    </row>
    <row r="397">
      <c r="A397" t="inlineStr">
        <is>
          <t>900007933</t>
        </is>
      </c>
      <c r="B397" t="inlineStr">
        <is>
          <t>DW55</t>
        </is>
      </c>
      <c r="C397" t="inlineStr">
        <is>
          <t>D348</t>
        </is>
      </c>
      <c r="D397" t="inlineStr">
        <is>
          <t>10000372</t>
        </is>
      </c>
      <c r="E397" t="inlineStr"/>
      <c r="F397" s="11" t="n">
        <v>151.93</v>
      </c>
      <c r="G397" t="inlineStr"/>
      <c r="I397" t="inlineStr">
        <is>
          <t>TN</t>
        </is>
      </c>
      <c r="J397" t="inlineStr"/>
      <c r="K397" t="inlineStr">
        <is>
          <t>20240628</t>
        </is>
      </c>
      <c r="L397" t="inlineStr">
        <is>
          <t>20240726</t>
        </is>
      </c>
    </row>
    <row r="398">
      <c r="A398" t="inlineStr">
        <is>
          <t>900007952</t>
        </is>
      </c>
      <c r="B398" t="inlineStr">
        <is>
          <t>DW55</t>
        </is>
      </c>
      <c r="C398" t="inlineStr">
        <is>
          <t>D284</t>
        </is>
      </c>
      <c r="D398" t="inlineStr">
        <is>
          <t>10217663</t>
        </is>
      </c>
      <c r="E398" t="inlineStr"/>
      <c r="F398" s="11" t="n">
        <v>51.17</v>
      </c>
      <c r="G398" t="inlineStr"/>
      <c r="I398" t="inlineStr">
        <is>
          <t>TN</t>
        </is>
      </c>
      <c r="J398" t="inlineStr"/>
      <c r="K398" t="inlineStr">
        <is>
          <t>20240313</t>
        </is>
      </c>
      <c r="L398" t="inlineStr">
        <is>
          <t>99991231</t>
        </is>
      </c>
    </row>
    <row r="399">
      <c r="A399" t="inlineStr">
        <is>
          <t>900007952</t>
        </is>
      </c>
      <c r="B399" t="inlineStr">
        <is>
          <t>DW55</t>
        </is>
      </c>
      <c r="C399" t="inlineStr">
        <is>
          <t>D309</t>
        </is>
      </c>
      <c r="D399" t="inlineStr">
        <is>
          <t>10217663</t>
        </is>
      </c>
      <c r="E399" t="inlineStr"/>
      <c r="F399" s="11" t="n">
        <v>51.17</v>
      </c>
      <c r="G399" t="inlineStr"/>
      <c r="I399" t="inlineStr">
        <is>
          <t>TN</t>
        </is>
      </c>
      <c r="J399" t="inlineStr"/>
      <c r="K399" t="inlineStr">
        <is>
          <t>20240313</t>
        </is>
      </c>
      <c r="L399" t="inlineStr">
        <is>
          <t>99991231</t>
        </is>
      </c>
    </row>
    <row r="400">
      <c r="A400" t="inlineStr">
        <is>
          <t>900007952</t>
        </is>
      </c>
      <c r="B400" t="inlineStr">
        <is>
          <t>DW55</t>
        </is>
      </c>
      <c r="C400" t="inlineStr">
        <is>
          <t>D325</t>
        </is>
      </c>
      <c r="D400" t="inlineStr">
        <is>
          <t>10217663</t>
        </is>
      </c>
      <c r="E400" t="inlineStr"/>
      <c r="F400" s="11" t="n">
        <v>51.17</v>
      </c>
      <c r="G400" t="inlineStr"/>
      <c r="I400" t="inlineStr">
        <is>
          <t>TN</t>
        </is>
      </c>
      <c r="J400" t="inlineStr"/>
      <c r="K400" t="inlineStr">
        <is>
          <t>20240313</t>
        </is>
      </c>
      <c r="L400" t="inlineStr">
        <is>
          <t>99991231</t>
        </is>
      </c>
    </row>
    <row r="401">
      <c r="A401" t="inlineStr">
        <is>
          <t>900007952</t>
        </is>
      </c>
      <c r="B401" t="inlineStr">
        <is>
          <t>DW55</t>
        </is>
      </c>
      <c r="C401" t="inlineStr">
        <is>
          <t>D342</t>
        </is>
      </c>
      <c r="D401" t="inlineStr">
        <is>
          <t>10217663</t>
        </is>
      </c>
      <c r="E401" t="inlineStr"/>
      <c r="F401" s="11" t="n">
        <v>51.17</v>
      </c>
      <c r="G401" t="inlineStr"/>
      <c r="I401" t="inlineStr">
        <is>
          <t>TN</t>
        </is>
      </c>
      <c r="J401" t="inlineStr"/>
      <c r="K401" t="inlineStr">
        <is>
          <t>20240313</t>
        </is>
      </c>
      <c r="L401" t="inlineStr">
        <is>
          <t>99991231</t>
        </is>
      </c>
    </row>
    <row r="402">
      <c r="A402" t="inlineStr">
        <is>
          <t>900007952</t>
        </is>
      </c>
      <c r="B402" t="inlineStr">
        <is>
          <t>DW55</t>
        </is>
      </c>
      <c r="C402" t="inlineStr">
        <is>
          <t>D348</t>
        </is>
      </c>
      <c r="D402" t="inlineStr">
        <is>
          <t>10217663</t>
        </is>
      </c>
      <c r="E402" t="inlineStr"/>
      <c r="F402" s="11" t="n">
        <v>51.17</v>
      </c>
      <c r="G402" t="inlineStr"/>
      <c r="I402" t="inlineStr">
        <is>
          <t>TN</t>
        </is>
      </c>
      <c r="J402" t="inlineStr"/>
      <c r="K402" t="inlineStr">
        <is>
          <t>20240313</t>
        </is>
      </c>
      <c r="L402" t="inlineStr">
        <is>
          <t>99991231</t>
        </is>
      </c>
    </row>
    <row r="403">
      <c r="A403" t="inlineStr">
        <is>
          <t>900007953</t>
        </is>
      </c>
      <c r="B403" t="inlineStr">
        <is>
          <t>DW55</t>
        </is>
      </c>
      <c r="C403" t="inlineStr">
        <is>
          <t>D284</t>
        </is>
      </c>
      <c r="D403" t="inlineStr">
        <is>
          <t>10000372</t>
        </is>
      </c>
      <c r="E403" t="inlineStr"/>
      <c r="F403" s="11" t="n">
        <v>158.84</v>
      </c>
      <c r="G403" t="inlineStr"/>
      <c r="I403" t="inlineStr">
        <is>
          <t>TN</t>
        </is>
      </c>
      <c r="J403" t="inlineStr"/>
      <c r="K403" t="inlineStr">
        <is>
          <t>20240617</t>
        </is>
      </c>
      <c r="L403" t="inlineStr">
        <is>
          <t>99991231</t>
        </is>
      </c>
    </row>
    <row r="404">
      <c r="A404" t="inlineStr">
        <is>
          <t>900007953</t>
        </is>
      </c>
      <c r="B404" t="inlineStr">
        <is>
          <t>DW55</t>
        </is>
      </c>
      <c r="C404" t="inlineStr">
        <is>
          <t>D284</t>
        </is>
      </c>
      <c r="D404" t="inlineStr">
        <is>
          <t>10217663</t>
        </is>
      </c>
      <c r="E404" t="inlineStr"/>
      <c r="F404" s="11" t="n">
        <v>44.64</v>
      </c>
      <c r="G404" t="inlineStr"/>
      <c r="I404" t="inlineStr">
        <is>
          <t>TN</t>
        </is>
      </c>
      <c r="J404" t="inlineStr"/>
      <c r="K404" t="inlineStr">
        <is>
          <t>20220516</t>
        </is>
      </c>
      <c r="L404" t="inlineStr">
        <is>
          <t>20240320</t>
        </is>
      </c>
    </row>
    <row r="405">
      <c r="A405" t="inlineStr">
        <is>
          <t>900007953</t>
        </is>
      </c>
      <c r="B405" t="inlineStr">
        <is>
          <t>DW55</t>
        </is>
      </c>
      <c r="C405" t="inlineStr">
        <is>
          <t>D309</t>
        </is>
      </c>
      <c r="D405" t="inlineStr">
        <is>
          <t>10000372</t>
        </is>
      </c>
      <c r="E405" t="inlineStr"/>
      <c r="F405" s="11" t="n">
        <v>158.84</v>
      </c>
      <c r="G405" t="inlineStr"/>
      <c r="I405" t="inlineStr">
        <is>
          <t>TN</t>
        </is>
      </c>
      <c r="J405" t="inlineStr"/>
      <c r="K405" t="inlineStr">
        <is>
          <t>20240628</t>
        </is>
      </c>
      <c r="L405" t="inlineStr">
        <is>
          <t>99991231</t>
        </is>
      </c>
    </row>
    <row r="406">
      <c r="A406" t="inlineStr">
        <is>
          <t>900007953</t>
        </is>
      </c>
      <c r="B406" t="inlineStr">
        <is>
          <t>DW55</t>
        </is>
      </c>
      <c r="C406" t="inlineStr">
        <is>
          <t>D309</t>
        </is>
      </c>
      <c r="D406" t="inlineStr">
        <is>
          <t>10217663</t>
        </is>
      </c>
      <c r="E406" t="inlineStr"/>
      <c r="F406" s="11" t="n">
        <v>44.64</v>
      </c>
      <c r="G406" t="inlineStr"/>
      <c r="I406" t="inlineStr">
        <is>
          <t>TN</t>
        </is>
      </c>
      <c r="J406" t="inlineStr"/>
      <c r="K406" t="inlineStr">
        <is>
          <t>20220516</t>
        </is>
      </c>
      <c r="L406" t="inlineStr">
        <is>
          <t>20240320</t>
        </is>
      </c>
    </row>
    <row r="407">
      <c r="A407" t="inlineStr">
        <is>
          <t>900007953</t>
        </is>
      </c>
      <c r="B407" t="inlineStr">
        <is>
          <t>DW55</t>
        </is>
      </c>
      <c r="C407" t="inlineStr">
        <is>
          <t>D325</t>
        </is>
      </c>
      <c r="D407" t="inlineStr">
        <is>
          <t>10217663</t>
        </is>
      </c>
      <c r="E407" t="inlineStr"/>
      <c r="F407" s="11" t="n">
        <v>44.64</v>
      </c>
      <c r="G407" t="inlineStr"/>
      <c r="I407" t="inlineStr">
        <is>
          <t>TN</t>
        </is>
      </c>
      <c r="J407" t="inlineStr"/>
      <c r="K407" t="inlineStr">
        <is>
          <t>20220516</t>
        </is>
      </c>
      <c r="L407" t="inlineStr">
        <is>
          <t>20240320</t>
        </is>
      </c>
    </row>
    <row r="408">
      <c r="A408" t="inlineStr">
        <is>
          <t>900007953</t>
        </is>
      </c>
      <c r="B408" t="inlineStr">
        <is>
          <t>DW55</t>
        </is>
      </c>
      <c r="C408" t="inlineStr">
        <is>
          <t>D342</t>
        </is>
      </c>
      <c r="D408" t="inlineStr">
        <is>
          <t>10217663</t>
        </is>
      </c>
      <c r="E408" t="inlineStr"/>
      <c r="F408" s="11" t="n">
        <v>44.64</v>
      </c>
      <c r="G408" t="inlineStr"/>
      <c r="I408" t="inlineStr">
        <is>
          <t>TN</t>
        </is>
      </c>
      <c r="J408" t="inlineStr"/>
      <c r="K408" t="inlineStr">
        <is>
          <t>20220516</t>
        </is>
      </c>
      <c r="L408" t="inlineStr">
        <is>
          <t>20240320</t>
        </is>
      </c>
    </row>
    <row r="409">
      <c r="A409" t="inlineStr">
        <is>
          <t>900007953</t>
        </is>
      </c>
      <c r="B409" t="inlineStr">
        <is>
          <t>DW55</t>
        </is>
      </c>
      <c r="C409" t="inlineStr">
        <is>
          <t>D348</t>
        </is>
      </c>
      <c r="D409" t="inlineStr">
        <is>
          <t>10217663</t>
        </is>
      </c>
      <c r="E409" t="inlineStr"/>
      <c r="F409" s="11" t="n">
        <v>44.64</v>
      </c>
      <c r="G409" t="inlineStr"/>
      <c r="I409" t="inlineStr">
        <is>
          <t>TN</t>
        </is>
      </c>
      <c r="J409" t="inlineStr"/>
      <c r="K409" t="inlineStr">
        <is>
          <t>20220516</t>
        </is>
      </c>
      <c r="L409" t="inlineStr">
        <is>
          <t>20240320</t>
        </is>
      </c>
    </row>
    <row r="410">
      <c r="A410" t="inlineStr">
        <is>
          <t>900008077</t>
        </is>
      </c>
      <c r="B410" t="inlineStr">
        <is>
          <t>DW55</t>
        </is>
      </c>
      <c r="C410" t="inlineStr">
        <is>
          <t>D348</t>
        </is>
      </c>
      <c r="D410" t="inlineStr">
        <is>
          <t>10000372</t>
        </is>
      </c>
      <c r="E410" t="inlineStr"/>
      <c r="F410" s="11" t="n">
        <v>214.09</v>
      </c>
      <c r="G410" t="inlineStr"/>
      <c r="I410" t="inlineStr">
        <is>
          <t>TN</t>
        </is>
      </c>
      <c r="J410" t="inlineStr"/>
      <c r="K410" t="inlineStr">
        <is>
          <t>20240122</t>
        </is>
      </c>
      <c r="L410" t="inlineStr">
        <is>
          <t>20241015</t>
        </is>
      </c>
    </row>
    <row r="411">
      <c r="A411" t="inlineStr">
        <is>
          <t>900008241</t>
        </is>
      </c>
      <c r="B411" t="inlineStr">
        <is>
          <t>DW55</t>
        </is>
      </c>
      <c r="C411" t="inlineStr">
        <is>
          <t>D284</t>
        </is>
      </c>
      <c r="D411" t="inlineStr">
        <is>
          <t>10217663</t>
        </is>
      </c>
      <c r="E411" t="inlineStr"/>
      <c r="F411" s="11" t="n">
        <v>41.21</v>
      </c>
      <c r="G411" t="inlineStr"/>
      <c r="I411" t="inlineStr">
        <is>
          <t>TN</t>
        </is>
      </c>
      <c r="J411" t="inlineStr"/>
      <c r="K411" t="inlineStr">
        <is>
          <t>20220713</t>
        </is>
      </c>
      <c r="L411" t="inlineStr">
        <is>
          <t>20240726</t>
        </is>
      </c>
    </row>
    <row r="412">
      <c r="A412" t="inlineStr">
        <is>
          <t>900008330</t>
        </is>
      </c>
      <c r="B412" t="inlineStr">
        <is>
          <t>DW55</t>
        </is>
      </c>
      <c r="C412" t="inlineStr">
        <is>
          <t>D284</t>
        </is>
      </c>
      <c r="D412" t="inlineStr">
        <is>
          <t>10000372</t>
        </is>
      </c>
      <c r="E412" t="inlineStr"/>
      <c r="F412" s="11" t="n">
        <v>241.71</v>
      </c>
      <c r="G412" t="inlineStr"/>
      <c r="I412" t="inlineStr">
        <is>
          <t>TN</t>
        </is>
      </c>
      <c r="J412" t="inlineStr"/>
      <c r="K412" t="inlineStr">
        <is>
          <t>20230818</t>
        </is>
      </c>
      <c r="L412" t="inlineStr">
        <is>
          <t>20240318</t>
        </is>
      </c>
    </row>
    <row r="413">
      <c r="A413" t="inlineStr">
        <is>
          <t>900008330</t>
        </is>
      </c>
      <c r="B413" t="inlineStr">
        <is>
          <t>DW55</t>
        </is>
      </c>
      <c r="C413" t="inlineStr">
        <is>
          <t>D284</t>
        </is>
      </c>
      <c r="D413" t="inlineStr">
        <is>
          <t>10255395</t>
        </is>
      </c>
      <c r="E413" t="inlineStr"/>
      <c r="F413" s="11" t="n">
        <v>241.71</v>
      </c>
      <c r="G413" t="inlineStr"/>
      <c r="I413" t="inlineStr">
        <is>
          <t>TN</t>
        </is>
      </c>
      <c r="J413" t="inlineStr"/>
      <c r="K413" t="inlineStr">
        <is>
          <t>20250428</t>
        </is>
      </c>
      <c r="L413" t="inlineStr">
        <is>
          <t>20251031</t>
        </is>
      </c>
    </row>
    <row r="414">
      <c r="A414" t="inlineStr">
        <is>
          <t>900008330</t>
        </is>
      </c>
      <c r="B414" t="inlineStr">
        <is>
          <t>DW55</t>
        </is>
      </c>
      <c r="C414" t="inlineStr">
        <is>
          <t>D309</t>
        </is>
      </c>
      <c r="D414" t="inlineStr">
        <is>
          <t>10000372</t>
        </is>
      </c>
      <c r="E414" t="inlineStr"/>
      <c r="F414" s="11" t="n">
        <v>241.71</v>
      </c>
      <c r="G414" t="inlineStr"/>
      <c r="I414" t="inlineStr">
        <is>
          <t>TN</t>
        </is>
      </c>
      <c r="J414" t="inlineStr"/>
      <c r="K414" t="inlineStr">
        <is>
          <t>20230818</t>
        </is>
      </c>
      <c r="L414" t="inlineStr">
        <is>
          <t>20240318</t>
        </is>
      </c>
    </row>
    <row r="415">
      <c r="A415" t="inlineStr">
        <is>
          <t>900008330</t>
        </is>
      </c>
      <c r="B415" t="inlineStr">
        <is>
          <t>DW55</t>
        </is>
      </c>
      <c r="C415" t="inlineStr">
        <is>
          <t>D309</t>
        </is>
      </c>
      <c r="D415" t="inlineStr">
        <is>
          <t>10255395</t>
        </is>
      </c>
      <c r="E415" t="inlineStr"/>
      <c r="F415" s="11" t="n">
        <v>241.71</v>
      </c>
      <c r="G415" t="inlineStr"/>
      <c r="I415" t="inlineStr">
        <is>
          <t>TN</t>
        </is>
      </c>
      <c r="J415" t="inlineStr"/>
      <c r="K415" t="inlineStr">
        <is>
          <t>20240318</t>
        </is>
      </c>
      <c r="L415" t="inlineStr">
        <is>
          <t>99991231</t>
        </is>
      </c>
    </row>
    <row r="416">
      <c r="A416" t="inlineStr">
        <is>
          <t>900008330</t>
        </is>
      </c>
      <c r="B416" t="inlineStr">
        <is>
          <t>DW55</t>
        </is>
      </c>
      <c r="C416" t="inlineStr">
        <is>
          <t>D325</t>
        </is>
      </c>
      <c r="D416" t="inlineStr">
        <is>
          <t>10000372</t>
        </is>
      </c>
      <c r="E416" t="inlineStr"/>
      <c r="F416" s="11" t="n">
        <v>241.71</v>
      </c>
      <c r="G416" t="inlineStr"/>
      <c r="I416" t="inlineStr">
        <is>
          <t>TN</t>
        </is>
      </c>
      <c r="J416" t="inlineStr"/>
      <c r="K416" t="inlineStr">
        <is>
          <t>20230818</t>
        </is>
      </c>
      <c r="L416" t="inlineStr">
        <is>
          <t>20240318</t>
        </is>
      </c>
    </row>
    <row r="417">
      <c r="A417" t="inlineStr">
        <is>
          <t>900008330</t>
        </is>
      </c>
      <c r="B417" t="inlineStr">
        <is>
          <t>DW55</t>
        </is>
      </c>
      <c r="C417" t="inlineStr">
        <is>
          <t>D325</t>
        </is>
      </c>
      <c r="D417" t="inlineStr">
        <is>
          <t>10255395</t>
        </is>
      </c>
      <c r="E417" t="inlineStr"/>
      <c r="F417" s="11" t="n">
        <v>241.71</v>
      </c>
      <c r="G417" t="inlineStr"/>
      <c r="I417" t="inlineStr">
        <is>
          <t>TN</t>
        </is>
      </c>
      <c r="J417" t="inlineStr"/>
      <c r="K417" t="inlineStr">
        <is>
          <t>20250428</t>
        </is>
      </c>
      <c r="L417" t="inlineStr">
        <is>
          <t>20251031</t>
        </is>
      </c>
    </row>
    <row r="418">
      <c r="A418" t="inlineStr">
        <is>
          <t>900008330</t>
        </is>
      </c>
      <c r="B418" t="inlineStr">
        <is>
          <t>DW55</t>
        </is>
      </c>
      <c r="C418" t="inlineStr">
        <is>
          <t>D342</t>
        </is>
      </c>
      <c r="D418" t="inlineStr">
        <is>
          <t>10000372</t>
        </is>
      </c>
      <c r="E418" t="inlineStr"/>
      <c r="F418" s="11" t="n">
        <v>241.71</v>
      </c>
      <c r="G418" t="inlineStr"/>
      <c r="I418" t="inlineStr">
        <is>
          <t>TN</t>
        </is>
      </c>
      <c r="J418" t="inlineStr"/>
      <c r="K418" t="inlineStr">
        <is>
          <t>20230818</t>
        </is>
      </c>
      <c r="L418" t="inlineStr">
        <is>
          <t>20240318</t>
        </is>
      </c>
    </row>
    <row r="419">
      <c r="A419" t="inlineStr">
        <is>
          <t>900008330</t>
        </is>
      </c>
      <c r="B419" t="inlineStr">
        <is>
          <t>DW55</t>
        </is>
      </c>
      <c r="C419" t="inlineStr">
        <is>
          <t>D342</t>
        </is>
      </c>
      <c r="D419" t="inlineStr">
        <is>
          <t>10255395</t>
        </is>
      </c>
      <c r="E419" t="inlineStr"/>
      <c r="F419" s="11" t="n">
        <v>241.71</v>
      </c>
      <c r="G419" t="inlineStr"/>
      <c r="I419" t="inlineStr">
        <is>
          <t>TN</t>
        </is>
      </c>
      <c r="J419" t="inlineStr"/>
      <c r="K419" t="inlineStr">
        <is>
          <t>20250428</t>
        </is>
      </c>
      <c r="L419" t="inlineStr">
        <is>
          <t>20251031</t>
        </is>
      </c>
    </row>
    <row r="420">
      <c r="A420" t="inlineStr">
        <is>
          <t>900008330</t>
        </is>
      </c>
      <c r="B420" t="inlineStr">
        <is>
          <t>DW55</t>
        </is>
      </c>
      <c r="C420" t="inlineStr">
        <is>
          <t>D348</t>
        </is>
      </c>
      <c r="D420" t="inlineStr">
        <is>
          <t>10000372</t>
        </is>
      </c>
      <c r="E420" t="inlineStr"/>
      <c r="F420" s="11" t="n">
        <v>241.71</v>
      </c>
      <c r="G420" t="inlineStr"/>
      <c r="I420" t="inlineStr">
        <is>
          <t>TN</t>
        </is>
      </c>
      <c r="J420" t="inlineStr"/>
      <c r="K420" t="inlineStr">
        <is>
          <t>20230818</t>
        </is>
      </c>
      <c r="L420" t="inlineStr">
        <is>
          <t>20240318</t>
        </is>
      </c>
    </row>
    <row r="421">
      <c r="A421" t="inlineStr">
        <is>
          <t>900008330</t>
        </is>
      </c>
      <c r="B421" t="inlineStr">
        <is>
          <t>DW55</t>
        </is>
      </c>
      <c r="C421" t="inlineStr">
        <is>
          <t>D348</t>
        </is>
      </c>
      <c r="D421" t="inlineStr">
        <is>
          <t>10255395</t>
        </is>
      </c>
      <c r="E421" t="inlineStr"/>
      <c r="F421" s="11" t="n">
        <v>241.71</v>
      </c>
      <c r="G421" t="inlineStr"/>
      <c r="I421" t="inlineStr">
        <is>
          <t>TN</t>
        </is>
      </c>
      <c r="J421" t="inlineStr"/>
      <c r="K421" t="inlineStr">
        <is>
          <t>20250428</t>
        </is>
      </c>
      <c r="L421" t="inlineStr">
        <is>
          <t>20251031</t>
        </is>
      </c>
    </row>
    <row r="422">
      <c r="A422" t="inlineStr">
        <is>
          <t>900008331</t>
        </is>
      </c>
      <c r="B422" t="inlineStr">
        <is>
          <t>DW55</t>
        </is>
      </c>
      <c r="C422" t="inlineStr">
        <is>
          <t>D302</t>
        </is>
      </c>
      <c r="D422" t="inlineStr">
        <is>
          <t>10000541</t>
        </is>
      </c>
      <c r="E422" t="inlineStr"/>
      <c r="F422" s="11" t="n">
        <v>229.06</v>
      </c>
      <c r="G422" t="inlineStr"/>
      <c r="I422" t="inlineStr">
        <is>
          <t>TN</t>
        </is>
      </c>
      <c r="J422" t="inlineStr"/>
      <c r="K422" t="inlineStr">
        <is>
          <t>20240318</t>
        </is>
      </c>
      <c r="L422" t="inlineStr">
        <is>
          <t>20240409</t>
        </is>
      </c>
    </row>
    <row r="423">
      <c r="A423" t="inlineStr">
        <is>
          <t>900008935</t>
        </is>
      </c>
      <c r="B423" t="inlineStr">
        <is>
          <t>DW55</t>
        </is>
      </c>
      <c r="C423" t="inlineStr">
        <is>
          <t>D284</t>
        </is>
      </c>
      <c r="D423" t="inlineStr">
        <is>
          <t>10217663</t>
        </is>
      </c>
      <c r="E423" t="inlineStr"/>
      <c r="F423" s="11" t="n">
        <v>46.7</v>
      </c>
      <c r="G423" t="inlineStr"/>
      <c r="I423" t="inlineStr">
        <is>
          <t>TN</t>
        </is>
      </c>
      <c r="J423" t="inlineStr"/>
      <c r="K423" t="inlineStr">
        <is>
          <t>20240821</t>
        </is>
      </c>
      <c r="L423" t="inlineStr">
        <is>
          <t>99991231</t>
        </is>
      </c>
    </row>
    <row r="424">
      <c r="A424" t="inlineStr">
        <is>
          <t>900008935</t>
        </is>
      </c>
      <c r="B424" t="inlineStr">
        <is>
          <t>DW55</t>
        </is>
      </c>
      <c r="C424" t="inlineStr">
        <is>
          <t>D309</t>
        </is>
      </c>
      <c r="D424" t="inlineStr">
        <is>
          <t>10217663</t>
        </is>
      </c>
      <c r="E424" t="inlineStr"/>
      <c r="F424" s="11" t="n">
        <v>46.7</v>
      </c>
      <c r="G424" t="inlineStr"/>
      <c r="I424" t="inlineStr">
        <is>
          <t>TN</t>
        </is>
      </c>
      <c r="J424" t="inlineStr"/>
      <c r="K424" t="inlineStr">
        <is>
          <t>20240821</t>
        </is>
      </c>
      <c r="L424" t="inlineStr">
        <is>
          <t>99991231</t>
        </is>
      </c>
    </row>
    <row r="425">
      <c r="A425" t="inlineStr">
        <is>
          <t>900008935</t>
        </is>
      </c>
      <c r="B425" t="inlineStr">
        <is>
          <t>DW55</t>
        </is>
      </c>
      <c r="C425" t="inlineStr">
        <is>
          <t>D325</t>
        </is>
      </c>
      <c r="D425" t="inlineStr">
        <is>
          <t>10217663</t>
        </is>
      </c>
      <c r="E425" t="inlineStr"/>
      <c r="F425" s="11" t="n">
        <v>46.7</v>
      </c>
      <c r="G425" t="inlineStr"/>
      <c r="I425" t="inlineStr">
        <is>
          <t>TN</t>
        </is>
      </c>
      <c r="J425" t="inlineStr"/>
      <c r="K425" t="inlineStr">
        <is>
          <t>20240821</t>
        </is>
      </c>
      <c r="L425" t="inlineStr">
        <is>
          <t>99991231</t>
        </is>
      </c>
    </row>
    <row r="426">
      <c r="A426" t="inlineStr">
        <is>
          <t>900008935</t>
        </is>
      </c>
      <c r="B426" t="inlineStr">
        <is>
          <t>DW55</t>
        </is>
      </c>
      <c r="C426" t="inlineStr">
        <is>
          <t>D342</t>
        </is>
      </c>
      <c r="D426" t="inlineStr">
        <is>
          <t>10217663</t>
        </is>
      </c>
      <c r="E426" t="inlineStr"/>
      <c r="F426" s="11" t="n">
        <v>46.7</v>
      </c>
      <c r="G426" t="inlineStr"/>
      <c r="I426" t="inlineStr">
        <is>
          <t>TN</t>
        </is>
      </c>
      <c r="J426" t="inlineStr"/>
      <c r="K426" t="inlineStr">
        <is>
          <t>20240821</t>
        </is>
      </c>
      <c r="L426" t="inlineStr">
        <is>
          <t>99991231</t>
        </is>
      </c>
    </row>
    <row r="427">
      <c r="A427" t="inlineStr">
        <is>
          <t>900008935</t>
        </is>
      </c>
      <c r="B427" t="inlineStr">
        <is>
          <t>DW55</t>
        </is>
      </c>
      <c r="C427" t="inlineStr">
        <is>
          <t>D348</t>
        </is>
      </c>
      <c r="D427" t="inlineStr">
        <is>
          <t>10217663</t>
        </is>
      </c>
      <c r="E427" t="inlineStr"/>
      <c r="F427" s="11" t="n">
        <v>46.7</v>
      </c>
      <c r="G427" t="inlineStr"/>
      <c r="I427" t="inlineStr">
        <is>
          <t>TN</t>
        </is>
      </c>
      <c r="J427" t="inlineStr"/>
      <c r="K427" t="inlineStr">
        <is>
          <t>20240821</t>
        </is>
      </c>
      <c r="L427" t="inlineStr">
        <is>
          <t>99991231</t>
        </is>
      </c>
    </row>
    <row r="428">
      <c r="A428" t="inlineStr">
        <is>
          <t>900008972</t>
        </is>
      </c>
      <c r="B428" t="inlineStr">
        <is>
          <t>DW55</t>
        </is>
      </c>
      <c r="C428" t="inlineStr">
        <is>
          <t>D284</t>
        </is>
      </c>
      <c r="D428" t="inlineStr">
        <is>
          <t>10000541</t>
        </is>
      </c>
      <c r="E428" t="inlineStr"/>
      <c r="F428" s="11" t="n">
        <v>189.79</v>
      </c>
      <c r="G428" t="inlineStr"/>
      <c r="I428" t="inlineStr">
        <is>
          <t>TN</t>
        </is>
      </c>
      <c r="J428" t="inlineStr"/>
      <c r="K428" t="inlineStr">
        <is>
          <t>20241030</t>
        </is>
      </c>
      <c r="L428" t="inlineStr">
        <is>
          <t>99991231</t>
        </is>
      </c>
    </row>
    <row r="429">
      <c r="A429" t="inlineStr">
        <is>
          <t>900008972</t>
        </is>
      </c>
      <c r="B429" t="inlineStr">
        <is>
          <t>DW55</t>
        </is>
      </c>
      <c r="C429" t="inlineStr">
        <is>
          <t>D309</t>
        </is>
      </c>
      <c r="D429" t="inlineStr">
        <is>
          <t>10000541</t>
        </is>
      </c>
      <c r="E429" t="inlineStr"/>
      <c r="F429" s="11" t="n">
        <v>189.79</v>
      </c>
      <c r="G429" t="inlineStr"/>
      <c r="I429" t="inlineStr">
        <is>
          <t>TN</t>
        </is>
      </c>
      <c r="J429" t="inlineStr"/>
      <c r="K429" t="inlineStr">
        <is>
          <t>20241030</t>
        </is>
      </c>
      <c r="L429" t="inlineStr">
        <is>
          <t>99991231</t>
        </is>
      </c>
    </row>
    <row r="430">
      <c r="A430" t="inlineStr">
        <is>
          <t>900008972</t>
        </is>
      </c>
      <c r="B430" t="inlineStr">
        <is>
          <t>DW55</t>
        </is>
      </c>
      <c r="C430" t="inlineStr">
        <is>
          <t>D325</t>
        </is>
      </c>
      <c r="D430" t="inlineStr">
        <is>
          <t>10000541</t>
        </is>
      </c>
      <c r="E430" t="inlineStr"/>
      <c r="F430" s="11" t="n">
        <v>189.79</v>
      </c>
      <c r="G430" t="inlineStr"/>
      <c r="I430" t="inlineStr">
        <is>
          <t>TN</t>
        </is>
      </c>
      <c r="J430" t="inlineStr"/>
      <c r="K430" t="inlineStr">
        <is>
          <t>20241030</t>
        </is>
      </c>
      <c r="L430" t="inlineStr">
        <is>
          <t>99991231</t>
        </is>
      </c>
    </row>
    <row r="431">
      <c r="A431" t="inlineStr">
        <is>
          <t>900009308</t>
        </is>
      </c>
      <c r="B431" t="inlineStr">
        <is>
          <t>DW55</t>
        </is>
      </c>
      <c r="C431" t="inlineStr">
        <is>
          <t>D284</t>
        </is>
      </c>
      <c r="D431" t="inlineStr">
        <is>
          <t>10000372</t>
        </is>
      </c>
      <c r="E431" t="inlineStr"/>
      <c r="F431" s="11" t="n">
        <v>212.71</v>
      </c>
      <c r="G431" t="inlineStr"/>
      <c r="I431" t="inlineStr">
        <is>
          <t>TN</t>
        </is>
      </c>
      <c r="J431" t="inlineStr"/>
      <c r="K431" t="inlineStr">
        <is>
          <t>20260511</t>
        </is>
      </c>
      <c r="L431" t="inlineStr">
        <is>
          <t>99991231</t>
        </is>
      </c>
    </row>
    <row r="432">
      <c r="A432" t="inlineStr">
        <is>
          <t>900009308</t>
        </is>
      </c>
      <c r="B432" t="inlineStr">
        <is>
          <t>DW55</t>
        </is>
      </c>
      <c r="C432" t="inlineStr">
        <is>
          <t>D284</t>
        </is>
      </c>
      <c r="D432" t="inlineStr">
        <is>
          <t>10000623</t>
        </is>
      </c>
      <c r="E432" t="inlineStr"/>
      <c r="F432" s="11" t="n">
        <v>297.87</v>
      </c>
      <c r="G432" t="inlineStr"/>
      <c r="I432" t="inlineStr">
        <is>
          <t>TN</t>
        </is>
      </c>
      <c r="J432" t="inlineStr"/>
      <c r="K432" t="inlineStr">
        <is>
          <t>20250822</t>
        </is>
      </c>
      <c r="L432" t="inlineStr">
        <is>
          <t>99991231</t>
        </is>
      </c>
    </row>
    <row r="433">
      <c r="A433" t="inlineStr">
        <is>
          <t>900009308</t>
        </is>
      </c>
      <c r="B433" t="inlineStr">
        <is>
          <t>DW55</t>
        </is>
      </c>
      <c r="C433" t="inlineStr">
        <is>
          <t>D284</t>
        </is>
      </c>
      <c r="D433" t="inlineStr">
        <is>
          <t>10123034</t>
        </is>
      </c>
      <c r="E433" t="inlineStr"/>
      <c r="F433" s="11" t="n">
        <v>98.17</v>
      </c>
      <c r="G433" t="inlineStr"/>
      <c r="I433" t="inlineStr">
        <is>
          <t>TN</t>
        </is>
      </c>
      <c r="J433" t="inlineStr"/>
      <c r="K433" t="inlineStr">
        <is>
          <t>20250919</t>
        </is>
      </c>
      <c r="L433" t="inlineStr">
        <is>
          <t>99991231</t>
        </is>
      </c>
    </row>
    <row r="434">
      <c r="A434" t="inlineStr">
        <is>
          <t>900009308</t>
        </is>
      </c>
      <c r="B434" t="inlineStr">
        <is>
          <t>DW55</t>
        </is>
      </c>
      <c r="C434" t="inlineStr">
        <is>
          <t>D304</t>
        </is>
      </c>
      <c r="D434" t="inlineStr">
        <is>
          <t>10000372</t>
        </is>
      </c>
      <c r="E434" t="inlineStr"/>
      <c r="F434" s="11" t="n">
        <v>212.71</v>
      </c>
      <c r="G434" t="inlineStr"/>
      <c r="I434" t="inlineStr">
        <is>
          <t>TN</t>
        </is>
      </c>
      <c r="J434" t="inlineStr"/>
      <c r="K434" t="inlineStr">
        <is>
          <t>20260511</t>
        </is>
      </c>
      <c r="L434" t="inlineStr">
        <is>
          <t>99991231</t>
        </is>
      </c>
    </row>
    <row r="435">
      <c r="A435" t="inlineStr">
        <is>
          <t>900009308</t>
        </is>
      </c>
      <c r="B435" t="inlineStr">
        <is>
          <t>DW55</t>
        </is>
      </c>
      <c r="C435" t="inlineStr">
        <is>
          <t>D304</t>
        </is>
      </c>
      <c r="D435" t="inlineStr">
        <is>
          <t>10000623</t>
        </is>
      </c>
      <c r="E435" t="inlineStr"/>
      <c r="F435" s="11" t="n">
        <v>297.87</v>
      </c>
      <c r="G435" t="inlineStr"/>
      <c r="I435" t="inlineStr">
        <is>
          <t>TN</t>
        </is>
      </c>
      <c r="J435" t="inlineStr"/>
      <c r="K435" t="inlineStr">
        <is>
          <t>20260107</t>
        </is>
      </c>
      <c r="L435" t="inlineStr">
        <is>
          <t>99991231</t>
        </is>
      </c>
    </row>
    <row r="436">
      <c r="A436" t="inlineStr">
        <is>
          <t>900009308</t>
        </is>
      </c>
      <c r="B436" t="inlineStr">
        <is>
          <t>DW55</t>
        </is>
      </c>
      <c r="C436" t="inlineStr">
        <is>
          <t>D304</t>
        </is>
      </c>
      <c r="D436" t="inlineStr">
        <is>
          <t>10123034</t>
        </is>
      </c>
      <c r="E436" t="inlineStr"/>
      <c r="F436" s="11" t="n">
        <v>98.17</v>
      </c>
      <c r="G436" t="inlineStr"/>
      <c r="I436" t="inlineStr">
        <is>
          <t>TN</t>
        </is>
      </c>
      <c r="J436" t="inlineStr"/>
      <c r="K436" t="inlineStr">
        <is>
          <t>20260107</t>
        </is>
      </c>
      <c r="L436" t="inlineStr">
        <is>
          <t>99991231</t>
        </is>
      </c>
    </row>
    <row r="437">
      <c r="A437" t="inlineStr">
        <is>
          <t>900009308</t>
        </is>
      </c>
      <c r="B437" t="inlineStr">
        <is>
          <t>DW55</t>
        </is>
      </c>
      <c r="C437" t="inlineStr">
        <is>
          <t>D309</t>
        </is>
      </c>
      <c r="D437" t="inlineStr">
        <is>
          <t>10000372</t>
        </is>
      </c>
      <c r="E437" t="inlineStr"/>
      <c r="F437" s="11" t="n">
        <v>212.71</v>
      </c>
      <c r="G437" t="inlineStr"/>
      <c r="I437" t="inlineStr">
        <is>
          <t>TN</t>
        </is>
      </c>
      <c r="J437" t="inlineStr"/>
      <c r="K437" t="inlineStr">
        <is>
          <t>20260511</t>
        </is>
      </c>
      <c r="L437" t="inlineStr">
        <is>
          <t>99991231</t>
        </is>
      </c>
    </row>
    <row r="438">
      <c r="A438" t="inlineStr">
        <is>
          <t>900009308</t>
        </is>
      </c>
      <c r="B438" t="inlineStr">
        <is>
          <t>DW55</t>
        </is>
      </c>
      <c r="C438" t="inlineStr">
        <is>
          <t>D309</t>
        </is>
      </c>
      <c r="D438" t="inlineStr">
        <is>
          <t>10000623</t>
        </is>
      </c>
      <c r="E438" t="inlineStr"/>
      <c r="F438" s="11" t="n">
        <v>297.87</v>
      </c>
      <c r="G438" t="inlineStr"/>
      <c r="I438" t="inlineStr">
        <is>
          <t>TN</t>
        </is>
      </c>
      <c r="J438" t="inlineStr"/>
      <c r="K438" t="inlineStr">
        <is>
          <t>20250822</t>
        </is>
      </c>
      <c r="L438" t="inlineStr">
        <is>
          <t>99991231</t>
        </is>
      </c>
    </row>
    <row r="439">
      <c r="A439" t="inlineStr">
        <is>
          <t>900009308</t>
        </is>
      </c>
      <c r="B439" t="inlineStr">
        <is>
          <t>DW55</t>
        </is>
      </c>
      <c r="C439" t="inlineStr">
        <is>
          <t>D309</t>
        </is>
      </c>
      <c r="D439" t="inlineStr">
        <is>
          <t>10123034</t>
        </is>
      </c>
      <c r="E439" t="inlineStr"/>
      <c r="F439" s="11" t="n">
        <v>98.17</v>
      </c>
      <c r="G439" t="inlineStr"/>
      <c r="I439" t="inlineStr">
        <is>
          <t>TN</t>
        </is>
      </c>
      <c r="J439" t="inlineStr"/>
      <c r="K439" t="inlineStr">
        <is>
          <t>20250919</t>
        </is>
      </c>
      <c r="L439" t="inlineStr">
        <is>
          <t>99991231</t>
        </is>
      </c>
    </row>
    <row r="440">
      <c r="A440" t="inlineStr">
        <is>
          <t>900009308</t>
        </is>
      </c>
      <c r="B440" t="inlineStr">
        <is>
          <t>DW55</t>
        </is>
      </c>
      <c r="C440" t="inlineStr">
        <is>
          <t>D325</t>
        </is>
      </c>
      <c r="D440" t="inlineStr">
        <is>
          <t>10000372</t>
        </is>
      </c>
      <c r="E440" t="inlineStr"/>
      <c r="F440" s="11" t="n">
        <v>198.2</v>
      </c>
      <c r="G440" t="inlineStr"/>
      <c r="I440" t="inlineStr">
        <is>
          <t>TN</t>
        </is>
      </c>
      <c r="J440" t="inlineStr"/>
      <c r="K440" t="inlineStr">
        <is>
          <t>20250822</t>
        </is>
      </c>
      <c r="L440" t="inlineStr">
        <is>
          <t>99991231</t>
        </is>
      </c>
    </row>
    <row r="441">
      <c r="A441" t="inlineStr">
        <is>
          <t>900009308</t>
        </is>
      </c>
      <c r="B441" t="inlineStr">
        <is>
          <t>DW55</t>
        </is>
      </c>
      <c r="C441" t="inlineStr">
        <is>
          <t>D325</t>
        </is>
      </c>
      <c r="D441" t="inlineStr">
        <is>
          <t>10000623</t>
        </is>
      </c>
      <c r="E441" t="inlineStr"/>
      <c r="F441" s="11" t="n">
        <v>297.87</v>
      </c>
      <c r="G441" t="inlineStr"/>
      <c r="I441" t="inlineStr">
        <is>
          <t>TN</t>
        </is>
      </c>
      <c r="J441" t="inlineStr"/>
      <c r="K441" t="inlineStr">
        <is>
          <t>20250822</t>
        </is>
      </c>
      <c r="L441" t="inlineStr">
        <is>
          <t>99991231</t>
        </is>
      </c>
    </row>
    <row r="442">
      <c r="A442" t="inlineStr">
        <is>
          <t>900009308</t>
        </is>
      </c>
      <c r="B442" t="inlineStr">
        <is>
          <t>DW55</t>
        </is>
      </c>
      <c r="C442" t="inlineStr">
        <is>
          <t>D325</t>
        </is>
      </c>
      <c r="D442" t="inlineStr">
        <is>
          <t>10123034</t>
        </is>
      </c>
      <c r="E442" t="inlineStr"/>
      <c r="F442" s="11" t="n">
        <v>98.17</v>
      </c>
      <c r="G442" t="inlineStr"/>
      <c r="I442" t="inlineStr">
        <is>
          <t>TN</t>
        </is>
      </c>
      <c r="J442" t="inlineStr"/>
      <c r="K442" t="inlineStr">
        <is>
          <t>20250919</t>
        </is>
      </c>
      <c r="L442" t="inlineStr">
        <is>
          <t>99991231</t>
        </is>
      </c>
    </row>
    <row r="443">
      <c r="A443" t="inlineStr">
        <is>
          <t>900009308</t>
        </is>
      </c>
      <c r="B443" t="inlineStr">
        <is>
          <t>DW55</t>
        </is>
      </c>
      <c r="C443" t="inlineStr">
        <is>
          <t>D342</t>
        </is>
      </c>
      <c r="D443" t="inlineStr">
        <is>
          <t>10000372</t>
        </is>
      </c>
      <c r="E443" t="inlineStr"/>
      <c r="F443" s="11" t="n">
        <v>212.71</v>
      </c>
      <c r="G443" t="inlineStr"/>
      <c r="I443" t="inlineStr">
        <is>
          <t>TN</t>
        </is>
      </c>
      <c r="J443" t="inlineStr"/>
      <c r="K443" t="inlineStr">
        <is>
          <t>20260511</t>
        </is>
      </c>
      <c r="L443" t="inlineStr">
        <is>
          <t>99991231</t>
        </is>
      </c>
    </row>
    <row r="444">
      <c r="A444" t="inlineStr">
        <is>
          <t>900009308</t>
        </is>
      </c>
      <c r="B444" t="inlineStr">
        <is>
          <t>DW55</t>
        </is>
      </c>
      <c r="C444" t="inlineStr">
        <is>
          <t>D342</t>
        </is>
      </c>
      <c r="D444" t="inlineStr">
        <is>
          <t>10000623</t>
        </is>
      </c>
      <c r="E444" t="inlineStr"/>
      <c r="F444" s="11" t="n">
        <v>297.87</v>
      </c>
      <c r="G444" t="inlineStr"/>
      <c r="I444" t="inlineStr">
        <is>
          <t>TN</t>
        </is>
      </c>
      <c r="J444" t="inlineStr"/>
      <c r="K444" t="inlineStr">
        <is>
          <t>20250822</t>
        </is>
      </c>
      <c r="L444" t="inlineStr">
        <is>
          <t>99991231</t>
        </is>
      </c>
    </row>
    <row r="445">
      <c r="A445" t="inlineStr">
        <is>
          <t>900009308</t>
        </is>
      </c>
      <c r="B445" t="inlineStr">
        <is>
          <t>DW55</t>
        </is>
      </c>
      <c r="C445" t="inlineStr">
        <is>
          <t>D342</t>
        </is>
      </c>
      <c r="D445" t="inlineStr">
        <is>
          <t>10123034</t>
        </is>
      </c>
      <c r="E445" t="inlineStr"/>
      <c r="F445" s="11" t="n">
        <v>98.17</v>
      </c>
      <c r="G445" t="inlineStr"/>
      <c r="I445" t="inlineStr">
        <is>
          <t>TN</t>
        </is>
      </c>
      <c r="J445" t="inlineStr"/>
      <c r="K445" t="inlineStr">
        <is>
          <t>20250919</t>
        </is>
      </c>
      <c r="L445" t="inlineStr">
        <is>
          <t>99991231</t>
        </is>
      </c>
    </row>
    <row r="446">
      <c r="A446" t="inlineStr">
        <is>
          <t>900009523</t>
        </is>
      </c>
      <c r="B446" t="inlineStr">
        <is>
          <t>DW55</t>
        </is>
      </c>
      <c r="C446" t="inlineStr">
        <is>
          <t>D284</t>
        </is>
      </c>
      <c r="D446" t="inlineStr">
        <is>
          <t>10217663</t>
        </is>
      </c>
      <c r="E446" t="inlineStr"/>
      <c r="F446" s="11" t="n">
        <v>51.51</v>
      </c>
      <c r="G446" t="inlineStr"/>
      <c r="I446" t="inlineStr">
        <is>
          <t>TN</t>
        </is>
      </c>
      <c r="J446" t="inlineStr"/>
      <c r="K446" t="inlineStr">
        <is>
          <t>20260605</t>
        </is>
      </c>
      <c r="L446" t="inlineStr">
        <is>
          <t>99991231</t>
        </is>
      </c>
    </row>
    <row r="447">
      <c r="A447" t="inlineStr">
        <is>
          <t>900009523</t>
        </is>
      </c>
      <c r="B447" t="inlineStr">
        <is>
          <t>DW55</t>
        </is>
      </c>
      <c r="C447" t="inlineStr">
        <is>
          <t>D304</t>
        </is>
      </c>
      <c r="D447" t="inlineStr">
        <is>
          <t>10217663</t>
        </is>
      </c>
      <c r="E447" t="inlineStr"/>
      <c r="F447" s="11" t="n">
        <v>51.51</v>
      </c>
      <c r="G447" t="inlineStr"/>
      <c r="I447" t="inlineStr">
        <is>
          <t>TN</t>
        </is>
      </c>
      <c r="J447" t="inlineStr"/>
      <c r="K447" t="inlineStr">
        <is>
          <t>20260605</t>
        </is>
      </c>
      <c r="L447" t="inlineStr">
        <is>
          <t>99991231</t>
        </is>
      </c>
    </row>
    <row r="448">
      <c r="A448" t="inlineStr">
        <is>
          <t>900009523</t>
        </is>
      </c>
      <c r="B448" t="inlineStr">
        <is>
          <t>DW55</t>
        </is>
      </c>
      <c r="C448" t="inlineStr">
        <is>
          <t>D309</t>
        </is>
      </c>
      <c r="D448" t="inlineStr">
        <is>
          <t>10217663</t>
        </is>
      </c>
      <c r="E448" t="inlineStr"/>
      <c r="F448" s="11" t="n">
        <v>51.51</v>
      </c>
      <c r="G448" t="inlineStr"/>
      <c r="I448" t="inlineStr">
        <is>
          <t>TN</t>
        </is>
      </c>
      <c r="J448" t="inlineStr"/>
      <c r="K448" t="inlineStr">
        <is>
          <t>20260605</t>
        </is>
      </c>
      <c r="L448" t="inlineStr">
        <is>
          <t>99991231</t>
        </is>
      </c>
    </row>
    <row r="449">
      <c r="A449" t="inlineStr">
        <is>
          <t>900009524</t>
        </is>
      </c>
      <c r="B449" t="inlineStr">
        <is>
          <t>DW55</t>
        </is>
      </c>
      <c r="C449" t="inlineStr">
        <is>
          <t>D284</t>
        </is>
      </c>
      <c r="D449" t="inlineStr">
        <is>
          <t>10217663</t>
        </is>
      </c>
      <c r="E449" t="inlineStr"/>
      <c r="F449" s="11" t="n">
        <v>51.51</v>
      </c>
      <c r="G449" t="inlineStr"/>
      <c r="I449" t="inlineStr">
        <is>
          <t>TN</t>
        </is>
      </c>
      <c r="J449" t="inlineStr"/>
      <c r="K449" t="inlineStr">
        <is>
          <t>20260707</t>
        </is>
      </c>
      <c r="L449" t="inlineStr">
        <is>
          <t>99991231</t>
        </is>
      </c>
    </row>
    <row r="450">
      <c r="A450" t="inlineStr">
        <is>
          <t>900009577</t>
        </is>
      </c>
      <c r="B450" t="inlineStr">
        <is>
          <t>DW55</t>
        </is>
      </c>
      <c r="C450" t="inlineStr">
        <is>
          <t>D284</t>
        </is>
      </c>
      <c r="D450" t="inlineStr">
        <is>
          <t>10217663</t>
        </is>
      </c>
      <c r="E450" t="inlineStr"/>
      <c r="F450" s="11" t="n">
        <v>51.51</v>
      </c>
      <c r="G450" t="inlineStr"/>
      <c r="I450" t="inlineStr">
        <is>
          <t>TN</t>
        </is>
      </c>
      <c r="J450" t="inlineStr"/>
      <c r="K450" t="inlineStr">
        <is>
          <t>20260812</t>
        </is>
      </c>
      <c r="L450" t="inlineStr">
        <is>
          <t>99991231</t>
        </is>
      </c>
    </row>
    <row r="451">
      <c r="A451" t="inlineStr">
        <is>
          <t>900009580</t>
        </is>
      </c>
      <c r="B451" t="inlineStr">
        <is>
          <t>DW55</t>
        </is>
      </c>
      <c r="C451" t="inlineStr">
        <is>
          <t>D284</t>
        </is>
      </c>
      <c r="D451" t="inlineStr">
        <is>
          <t>10217663</t>
        </is>
      </c>
      <c r="E451" t="inlineStr"/>
      <c r="F451" s="11" t="n">
        <v>82.42</v>
      </c>
      <c r="G451" t="inlineStr"/>
      <c r="I451" t="inlineStr">
        <is>
          <t>TN</t>
        </is>
      </c>
      <c r="J451" t="inlineStr"/>
      <c r="K451" t="inlineStr">
        <is>
          <t>20260806</t>
        </is>
      </c>
      <c r="L451" t="inlineStr">
        <is>
          <t>99991231</t>
        </is>
      </c>
    </row>
    <row r="452">
      <c r="A452" t="inlineStr">
        <is>
          <t>900009580</t>
        </is>
      </c>
      <c r="B452" t="inlineStr">
        <is>
          <t>DW55</t>
        </is>
      </c>
      <c r="C452" t="inlineStr">
        <is>
          <t>D309</t>
        </is>
      </c>
      <c r="D452" t="inlineStr">
        <is>
          <t>10217663</t>
        </is>
      </c>
      <c r="E452" t="inlineStr"/>
      <c r="F452" s="11" t="n">
        <v>82.42</v>
      </c>
      <c r="G452" t="inlineStr"/>
      <c r="I452" t="inlineStr">
        <is>
          <t>TN</t>
        </is>
      </c>
      <c r="J452" t="inlineStr"/>
      <c r="K452" t="inlineStr">
        <is>
          <t>20260806</t>
        </is>
      </c>
      <c r="L452" t="inlineStr">
        <is>
          <t>99991231</t>
        </is>
      </c>
    </row>
    <row r="453">
      <c r="A453" t="inlineStr">
        <is>
          <t>900009596</t>
        </is>
      </c>
      <c r="B453" t="inlineStr">
        <is>
          <t>DW55</t>
        </is>
      </c>
      <c r="C453" t="inlineStr">
        <is>
          <t>D309</t>
        </is>
      </c>
      <c r="D453" t="inlineStr">
        <is>
          <t>10260169</t>
        </is>
      </c>
      <c r="E453" t="inlineStr"/>
      <c r="F453" s="11" t="n">
        <v>48.58</v>
      </c>
      <c r="G453" t="inlineStr"/>
      <c r="I453" t="inlineStr">
        <is>
          <t>TN</t>
        </is>
      </c>
      <c r="J453" t="inlineStr"/>
      <c r="K453" t="inlineStr">
        <is>
          <t>20260819</t>
        </is>
      </c>
      <c r="L453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900000000DW55D28410000541</t>
        </is>
      </c>
      <c r="B2" t="inlineStr">
        <is>
          <t>900000000</t>
        </is>
      </c>
      <c r="C2" t="inlineStr">
        <is>
          <t>DW55</t>
        </is>
      </c>
      <c r="D2" t="inlineStr">
        <is>
          <t>D284</t>
        </is>
      </c>
      <c r="E2" t="inlineStr">
        <is>
          <t>4</t>
        </is>
      </c>
      <c r="F2" t="inlineStr">
        <is>
          <t>10000541</t>
        </is>
      </c>
      <c r="H2" t="inlineStr"/>
      <c r="J2" t="n">
        <v>314.14</v>
      </c>
      <c r="K2" t="inlineStr"/>
      <c r="M2" t="inlineStr">
        <is>
          <t>TN</t>
        </is>
      </c>
      <c r="N2" t="inlineStr"/>
      <c r="P2" t="inlineStr">
        <is>
          <t>20240122</t>
        </is>
      </c>
      <c r="Q2" t="inlineStr">
        <is>
          <t>99991231</t>
        </is>
      </c>
    </row>
    <row r="3">
      <c r="A3" t="inlineStr">
        <is>
          <t>900000000DW55D30910000541</t>
        </is>
      </c>
      <c r="B3" t="inlineStr">
        <is>
          <t>900000000</t>
        </is>
      </c>
      <c r="C3" t="inlineStr">
        <is>
          <t>DW55</t>
        </is>
      </c>
      <c r="D3" t="inlineStr">
        <is>
          <t>D309</t>
        </is>
      </c>
      <c r="E3" t="inlineStr">
        <is>
          <t>4</t>
        </is>
      </c>
      <c r="F3" t="inlineStr">
        <is>
          <t>10000541</t>
        </is>
      </c>
      <c r="H3" t="inlineStr"/>
      <c r="J3" t="n">
        <v>261.78</v>
      </c>
      <c r="K3" t="inlineStr"/>
      <c r="M3" t="inlineStr">
        <is>
          <t>TN</t>
        </is>
      </c>
      <c r="N3" t="inlineStr"/>
      <c r="P3" t="inlineStr">
        <is>
          <t>20240904</t>
        </is>
      </c>
      <c r="Q3" t="inlineStr">
        <is>
          <t>99991231</t>
        </is>
      </c>
    </row>
    <row r="4">
      <c r="A4" t="inlineStr">
        <is>
          <t>900000000DW55D34210000541</t>
        </is>
      </c>
      <c r="B4" t="inlineStr">
        <is>
          <t>900000000</t>
        </is>
      </c>
      <c r="C4" t="inlineStr">
        <is>
          <t>DW55</t>
        </is>
      </c>
      <c r="D4" t="inlineStr">
        <is>
          <t>D342</t>
        </is>
      </c>
      <c r="E4" t="inlineStr">
        <is>
          <t>4</t>
        </is>
      </c>
      <c r="F4" t="inlineStr">
        <is>
          <t>10000541</t>
        </is>
      </c>
      <c r="H4" t="inlineStr"/>
      <c r="J4" t="n">
        <v>262.05</v>
      </c>
      <c r="K4" t="inlineStr"/>
      <c r="M4" t="inlineStr">
        <is>
          <t>TN</t>
        </is>
      </c>
      <c r="N4" t="inlineStr"/>
      <c r="P4" t="inlineStr">
        <is>
          <t>20240122</t>
        </is>
      </c>
      <c r="Q4" t="inlineStr">
        <is>
          <t>20241015</t>
        </is>
      </c>
    </row>
    <row r="5">
      <c r="A5" t="inlineStr">
        <is>
          <t>900000515DW55D28410049559</t>
        </is>
      </c>
      <c r="B5" t="inlineStr">
        <is>
          <t>900000515</t>
        </is>
      </c>
      <c r="C5" t="inlineStr">
        <is>
          <t>DW55</t>
        </is>
      </c>
      <c r="D5" t="inlineStr">
        <is>
          <t>D284</t>
        </is>
      </c>
      <c r="E5" t="inlineStr">
        <is>
          <t>4</t>
        </is>
      </c>
      <c r="F5" t="inlineStr">
        <is>
          <t>10049559</t>
        </is>
      </c>
      <c r="H5" t="inlineStr"/>
      <c r="J5" t="n">
        <v>85.39</v>
      </c>
      <c r="K5" t="inlineStr"/>
      <c r="M5" t="inlineStr">
        <is>
          <t>TN</t>
        </is>
      </c>
      <c r="N5" t="inlineStr"/>
      <c r="P5" t="inlineStr">
        <is>
          <t>20220516</t>
        </is>
      </c>
      <c r="Q5" t="inlineStr">
        <is>
          <t>20240710</t>
        </is>
      </c>
    </row>
    <row r="6">
      <c r="A6" t="inlineStr">
        <is>
          <t>900000515DW55D30910049559</t>
        </is>
      </c>
      <c r="B6" t="inlineStr">
        <is>
          <t>900000515</t>
        </is>
      </c>
      <c r="C6" t="inlineStr">
        <is>
          <t>DW55</t>
        </is>
      </c>
      <c r="D6" t="inlineStr">
        <is>
          <t>D309</t>
        </is>
      </c>
      <c r="E6" t="inlineStr">
        <is>
          <t>4</t>
        </is>
      </c>
      <c r="F6" t="inlineStr">
        <is>
          <t>10049559</t>
        </is>
      </c>
      <c r="H6" t="inlineStr"/>
      <c r="J6" t="n">
        <v>118.21</v>
      </c>
      <c r="K6" t="inlineStr"/>
      <c r="M6" t="inlineStr">
        <is>
          <t>TN</t>
        </is>
      </c>
      <c r="N6" t="inlineStr"/>
      <c r="P6" t="inlineStr">
        <is>
          <t>20220516</t>
        </is>
      </c>
      <c r="Q6" t="inlineStr">
        <is>
          <t>20240710</t>
        </is>
      </c>
    </row>
    <row r="7">
      <c r="A7" t="inlineStr">
        <is>
          <t>900000515DW55D32610049559</t>
        </is>
      </c>
      <c r="B7" t="inlineStr">
        <is>
          <t>900000515</t>
        </is>
      </c>
      <c r="C7" t="inlineStr">
        <is>
          <t>DW55</t>
        </is>
      </c>
      <c r="D7" t="inlineStr">
        <is>
          <t>D326</t>
        </is>
      </c>
      <c r="E7" t="inlineStr">
        <is>
          <t>4</t>
        </is>
      </c>
      <c r="F7" t="inlineStr">
        <is>
          <t>10049559</t>
        </is>
      </c>
      <c r="H7" t="inlineStr"/>
      <c r="J7" t="n">
        <v>105.07</v>
      </c>
      <c r="K7" t="inlineStr"/>
      <c r="M7" t="inlineStr">
        <is>
          <t>TN</t>
        </is>
      </c>
      <c r="N7" t="inlineStr"/>
      <c r="P7" t="inlineStr">
        <is>
          <t>20220516</t>
        </is>
      </c>
      <c r="Q7" t="inlineStr">
        <is>
          <t>20240710</t>
        </is>
      </c>
    </row>
    <row r="8">
      <c r="A8" t="inlineStr">
        <is>
          <t>900000515DW55D34210049559</t>
        </is>
      </c>
      <c r="B8" t="inlineStr">
        <is>
          <t>900000515</t>
        </is>
      </c>
      <c r="C8" t="inlineStr">
        <is>
          <t>DW55</t>
        </is>
      </c>
      <c r="D8" t="inlineStr">
        <is>
          <t>D342</t>
        </is>
      </c>
      <c r="E8" t="inlineStr">
        <is>
          <t>4</t>
        </is>
      </c>
      <c r="F8" t="inlineStr">
        <is>
          <t>10049559</t>
        </is>
      </c>
      <c r="H8" t="inlineStr"/>
      <c r="J8" t="n">
        <v>137.88</v>
      </c>
      <c r="K8" t="inlineStr"/>
      <c r="M8" t="inlineStr">
        <is>
          <t>TN</t>
        </is>
      </c>
      <c r="N8" t="inlineStr"/>
      <c r="P8" t="inlineStr">
        <is>
          <t>20220516</t>
        </is>
      </c>
      <c r="Q8" t="inlineStr">
        <is>
          <t>20240710</t>
        </is>
      </c>
    </row>
    <row r="9">
      <c r="A9" t="inlineStr">
        <is>
          <t>900000515DW55D34810049559</t>
        </is>
      </c>
      <c r="B9" t="inlineStr">
        <is>
          <t>900000515</t>
        </is>
      </c>
      <c r="C9" t="inlineStr">
        <is>
          <t>DW55</t>
        </is>
      </c>
      <c r="D9" t="inlineStr">
        <is>
          <t>D348</t>
        </is>
      </c>
      <c r="E9" t="inlineStr">
        <is>
          <t>4</t>
        </is>
      </c>
      <c r="F9" t="inlineStr">
        <is>
          <t>10049559</t>
        </is>
      </c>
      <c r="H9" t="inlineStr"/>
      <c r="J9" t="n">
        <v>68.84999999999999</v>
      </c>
      <c r="K9" t="inlineStr"/>
      <c r="M9" t="inlineStr">
        <is>
          <t>TN</t>
        </is>
      </c>
      <c r="N9" t="inlineStr"/>
      <c r="P9" t="inlineStr">
        <is>
          <t>20220516</t>
        </is>
      </c>
      <c r="Q9" t="inlineStr">
        <is>
          <t>20240710</t>
        </is>
      </c>
    </row>
    <row r="10">
      <c r="A10" t="inlineStr">
        <is>
          <t>900000743DW55D28410000372</t>
        </is>
      </c>
      <c r="B10" t="inlineStr">
        <is>
          <t>900000743</t>
        </is>
      </c>
      <c r="C10" t="inlineStr">
        <is>
          <t>DW55</t>
        </is>
      </c>
      <c r="D10" t="inlineStr">
        <is>
          <t>D284</t>
        </is>
      </c>
      <c r="E10" t="inlineStr">
        <is>
          <t>1</t>
        </is>
      </c>
      <c r="F10" t="inlineStr">
        <is>
          <t>10000372</t>
        </is>
      </c>
      <c r="H10" t="inlineStr"/>
      <c r="J10" t="n">
        <v>100.83</v>
      </c>
      <c r="K10" t="inlineStr"/>
      <c r="M10" t="inlineStr">
        <is>
          <t>TN</t>
        </is>
      </c>
      <c r="N10" t="inlineStr"/>
      <c r="P10" t="inlineStr">
        <is>
          <t>20260417</t>
        </is>
      </c>
      <c r="Q10" t="inlineStr">
        <is>
          <t>20260427</t>
        </is>
      </c>
    </row>
    <row r="11">
      <c r="A11" t="inlineStr">
        <is>
          <t>900000743DW55D28410123034</t>
        </is>
      </c>
      <c r="B11" t="inlineStr">
        <is>
          <t>900000743</t>
        </is>
      </c>
      <c r="C11" t="inlineStr">
        <is>
          <t>DW55</t>
        </is>
      </c>
      <c r="D11" t="inlineStr">
        <is>
          <t>D284</t>
        </is>
      </c>
      <c r="E11" t="inlineStr">
        <is>
          <t>1</t>
        </is>
      </c>
      <c r="F11" t="inlineStr">
        <is>
          <t>10123034</t>
        </is>
      </c>
      <c r="H11" t="inlineStr"/>
      <c r="J11" t="n">
        <v>123.8</v>
      </c>
      <c r="K11" t="inlineStr"/>
      <c r="M11" t="inlineStr">
        <is>
          <t>TN</t>
        </is>
      </c>
      <c r="N11" t="inlineStr"/>
      <c r="P11" t="inlineStr">
        <is>
          <t>20241001</t>
        </is>
      </c>
      <c r="Q11" t="inlineStr">
        <is>
          <t>99991231</t>
        </is>
      </c>
    </row>
    <row r="12">
      <c r="A12" t="inlineStr">
        <is>
          <t>900000743DW55D28410151600</t>
        </is>
      </c>
      <c r="B12" t="inlineStr">
        <is>
          <t>900000743</t>
        </is>
      </c>
      <c r="C12" t="inlineStr">
        <is>
          <t>DW55</t>
        </is>
      </c>
      <c r="D12" t="inlineStr">
        <is>
          <t>D284</t>
        </is>
      </c>
      <c r="E12" t="inlineStr">
        <is>
          <t>1</t>
        </is>
      </c>
      <c r="F12" t="inlineStr">
        <is>
          <t>10151600</t>
        </is>
      </c>
      <c r="H12" t="inlineStr"/>
      <c r="J12" t="n">
        <v>104.99</v>
      </c>
      <c r="K12" t="inlineStr"/>
      <c r="M12" t="inlineStr">
        <is>
          <t>TN</t>
        </is>
      </c>
      <c r="N12" t="inlineStr"/>
      <c r="P12" t="inlineStr">
        <is>
          <t>20210620</t>
        </is>
      </c>
      <c r="Q12" t="inlineStr">
        <is>
          <t>20240930</t>
        </is>
      </c>
    </row>
    <row r="13">
      <c r="A13" t="inlineStr">
        <is>
          <t>900000743DW55D28410217664</t>
        </is>
      </c>
      <c r="B13" t="inlineStr">
        <is>
          <t>900000743</t>
        </is>
      </c>
      <c r="C13" t="inlineStr">
        <is>
          <t>DW55</t>
        </is>
      </c>
      <c r="D13" t="inlineStr">
        <is>
          <t>D284</t>
        </is>
      </c>
      <c r="E13" t="inlineStr">
        <is>
          <t>1</t>
        </is>
      </c>
      <c r="F13" t="inlineStr">
        <is>
          <t>10217664</t>
        </is>
      </c>
      <c r="H13" t="inlineStr"/>
      <c r="J13" t="n">
        <v>104.96</v>
      </c>
      <c r="K13" t="inlineStr"/>
      <c r="M13" t="inlineStr">
        <is>
          <t>TN</t>
        </is>
      </c>
      <c r="N13" t="inlineStr"/>
      <c r="P13" t="inlineStr">
        <is>
          <t>20260417</t>
        </is>
      </c>
      <c r="Q13" t="inlineStr">
        <is>
          <t>99991231</t>
        </is>
      </c>
    </row>
    <row r="14">
      <c r="A14" t="inlineStr">
        <is>
          <t>900000743DW55D30910000372</t>
        </is>
      </c>
      <c r="B14" t="inlineStr">
        <is>
          <t>900000743</t>
        </is>
      </c>
      <c r="C14" t="inlineStr">
        <is>
          <t>DW55</t>
        </is>
      </c>
      <c r="D14" t="inlineStr">
        <is>
          <t>D309</t>
        </is>
      </c>
      <c r="E14" t="inlineStr">
        <is>
          <t>1</t>
        </is>
      </c>
      <c r="F14" t="inlineStr">
        <is>
          <t>10000372</t>
        </is>
      </c>
      <c r="H14" t="inlineStr"/>
      <c r="J14" t="n">
        <v>152.62</v>
      </c>
      <c r="K14" t="inlineStr"/>
      <c r="M14" t="inlineStr">
        <is>
          <t>TN</t>
        </is>
      </c>
      <c r="N14" t="inlineStr"/>
      <c r="P14" t="inlineStr">
        <is>
          <t>20260417</t>
        </is>
      </c>
      <c r="Q14" t="inlineStr">
        <is>
          <t>20260427</t>
        </is>
      </c>
    </row>
    <row r="15">
      <c r="A15" t="inlineStr">
        <is>
          <t>900000743DW55D30910123034</t>
        </is>
      </c>
      <c r="B15" t="inlineStr">
        <is>
          <t>900000743</t>
        </is>
      </c>
      <c r="C15" t="inlineStr">
        <is>
          <t>DW55</t>
        </is>
      </c>
      <c r="D15" t="inlineStr">
        <is>
          <t>D309</t>
        </is>
      </c>
      <c r="E15" t="inlineStr">
        <is>
          <t>1</t>
        </is>
      </c>
      <c r="F15" t="inlineStr">
        <is>
          <t>10123034</t>
        </is>
      </c>
      <c r="H15" t="inlineStr"/>
      <c r="J15" t="n">
        <v>144.63</v>
      </c>
      <c r="K15" t="inlineStr"/>
      <c r="M15" t="inlineStr">
        <is>
          <t>TN</t>
        </is>
      </c>
      <c r="N15" t="inlineStr"/>
      <c r="P15" t="inlineStr">
        <is>
          <t>20260417</t>
        </is>
      </c>
      <c r="Q15" t="inlineStr">
        <is>
          <t>99991231</t>
        </is>
      </c>
    </row>
    <row r="16">
      <c r="A16" t="inlineStr">
        <is>
          <t>900000743DW55D30910151600</t>
        </is>
      </c>
      <c r="B16" t="inlineStr">
        <is>
          <t>900000743</t>
        </is>
      </c>
      <c r="C16" t="inlineStr">
        <is>
          <t>DW55</t>
        </is>
      </c>
      <c r="D16" t="inlineStr">
        <is>
          <t>D309</t>
        </is>
      </c>
      <c r="E16" t="inlineStr">
        <is>
          <t>1</t>
        </is>
      </c>
      <c r="F16" t="inlineStr">
        <is>
          <t>10151600</t>
        </is>
      </c>
      <c r="H16" t="inlineStr"/>
      <c r="J16" t="n">
        <v>143.09</v>
      </c>
      <c r="K16" t="inlineStr"/>
      <c r="M16" t="inlineStr">
        <is>
          <t>TN</t>
        </is>
      </c>
      <c r="N16" t="inlineStr"/>
      <c r="P16" t="inlineStr">
        <is>
          <t>20210620</t>
        </is>
      </c>
      <c r="Q16" t="inlineStr">
        <is>
          <t>20240930</t>
        </is>
      </c>
    </row>
    <row r="17">
      <c r="A17" t="inlineStr">
        <is>
          <t>900000743DW55D30910217664</t>
        </is>
      </c>
      <c r="B17" t="inlineStr">
        <is>
          <t>900000743</t>
        </is>
      </c>
      <c r="C17" t="inlineStr">
        <is>
          <t>DW55</t>
        </is>
      </c>
      <c r="D17" t="inlineStr">
        <is>
          <t>D309</t>
        </is>
      </c>
      <c r="E17" t="inlineStr">
        <is>
          <t>1</t>
        </is>
      </c>
      <c r="F17" t="inlineStr">
        <is>
          <t>10217664</t>
        </is>
      </c>
      <c r="H17" t="inlineStr"/>
      <c r="J17" t="n">
        <v>158.88</v>
      </c>
      <c r="K17" t="inlineStr"/>
      <c r="M17" t="inlineStr">
        <is>
          <t>TN</t>
        </is>
      </c>
      <c r="N17" t="inlineStr"/>
      <c r="P17" t="inlineStr">
        <is>
          <t>20260417</t>
        </is>
      </c>
      <c r="Q17" t="inlineStr">
        <is>
          <t>99991231</t>
        </is>
      </c>
    </row>
    <row r="18">
      <c r="A18" t="inlineStr">
        <is>
          <t>900000743DW55D31510000561</t>
        </is>
      </c>
      <c r="B18" t="inlineStr">
        <is>
          <t>900000743</t>
        </is>
      </c>
      <c r="C18" t="inlineStr">
        <is>
          <t>DW55</t>
        </is>
      </c>
      <c r="D18" t="inlineStr">
        <is>
          <t>D315</t>
        </is>
      </c>
      <c r="E18" t="inlineStr">
        <is>
          <t>1</t>
        </is>
      </c>
      <c r="F18" t="inlineStr">
        <is>
          <t>10000561</t>
        </is>
      </c>
      <c r="H18" t="inlineStr"/>
      <c r="J18" t="n">
        <v>92.54000000000001</v>
      </c>
      <c r="K18" t="inlineStr"/>
      <c r="M18" t="inlineStr">
        <is>
          <t>TN</t>
        </is>
      </c>
      <c r="N18" t="inlineStr"/>
      <c r="P18" t="inlineStr">
        <is>
          <t>20210620</t>
        </is>
      </c>
      <c r="Q18" t="inlineStr">
        <is>
          <t>20240710</t>
        </is>
      </c>
    </row>
    <row r="19">
      <c r="A19" t="inlineStr">
        <is>
          <t>900000743DW55D31510123034</t>
        </is>
      </c>
      <c r="B19" t="inlineStr">
        <is>
          <t>900000743</t>
        </is>
      </c>
      <c r="C19" t="inlineStr">
        <is>
          <t>DW55</t>
        </is>
      </c>
      <c r="D19" t="inlineStr">
        <is>
          <t>D315</t>
        </is>
      </c>
      <c r="E19" t="inlineStr">
        <is>
          <t>1</t>
        </is>
      </c>
      <c r="F19" t="inlineStr">
        <is>
          <t>10123034</t>
        </is>
      </c>
      <c r="H19" t="inlineStr"/>
      <c r="J19" t="n">
        <v>86.59999999999999</v>
      </c>
      <c r="K19" t="inlineStr"/>
      <c r="M19" t="inlineStr">
        <is>
          <t>TN</t>
        </is>
      </c>
      <c r="N19" t="inlineStr"/>
      <c r="P19" t="inlineStr">
        <is>
          <t>20210620</t>
        </is>
      </c>
      <c r="Q19" t="inlineStr">
        <is>
          <t>20240320</t>
        </is>
      </c>
    </row>
    <row r="20">
      <c r="A20" t="inlineStr">
        <is>
          <t>900000743DW55D32510217664</t>
        </is>
      </c>
      <c r="B20" t="inlineStr">
        <is>
          <t>900000743</t>
        </is>
      </c>
      <c r="C20" t="inlineStr">
        <is>
          <t>DW55</t>
        </is>
      </c>
      <c r="D20" t="inlineStr">
        <is>
          <t>D325</t>
        </is>
      </c>
      <c r="E20" t="inlineStr">
        <is>
          <t>1</t>
        </is>
      </c>
      <c r="F20" t="inlineStr">
        <is>
          <t>10217664</t>
        </is>
      </c>
      <c r="H20" t="inlineStr"/>
      <c r="J20" t="n">
        <v>154.57</v>
      </c>
      <c r="K20" t="inlineStr"/>
      <c r="M20" t="inlineStr">
        <is>
          <t>TN</t>
        </is>
      </c>
      <c r="N20" t="inlineStr"/>
      <c r="P20" t="inlineStr">
        <is>
          <t>20230704</t>
        </is>
      </c>
      <c r="Q20" t="inlineStr">
        <is>
          <t>99991231</t>
        </is>
      </c>
    </row>
    <row r="21">
      <c r="A21" t="inlineStr">
        <is>
          <t>900000743DW55D32610000561</t>
        </is>
      </c>
      <c r="B21" t="inlineStr">
        <is>
          <t>900000743</t>
        </is>
      </c>
      <c r="C21" t="inlineStr">
        <is>
          <t>DW55</t>
        </is>
      </c>
      <c r="D21" t="inlineStr">
        <is>
          <t>D326</t>
        </is>
      </c>
      <c r="E21" t="inlineStr">
        <is>
          <t>1</t>
        </is>
      </c>
      <c r="F21" t="inlineStr">
        <is>
          <t>10000561</t>
        </is>
      </c>
      <c r="H21" t="inlineStr"/>
      <c r="J21" t="n">
        <v>95.34</v>
      </c>
      <c r="K21" t="inlineStr"/>
      <c r="M21" t="inlineStr">
        <is>
          <t>TN</t>
        </is>
      </c>
      <c r="N21" t="inlineStr"/>
      <c r="P21" t="inlineStr">
        <is>
          <t>20210620</t>
        </is>
      </c>
      <c r="Q21" t="inlineStr">
        <is>
          <t>20240710</t>
        </is>
      </c>
    </row>
    <row r="22">
      <c r="A22" t="inlineStr">
        <is>
          <t>900000743DW55D32610123034</t>
        </is>
      </c>
      <c r="B22" t="inlineStr">
        <is>
          <t>900000743</t>
        </is>
      </c>
      <c r="C22" t="inlineStr">
        <is>
          <t>DW55</t>
        </is>
      </c>
      <c r="D22" t="inlineStr">
        <is>
          <t>D326</t>
        </is>
      </c>
      <c r="E22" t="inlineStr">
        <is>
          <t>1</t>
        </is>
      </c>
      <c r="F22" t="inlineStr">
        <is>
          <t>10123034</t>
        </is>
      </c>
      <c r="H22" t="inlineStr"/>
      <c r="J22" t="n">
        <v>89.23</v>
      </c>
      <c r="K22" t="inlineStr"/>
      <c r="M22" t="inlineStr">
        <is>
          <t>TN</t>
        </is>
      </c>
      <c r="N22" t="inlineStr"/>
      <c r="P22" t="inlineStr">
        <is>
          <t>20210620</t>
        </is>
      </c>
      <c r="Q22" t="inlineStr">
        <is>
          <t>20240320</t>
        </is>
      </c>
    </row>
    <row r="23">
      <c r="A23" t="inlineStr">
        <is>
          <t>900000743DW55D34210123034</t>
        </is>
      </c>
      <c r="B23" t="inlineStr">
        <is>
          <t>900000743</t>
        </is>
      </c>
      <c r="C23" t="inlineStr">
        <is>
          <t>DW55</t>
        </is>
      </c>
      <c r="D23" t="inlineStr">
        <is>
          <t>D342</t>
        </is>
      </c>
      <c r="E23" t="inlineStr">
        <is>
          <t>1</t>
        </is>
      </c>
      <c r="F23" t="inlineStr">
        <is>
          <t>10123034</t>
        </is>
      </c>
      <c r="H23" t="inlineStr"/>
      <c r="J23" t="n">
        <v>174.74</v>
      </c>
      <c r="K23" t="inlineStr"/>
      <c r="M23" t="inlineStr">
        <is>
          <t>TN</t>
        </is>
      </c>
      <c r="N23" t="inlineStr"/>
      <c r="P23" t="inlineStr">
        <is>
          <t>20260417</t>
        </is>
      </c>
      <c r="Q23" t="inlineStr">
        <is>
          <t>99991231</t>
        </is>
      </c>
    </row>
    <row r="24">
      <c r="A24" t="inlineStr">
        <is>
          <t>900000743DW55D34210151600</t>
        </is>
      </c>
      <c r="B24" t="inlineStr">
        <is>
          <t>900000743</t>
        </is>
      </c>
      <c r="C24" t="inlineStr">
        <is>
          <t>DW55</t>
        </is>
      </c>
      <c r="D24" t="inlineStr">
        <is>
          <t>D342</t>
        </is>
      </c>
      <c r="E24" t="inlineStr">
        <is>
          <t>1</t>
        </is>
      </c>
      <c r="F24" t="inlineStr">
        <is>
          <t>10151600</t>
        </is>
      </c>
      <c r="H24" t="inlineStr"/>
      <c r="J24" t="n">
        <v>173.67</v>
      </c>
      <c r="K24" t="inlineStr"/>
      <c r="M24" t="inlineStr">
        <is>
          <t>TN</t>
        </is>
      </c>
      <c r="N24" t="inlineStr"/>
      <c r="P24" t="inlineStr">
        <is>
          <t>20210620</t>
        </is>
      </c>
      <c r="Q24" t="inlineStr">
        <is>
          <t>20240930</t>
        </is>
      </c>
    </row>
    <row r="25">
      <c r="A25" t="inlineStr">
        <is>
          <t>900000743DW55D34210217664</t>
        </is>
      </c>
      <c r="B25" t="inlineStr">
        <is>
          <t>900000743</t>
        </is>
      </c>
      <c r="C25" t="inlineStr">
        <is>
          <t>DW55</t>
        </is>
      </c>
      <c r="D25" t="inlineStr">
        <is>
          <t>D342</t>
        </is>
      </c>
      <c r="E25" t="inlineStr">
        <is>
          <t>1</t>
        </is>
      </c>
      <c r="F25" t="inlineStr">
        <is>
          <t>10217664</t>
        </is>
      </c>
      <c r="H25" t="inlineStr"/>
      <c r="J25" t="n">
        <v>243.84</v>
      </c>
      <c r="K25" t="inlineStr"/>
      <c r="M25" t="inlineStr">
        <is>
          <t>TN</t>
        </is>
      </c>
      <c r="N25" t="inlineStr"/>
      <c r="P25" t="inlineStr">
        <is>
          <t>20241001</t>
        </is>
      </c>
      <c r="Q25" t="inlineStr">
        <is>
          <t>99991231</t>
        </is>
      </c>
    </row>
    <row r="26">
      <c r="A26" t="inlineStr">
        <is>
          <t>900000743DW55D34810123034</t>
        </is>
      </c>
      <c r="B26" t="inlineStr">
        <is>
          <t>900000743</t>
        </is>
      </c>
      <c r="C26" t="inlineStr">
        <is>
          <t>DW55</t>
        </is>
      </c>
      <c r="D26" t="inlineStr">
        <is>
          <t>D348</t>
        </is>
      </c>
      <c r="E26" t="inlineStr">
        <is>
          <t>1</t>
        </is>
      </c>
      <c r="F26" t="inlineStr">
        <is>
          <t>10123034</t>
        </is>
      </c>
      <c r="H26" t="inlineStr"/>
      <c r="J26" t="n">
        <v>192.51</v>
      </c>
      <c r="K26" t="inlineStr"/>
      <c r="M26" t="inlineStr">
        <is>
          <t>TN</t>
        </is>
      </c>
      <c r="N26" t="inlineStr"/>
      <c r="P26" t="inlineStr">
        <is>
          <t>20220624</t>
        </is>
      </c>
      <c r="Q26" t="inlineStr">
        <is>
          <t>99991231</t>
        </is>
      </c>
    </row>
    <row r="27">
      <c r="A27" t="inlineStr">
        <is>
          <t>900000743DW55D34810151600</t>
        </is>
      </c>
      <c r="B27" t="inlineStr">
        <is>
          <t>900000743</t>
        </is>
      </c>
      <c r="C27" t="inlineStr">
        <is>
          <t>DW55</t>
        </is>
      </c>
      <c r="D27" t="inlineStr">
        <is>
          <t>D348</t>
        </is>
      </c>
      <c r="E27" t="inlineStr">
        <is>
          <t>1</t>
        </is>
      </c>
      <c r="F27" t="inlineStr">
        <is>
          <t>10151600</t>
        </is>
      </c>
      <c r="H27" t="inlineStr"/>
      <c r="J27" t="n">
        <v>84.79000000000001</v>
      </c>
      <c r="K27" t="inlineStr"/>
      <c r="M27" t="inlineStr">
        <is>
          <t>TN</t>
        </is>
      </c>
      <c r="N27" t="inlineStr"/>
      <c r="P27" t="inlineStr">
        <is>
          <t>20210620</t>
        </is>
      </c>
      <c r="Q27" t="inlineStr">
        <is>
          <t>20240930</t>
        </is>
      </c>
    </row>
    <row r="28">
      <c r="A28" t="inlineStr">
        <is>
          <t>900000743DW55D34810217664</t>
        </is>
      </c>
      <c r="B28" t="inlineStr">
        <is>
          <t>900000743</t>
        </is>
      </c>
      <c r="C28" t="inlineStr">
        <is>
          <t>DW55</t>
        </is>
      </c>
      <c r="D28" t="inlineStr">
        <is>
          <t>D348</t>
        </is>
      </c>
      <c r="E28" t="inlineStr">
        <is>
          <t>1</t>
        </is>
      </c>
      <c r="F28" t="inlineStr">
        <is>
          <t>10217664</t>
        </is>
      </c>
      <c r="H28" t="inlineStr"/>
      <c r="J28" t="n">
        <v>246.35</v>
      </c>
      <c r="K28" t="inlineStr"/>
      <c r="M28" t="inlineStr">
        <is>
          <t>TN</t>
        </is>
      </c>
      <c r="N28" t="inlineStr"/>
      <c r="P28" t="inlineStr">
        <is>
          <t>20231001</t>
        </is>
      </c>
      <c r="Q28" t="inlineStr">
        <is>
          <t>99991231</t>
        </is>
      </c>
    </row>
    <row r="29">
      <c r="A29" t="inlineStr">
        <is>
          <t>900003437DW55D28410000541</t>
        </is>
      </c>
      <c r="B29" t="inlineStr">
        <is>
          <t>900003437</t>
        </is>
      </c>
      <c r="C29" t="inlineStr">
        <is>
          <t>DW55</t>
        </is>
      </c>
      <c r="D29" t="inlineStr">
        <is>
          <t>D284</t>
        </is>
      </c>
      <c r="E29" t="inlineStr">
        <is>
          <t>4</t>
        </is>
      </c>
      <c r="F29" t="inlineStr">
        <is>
          <t>10000541</t>
        </is>
      </c>
      <c r="H29" t="inlineStr"/>
      <c r="J29" t="n">
        <v>293.85</v>
      </c>
      <c r="K29" t="inlineStr"/>
      <c r="M29" t="inlineStr">
        <is>
          <t>TN</t>
        </is>
      </c>
      <c r="N29" t="inlineStr"/>
      <c r="P29" t="inlineStr">
        <is>
          <t>20240726</t>
        </is>
      </c>
      <c r="Q29" t="inlineStr">
        <is>
          <t>20251031</t>
        </is>
      </c>
    </row>
    <row r="30">
      <c r="A30" t="inlineStr">
        <is>
          <t>900003437DW55D30910000541</t>
        </is>
      </c>
      <c r="B30" t="inlineStr">
        <is>
          <t>900003437</t>
        </is>
      </c>
      <c r="C30" t="inlineStr">
        <is>
          <t>DW55</t>
        </is>
      </c>
      <c r="D30" t="inlineStr">
        <is>
          <t>D309</t>
        </is>
      </c>
      <c r="E30" t="inlineStr">
        <is>
          <t>4</t>
        </is>
      </c>
      <c r="F30" t="inlineStr">
        <is>
          <t>10000541</t>
        </is>
      </c>
      <c r="H30" t="inlineStr"/>
      <c r="J30" t="n">
        <v>293.85</v>
      </c>
      <c r="K30" t="inlineStr"/>
      <c r="M30" t="inlineStr">
        <is>
          <t>TN</t>
        </is>
      </c>
      <c r="N30" t="inlineStr"/>
      <c r="P30" t="inlineStr">
        <is>
          <t>20240726</t>
        </is>
      </c>
      <c r="Q30" t="inlineStr">
        <is>
          <t>20251031</t>
        </is>
      </c>
    </row>
    <row r="31">
      <c r="A31" t="inlineStr">
        <is>
          <t>900003903DW55D28410217663</t>
        </is>
      </c>
      <c r="B31" t="inlineStr">
        <is>
          <t>900003903</t>
        </is>
      </c>
      <c r="C31" t="inlineStr">
        <is>
          <t>DW55</t>
        </is>
      </c>
      <c r="D31" t="inlineStr">
        <is>
          <t>D284</t>
        </is>
      </c>
      <c r="E31" t="inlineStr">
        <is>
          <t>1</t>
        </is>
      </c>
      <c r="F31" t="inlineStr">
        <is>
          <t>10217663</t>
        </is>
      </c>
      <c r="H31" t="inlineStr"/>
      <c r="J31" t="n">
        <v>54.4</v>
      </c>
      <c r="K31" t="inlineStr"/>
      <c r="M31" t="inlineStr">
        <is>
          <t>TN</t>
        </is>
      </c>
      <c r="N31" t="inlineStr"/>
      <c r="P31" t="inlineStr">
        <is>
          <t>20251226</t>
        </is>
      </c>
      <c r="Q31" t="inlineStr">
        <is>
          <t>99991231</t>
        </is>
      </c>
    </row>
    <row r="32">
      <c r="A32" t="inlineStr">
        <is>
          <t>900003903DW55D30410217663</t>
        </is>
      </c>
      <c r="B32" t="inlineStr">
        <is>
          <t>900003903</t>
        </is>
      </c>
      <c r="C32" t="inlineStr">
        <is>
          <t>DW55</t>
        </is>
      </c>
      <c r="D32" t="inlineStr">
        <is>
          <t>D304</t>
        </is>
      </c>
      <c r="E32" t="inlineStr">
        <is>
          <t>1</t>
        </is>
      </c>
      <c r="F32" t="inlineStr">
        <is>
          <t>10217663</t>
        </is>
      </c>
      <c r="H32" t="inlineStr"/>
      <c r="J32" t="n">
        <v>99.52</v>
      </c>
      <c r="K32" t="inlineStr"/>
      <c r="M32" t="inlineStr">
        <is>
          <t>TN</t>
        </is>
      </c>
      <c r="N32" t="inlineStr"/>
      <c r="P32" t="inlineStr">
        <is>
          <t>20260116</t>
        </is>
      </c>
      <c r="Q32" t="inlineStr">
        <is>
          <t>99991231</t>
        </is>
      </c>
    </row>
    <row r="33">
      <c r="A33" t="inlineStr">
        <is>
          <t>900003903DW55D30910217663</t>
        </is>
      </c>
      <c r="B33" t="inlineStr">
        <is>
          <t>900003903</t>
        </is>
      </c>
      <c r="C33" t="inlineStr">
        <is>
          <t>DW55</t>
        </is>
      </c>
      <c r="D33" t="inlineStr">
        <is>
          <t>D309</t>
        </is>
      </c>
      <c r="E33" t="inlineStr">
        <is>
          <t>1</t>
        </is>
      </c>
      <c r="F33" t="inlineStr">
        <is>
          <t>10217663</t>
        </is>
      </c>
      <c r="H33" t="inlineStr"/>
      <c r="J33" t="n">
        <v>32.28</v>
      </c>
      <c r="K33" t="inlineStr"/>
      <c r="M33" t="inlineStr">
        <is>
          <t>TN</t>
        </is>
      </c>
      <c r="N33" t="inlineStr"/>
      <c r="P33" t="inlineStr">
        <is>
          <t>20251226</t>
        </is>
      </c>
      <c r="Q33" t="inlineStr">
        <is>
          <t>99991231</t>
        </is>
      </c>
    </row>
    <row r="34">
      <c r="A34" t="inlineStr">
        <is>
          <t>900003903DW55D31510000834</t>
        </is>
      </c>
      <c r="B34" t="inlineStr">
        <is>
          <t>900003903</t>
        </is>
      </c>
      <c r="C34" t="inlineStr">
        <is>
          <t>DW55</t>
        </is>
      </c>
      <c r="D34" t="inlineStr">
        <is>
          <t>D315</t>
        </is>
      </c>
      <c r="E34" t="inlineStr">
        <is>
          <t>1</t>
        </is>
      </c>
      <c r="F34" t="inlineStr">
        <is>
          <t>10000834</t>
        </is>
      </c>
      <c r="H34" t="inlineStr"/>
      <c r="J34" t="n">
        <v>70.28</v>
      </c>
      <c r="K34" t="inlineStr"/>
      <c r="M34" t="inlineStr">
        <is>
          <t>TN</t>
        </is>
      </c>
      <c r="N34" t="inlineStr"/>
      <c r="P34" t="inlineStr">
        <is>
          <t>20220516</t>
        </is>
      </c>
      <c r="Q34" t="inlineStr">
        <is>
          <t>20240320</t>
        </is>
      </c>
    </row>
    <row r="35">
      <c r="A35" t="inlineStr">
        <is>
          <t>900003903DW55D32510214548</t>
        </is>
      </c>
      <c r="B35" t="inlineStr">
        <is>
          <t>900003903</t>
        </is>
      </c>
      <c r="C35" t="inlineStr">
        <is>
          <t>DW55</t>
        </is>
      </c>
      <c r="D35" t="inlineStr">
        <is>
          <t>D325</t>
        </is>
      </c>
      <c r="E35" t="inlineStr">
        <is>
          <t>1</t>
        </is>
      </c>
      <c r="F35" t="inlineStr">
        <is>
          <t>10214548</t>
        </is>
      </c>
      <c r="H35" t="inlineStr"/>
      <c r="J35" t="n">
        <v>231.86</v>
      </c>
      <c r="K35" t="inlineStr"/>
      <c r="M35" t="inlineStr">
        <is>
          <t>TN</t>
        </is>
      </c>
      <c r="N35" t="inlineStr"/>
      <c r="P35" t="inlineStr">
        <is>
          <t>20251226</t>
        </is>
      </c>
      <c r="Q35" t="inlineStr">
        <is>
          <t>99991231</t>
        </is>
      </c>
    </row>
    <row r="36">
      <c r="A36" t="inlineStr">
        <is>
          <t>900003903DW55D32510217663</t>
        </is>
      </c>
      <c r="B36" t="inlineStr">
        <is>
          <t>900003903</t>
        </is>
      </c>
      <c r="C36" t="inlineStr">
        <is>
          <t>DW55</t>
        </is>
      </c>
      <c r="D36" t="inlineStr">
        <is>
          <t>D325</t>
        </is>
      </c>
      <c r="E36" t="inlineStr">
        <is>
          <t>1</t>
        </is>
      </c>
      <c r="F36" t="inlineStr">
        <is>
          <t>10217663</t>
        </is>
      </c>
      <c r="H36" t="inlineStr"/>
      <c r="J36" t="n">
        <v>269.52</v>
      </c>
      <c r="K36" t="inlineStr"/>
      <c r="M36" t="inlineStr">
        <is>
          <t>TN</t>
        </is>
      </c>
      <c r="N36" t="inlineStr"/>
      <c r="P36" t="inlineStr">
        <is>
          <t>20251226</t>
        </is>
      </c>
      <c r="Q36" t="inlineStr">
        <is>
          <t>99991231</t>
        </is>
      </c>
    </row>
    <row r="37">
      <c r="A37" t="inlineStr">
        <is>
          <t>900003903DW55D32610000834</t>
        </is>
      </c>
      <c r="B37" t="inlineStr">
        <is>
          <t>900003903</t>
        </is>
      </c>
      <c r="C37" t="inlineStr">
        <is>
          <t>DW55</t>
        </is>
      </c>
      <c r="D37" t="inlineStr">
        <is>
          <t>D326</t>
        </is>
      </c>
      <c r="E37" t="inlineStr">
        <is>
          <t>1</t>
        </is>
      </c>
      <c r="F37" t="inlineStr">
        <is>
          <t>10000834</t>
        </is>
      </c>
      <c r="H37" t="inlineStr"/>
      <c r="J37" t="n">
        <v>57.14</v>
      </c>
      <c r="K37" t="inlineStr"/>
      <c r="M37" t="inlineStr">
        <is>
          <t>TN</t>
        </is>
      </c>
      <c r="N37" t="inlineStr"/>
      <c r="P37" t="inlineStr">
        <is>
          <t>20220516</t>
        </is>
      </c>
      <c r="Q37" t="inlineStr">
        <is>
          <t>20240320</t>
        </is>
      </c>
    </row>
    <row r="38">
      <c r="A38" t="inlineStr">
        <is>
          <t>900003903DW55D34210217663</t>
        </is>
      </c>
      <c r="B38" t="inlineStr">
        <is>
          <t>900003903</t>
        </is>
      </c>
      <c r="C38" t="inlineStr">
        <is>
          <t>DW55</t>
        </is>
      </c>
      <c r="D38" t="inlineStr">
        <is>
          <t>D342</t>
        </is>
      </c>
      <c r="E38" t="inlineStr">
        <is>
          <t>1</t>
        </is>
      </c>
      <c r="F38" t="inlineStr">
        <is>
          <t>10217663</t>
        </is>
      </c>
      <c r="H38" t="inlineStr"/>
      <c r="J38" t="n">
        <v>88.7</v>
      </c>
      <c r="K38" t="inlineStr"/>
      <c r="M38" t="inlineStr">
        <is>
          <t>TN</t>
        </is>
      </c>
      <c r="N38" t="inlineStr"/>
      <c r="P38" t="inlineStr">
        <is>
          <t>20251226</t>
        </is>
      </c>
      <c r="Q38" t="inlineStr">
        <is>
          <t>99991231</t>
        </is>
      </c>
    </row>
    <row r="39">
      <c r="A39" t="inlineStr">
        <is>
          <t>900003903DW55D34810217663</t>
        </is>
      </c>
      <c r="B39" t="inlineStr">
        <is>
          <t>900003903</t>
        </is>
      </c>
      <c r="C39" t="inlineStr">
        <is>
          <t>DW55</t>
        </is>
      </c>
      <c r="D39" t="inlineStr">
        <is>
          <t>D348</t>
        </is>
      </c>
      <c r="E39" t="inlineStr">
        <is>
          <t>1</t>
        </is>
      </c>
      <c r="F39" t="inlineStr">
        <is>
          <t>10217663</t>
        </is>
      </c>
      <c r="H39" t="inlineStr"/>
      <c r="J39" t="n">
        <v>371.54</v>
      </c>
      <c r="K39" t="inlineStr"/>
      <c r="M39" t="inlineStr">
        <is>
          <t>TN</t>
        </is>
      </c>
      <c r="N39" t="inlineStr"/>
      <c r="P39" t="inlineStr">
        <is>
          <t>20240726</t>
        </is>
      </c>
      <c r="Q39" t="inlineStr">
        <is>
          <t>20251031</t>
        </is>
      </c>
    </row>
    <row r="40">
      <c r="A40" t="inlineStr">
        <is>
          <t>900003929DW55D28410000372</t>
        </is>
      </c>
      <c r="B40" t="inlineStr">
        <is>
          <t>900003929</t>
        </is>
      </c>
      <c r="C40" t="inlineStr">
        <is>
          <t>DW55</t>
        </is>
      </c>
      <c r="D40" t="inlineStr">
        <is>
          <t>D284</t>
        </is>
      </c>
      <c r="E40" t="inlineStr">
        <is>
          <t>1</t>
        </is>
      </c>
      <c r="F40" t="inlineStr">
        <is>
          <t>10000372</t>
        </is>
      </c>
      <c r="H40" t="inlineStr"/>
      <c r="J40" t="n">
        <v>123.45</v>
      </c>
      <c r="K40" t="inlineStr"/>
      <c r="M40" t="inlineStr">
        <is>
          <t>TN</t>
        </is>
      </c>
      <c r="N40" t="inlineStr"/>
      <c r="P40" t="inlineStr">
        <is>
          <t>20260625</t>
        </is>
      </c>
      <c r="Q40" t="inlineStr">
        <is>
          <t>99991231</t>
        </is>
      </c>
    </row>
    <row r="41">
      <c r="A41" t="inlineStr">
        <is>
          <t>900003929DW55D30410000372</t>
        </is>
      </c>
      <c r="B41" t="inlineStr">
        <is>
          <t>900003929</t>
        </is>
      </c>
      <c r="C41" t="inlineStr">
        <is>
          <t>DW55</t>
        </is>
      </c>
      <c r="D41" t="inlineStr">
        <is>
          <t>D304</t>
        </is>
      </c>
      <c r="E41" t="inlineStr">
        <is>
          <t>1</t>
        </is>
      </c>
      <c r="F41" t="inlineStr">
        <is>
          <t>10000372</t>
        </is>
      </c>
      <c r="H41" t="inlineStr"/>
      <c r="J41" t="n">
        <v>76.66</v>
      </c>
      <c r="K41" t="inlineStr"/>
      <c r="M41" t="inlineStr">
        <is>
          <t>TN</t>
        </is>
      </c>
      <c r="N41" t="inlineStr"/>
      <c r="P41" t="inlineStr">
        <is>
          <t>20260312</t>
        </is>
      </c>
      <c r="Q41" t="inlineStr">
        <is>
          <t>99991231</t>
        </is>
      </c>
    </row>
    <row r="42">
      <c r="A42" t="inlineStr">
        <is>
          <t>900003929DW55D30910000372</t>
        </is>
      </c>
      <c r="B42" t="inlineStr">
        <is>
          <t>900003929</t>
        </is>
      </c>
      <c r="C42" t="inlineStr">
        <is>
          <t>DW55</t>
        </is>
      </c>
      <c r="D42" t="inlineStr">
        <is>
          <t>D309</t>
        </is>
      </c>
      <c r="E42" t="inlineStr">
        <is>
          <t>1</t>
        </is>
      </c>
      <c r="F42" t="inlineStr">
        <is>
          <t>10000372</t>
        </is>
      </c>
      <c r="H42" t="inlineStr"/>
      <c r="J42" t="n">
        <v>179.56</v>
      </c>
      <c r="K42" t="inlineStr"/>
      <c r="M42" t="inlineStr">
        <is>
          <t>TN</t>
        </is>
      </c>
      <c r="N42" t="inlineStr"/>
      <c r="P42" t="inlineStr">
        <is>
          <t>20260625</t>
        </is>
      </c>
      <c r="Q42" t="inlineStr">
        <is>
          <t>99991231</t>
        </is>
      </c>
    </row>
    <row r="43">
      <c r="A43" t="inlineStr">
        <is>
          <t>900003929DW55D34210000372</t>
        </is>
      </c>
      <c r="B43" t="inlineStr">
        <is>
          <t>900003929</t>
        </is>
      </c>
      <c r="C43" t="inlineStr">
        <is>
          <t>DW55</t>
        </is>
      </c>
      <c r="D43" t="inlineStr">
        <is>
          <t>D342</t>
        </is>
      </c>
      <c r="E43" t="inlineStr">
        <is>
          <t>1</t>
        </is>
      </c>
      <c r="F43" t="inlineStr">
        <is>
          <t>10000372</t>
        </is>
      </c>
      <c r="H43" t="inlineStr"/>
      <c r="J43" t="n">
        <v>211.11</v>
      </c>
      <c r="K43" t="inlineStr"/>
      <c r="M43" t="inlineStr">
        <is>
          <t>TN</t>
        </is>
      </c>
      <c r="N43" t="inlineStr"/>
      <c r="P43" t="inlineStr">
        <is>
          <t>20260625</t>
        </is>
      </c>
      <c r="Q43" t="inlineStr">
        <is>
          <t>99991231</t>
        </is>
      </c>
    </row>
    <row r="44">
      <c r="A44" t="inlineStr">
        <is>
          <t>900004612DW55D28410000178</t>
        </is>
      </c>
      <c r="B44" t="inlineStr">
        <is>
          <t>900004612</t>
        </is>
      </c>
      <c r="C44" t="inlineStr">
        <is>
          <t>DW55</t>
        </is>
      </c>
      <c r="D44" t="inlineStr">
        <is>
          <t>D284</t>
        </is>
      </c>
      <c r="E44" t="inlineStr">
        <is>
          <t>4</t>
        </is>
      </c>
      <c r="F44" t="inlineStr">
        <is>
          <t>10000178</t>
        </is>
      </c>
      <c r="H44" t="inlineStr"/>
      <c r="J44" t="n">
        <v>305.24</v>
      </c>
      <c r="K44" t="inlineStr"/>
      <c r="M44" t="inlineStr">
        <is>
          <t>TN</t>
        </is>
      </c>
      <c r="N44" t="inlineStr"/>
      <c r="P44" t="inlineStr">
        <is>
          <t>20220629</t>
        </is>
      </c>
      <c r="Q44" t="inlineStr">
        <is>
          <t>20240710</t>
        </is>
      </c>
    </row>
    <row r="45">
      <c r="A45" t="inlineStr">
        <is>
          <t>900004612DW55D28410000541</t>
        </is>
      </c>
      <c r="B45" t="inlineStr">
        <is>
          <t>900004612</t>
        </is>
      </c>
      <c r="C45" t="inlineStr">
        <is>
          <t>DW55</t>
        </is>
      </c>
      <c r="D45" t="inlineStr">
        <is>
          <t>D284</t>
        </is>
      </c>
      <c r="E45" t="inlineStr">
        <is>
          <t>4</t>
        </is>
      </c>
      <c r="F45" t="inlineStr">
        <is>
          <t>10000541</t>
        </is>
      </c>
      <c r="H45" t="inlineStr"/>
      <c r="J45" t="n">
        <v>242.41</v>
      </c>
      <c r="K45" t="inlineStr"/>
      <c r="M45" t="inlineStr">
        <is>
          <t>TN</t>
        </is>
      </c>
      <c r="N45" t="inlineStr"/>
      <c r="P45" t="inlineStr">
        <is>
          <t>20220629</t>
        </is>
      </c>
      <c r="Q45" t="inlineStr">
        <is>
          <t>20240710</t>
        </is>
      </c>
    </row>
    <row r="46">
      <c r="A46" t="inlineStr">
        <is>
          <t>900004612DW55D28410000826</t>
        </is>
      </c>
      <c r="B46" t="inlineStr">
        <is>
          <t>900004612</t>
        </is>
      </c>
      <c r="C46" t="inlineStr">
        <is>
          <t>DW55</t>
        </is>
      </c>
      <c r="D46" t="inlineStr">
        <is>
          <t>D284</t>
        </is>
      </c>
      <c r="E46" t="inlineStr">
        <is>
          <t>4</t>
        </is>
      </c>
      <c r="F46" t="inlineStr">
        <is>
          <t>10000826</t>
        </is>
      </c>
      <c r="H46" t="inlineStr"/>
      <c r="J46" t="n">
        <v>310.34</v>
      </c>
      <c r="K46" t="inlineStr"/>
      <c r="M46" t="inlineStr">
        <is>
          <t>TN</t>
        </is>
      </c>
      <c r="N46" t="inlineStr"/>
      <c r="P46" t="inlineStr">
        <is>
          <t>20220629</t>
        </is>
      </c>
      <c r="Q46" t="inlineStr">
        <is>
          <t>20240710</t>
        </is>
      </c>
    </row>
    <row r="47">
      <c r="A47" t="inlineStr">
        <is>
          <t>900004612DW55D30910000178</t>
        </is>
      </c>
      <c r="B47" t="inlineStr">
        <is>
          <t>900004612</t>
        </is>
      </c>
      <c r="C47" t="inlineStr">
        <is>
          <t>DW55</t>
        </is>
      </c>
      <c r="D47" t="inlineStr">
        <is>
          <t>D309</t>
        </is>
      </c>
      <c r="E47" t="inlineStr">
        <is>
          <t>4</t>
        </is>
      </c>
      <c r="F47" t="inlineStr">
        <is>
          <t>10000178</t>
        </is>
      </c>
      <c r="H47" t="inlineStr"/>
      <c r="J47" t="n">
        <v>305.24</v>
      </c>
      <c r="K47" t="inlineStr"/>
      <c r="M47" t="inlineStr">
        <is>
          <t>TN</t>
        </is>
      </c>
      <c r="N47" t="inlineStr"/>
      <c r="P47" t="inlineStr">
        <is>
          <t>20220629</t>
        </is>
      </c>
      <c r="Q47" t="inlineStr">
        <is>
          <t>20240710</t>
        </is>
      </c>
    </row>
    <row r="48">
      <c r="A48" t="inlineStr">
        <is>
          <t>900004612DW55D30910000541</t>
        </is>
      </c>
      <c r="B48" t="inlineStr">
        <is>
          <t>900004612</t>
        </is>
      </c>
      <c r="C48" t="inlineStr">
        <is>
          <t>DW55</t>
        </is>
      </c>
      <c r="D48" t="inlineStr">
        <is>
          <t>D309</t>
        </is>
      </c>
      <c r="E48" t="inlineStr">
        <is>
          <t>4</t>
        </is>
      </c>
      <c r="F48" t="inlineStr">
        <is>
          <t>10000541</t>
        </is>
      </c>
      <c r="H48" t="inlineStr"/>
      <c r="J48" t="n">
        <v>239.14</v>
      </c>
      <c r="K48" t="inlineStr"/>
      <c r="M48" t="inlineStr">
        <is>
          <t>TN</t>
        </is>
      </c>
      <c r="N48" t="inlineStr"/>
      <c r="P48" t="inlineStr">
        <is>
          <t>20220629</t>
        </is>
      </c>
      <c r="Q48" t="inlineStr">
        <is>
          <t>20240710</t>
        </is>
      </c>
    </row>
    <row r="49">
      <c r="A49" t="inlineStr">
        <is>
          <t>900004612DW55D30910000826</t>
        </is>
      </c>
      <c r="B49" t="inlineStr">
        <is>
          <t>900004612</t>
        </is>
      </c>
      <c r="C49" t="inlineStr">
        <is>
          <t>DW55</t>
        </is>
      </c>
      <c r="D49" t="inlineStr">
        <is>
          <t>D309</t>
        </is>
      </c>
      <c r="E49" t="inlineStr">
        <is>
          <t>4</t>
        </is>
      </c>
      <c r="F49" t="inlineStr">
        <is>
          <t>10000826</t>
        </is>
      </c>
      <c r="H49" t="inlineStr"/>
      <c r="J49" t="n">
        <v>310.34</v>
      </c>
      <c r="K49" t="inlineStr"/>
      <c r="M49" t="inlineStr">
        <is>
          <t>TN</t>
        </is>
      </c>
      <c r="N49" t="inlineStr"/>
      <c r="P49" t="inlineStr">
        <is>
          <t>20220629</t>
        </is>
      </c>
      <c r="Q49" t="inlineStr">
        <is>
          <t>20240710</t>
        </is>
      </c>
    </row>
    <row r="50">
      <c r="A50" t="inlineStr">
        <is>
          <t>900004612DW55D32510000541</t>
        </is>
      </c>
      <c r="B50" t="inlineStr">
        <is>
          <t>900004612</t>
        </is>
      </c>
      <c r="C50" t="inlineStr">
        <is>
          <t>DW55</t>
        </is>
      </c>
      <c r="D50" t="inlineStr">
        <is>
          <t>D325</t>
        </is>
      </c>
      <c r="E50" t="inlineStr">
        <is>
          <t>4</t>
        </is>
      </c>
      <c r="F50" t="inlineStr">
        <is>
          <t>10000541</t>
        </is>
      </c>
      <c r="H50" t="inlineStr"/>
      <c r="J50" t="n">
        <v>373.3</v>
      </c>
      <c r="K50" t="inlineStr"/>
      <c r="M50" t="inlineStr">
        <is>
          <t>TN</t>
        </is>
      </c>
      <c r="N50" t="inlineStr"/>
      <c r="P50" t="inlineStr">
        <is>
          <t>20220629</t>
        </is>
      </c>
      <c r="Q50" t="inlineStr">
        <is>
          <t>20240710</t>
        </is>
      </c>
    </row>
    <row r="51">
      <c r="A51" t="inlineStr">
        <is>
          <t>900004612DW55D34210000178</t>
        </is>
      </c>
      <c r="B51" t="inlineStr">
        <is>
          <t>900004612</t>
        </is>
      </c>
      <c r="C51" t="inlineStr">
        <is>
          <t>DW55</t>
        </is>
      </c>
      <c r="D51" t="inlineStr">
        <is>
          <t>D342</t>
        </is>
      </c>
      <c r="E51" t="inlineStr">
        <is>
          <t>4</t>
        </is>
      </c>
      <c r="F51" t="inlineStr">
        <is>
          <t>10000178</t>
        </is>
      </c>
      <c r="H51" t="inlineStr"/>
      <c r="J51" t="n">
        <v>338.42</v>
      </c>
      <c r="K51" t="inlineStr"/>
      <c r="M51" t="inlineStr">
        <is>
          <t>TN</t>
        </is>
      </c>
      <c r="N51" t="inlineStr"/>
      <c r="P51" t="inlineStr">
        <is>
          <t>20220629</t>
        </is>
      </c>
      <c r="Q51" t="inlineStr">
        <is>
          <t>20240710</t>
        </is>
      </c>
    </row>
    <row r="52">
      <c r="A52" t="inlineStr">
        <is>
          <t>900004612DW55D34210000541</t>
        </is>
      </c>
      <c r="B52" t="inlineStr">
        <is>
          <t>900004612</t>
        </is>
      </c>
      <c r="C52" t="inlineStr">
        <is>
          <t>DW55</t>
        </is>
      </c>
      <c r="D52" t="inlineStr">
        <is>
          <t>D342</t>
        </is>
      </c>
      <c r="E52" t="inlineStr">
        <is>
          <t>4</t>
        </is>
      </c>
      <c r="F52" t="inlineStr">
        <is>
          <t>10000541</t>
        </is>
      </c>
      <c r="H52" t="inlineStr"/>
      <c r="J52" t="n">
        <v>242.41</v>
      </c>
      <c r="K52" t="inlineStr"/>
      <c r="M52" t="inlineStr">
        <is>
          <t>TN</t>
        </is>
      </c>
      <c r="N52" t="inlineStr"/>
      <c r="P52" t="inlineStr">
        <is>
          <t>20220629</t>
        </is>
      </c>
      <c r="Q52" t="inlineStr">
        <is>
          <t>20240710</t>
        </is>
      </c>
    </row>
    <row r="53">
      <c r="A53" t="inlineStr">
        <is>
          <t>900004612DW55D34210000826</t>
        </is>
      </c>
      <c r="B53" t="inlineStr">
        <is>
          <t>900004612</t>
        </is>
      </c>
      <c r="C53" t="inlineStr">
        <is>
          <t>DW55</t>
        </is>
      </c>
      <c r="D53" t="inlineStr">
        <is>
          <t>D342</t>
        </is>
      </c>
      <c r="E53" t="inlineStr">
        <is>
          <t>4</t>
        </is>
      </c>
      <c r="F53" t="inlineStr">
        <is>
          <t>10000826</t>
        </is>
      </c>
      <c r="H53" t="inlineStr"/>
      <c r="J53" t="n">
        <v>344.83</v>
      </c>
      <c r="K53" t="inlineStr"/>
      <c r="M53" t="inlineStr">
        <is>
          <t>TN</t>
        </is>
      </c>
      <c r="N53" t="inlineStr"/>
      <c r="P53" t="inlineStr">
        <is>
          <t>20220629</t>
        </is>
      </c>
      <c r="Q53" t="inlineStr">
        <is>
          <t>20240710</t>
        </is>
      </c>
    </row>
    <row r="54">
      <c r="A54" t="inlineStr">
        <is>
          <t>900004612DW55D34810000541</t>
        </is>
      </c>
      <c r="B54" t="inlineStr">
        <is>
          <t>900004612</t>
        </is>
      </c>
      <c r="C54" t="inlineStr">
        <is>
          <t>DW55</t>
        </is>
      </c>
      <c r="D54" t="inlineStr">
        <is>
          <t>D348</t>
        </is>
      </c>
      <c r="E54" t="inlineStr">
        <is>
          <t>4</t>
        </is>
      </c>
      <c r="F54" t="inlineStr">
        <is>
          <t>10000541</t>
        </is>
      </c>
      <c r="H54" t="inlineStr"/>
      <c r="J54" t="n">
        <v>438.74</v>
      </c>
      <c r="K54" t="inlineStr"/>
      <c r="M54" t="inlineStr">
        <is>
          <t>TN</t>
        </is>
      </c>
      <c r="N54" t="inlineStr"/>
      <c r="P54" t="inlineStr">
        <is>
          <t>20220629</t>
        </is>
      </c>
      <c r="Q54" t="inlineStr">
        <is>
          <t>20240710</t>
        </is>
      </c>
    </row>
    <row r="55">
      <c r="A55" t="inlineStr">
        <is>
          <t>900005010DW55D32510000372</t>
        </is>
      </c>
      <c r="B55" t="inlineStr">
        <is>
          <t>900005010</t>
        </is>
      </c>
      <c r="C55" t="inlineStr">
        <is>
          <t>DW55</t>
        </is>
      </c>
      <c r="D55" t="inlineStr">
        <is>
          <t>D325</t>
        </is>
      </c>
      <c r="E55" t="inlineStr">
        <is>
          <t>1</t>
        </is>
      </c>
      <c r="F55" t="inlineStr">
        <is>
          <t>10000372</t>
        </is>
      </c>
      <c r="H55" t="inlineStr"/>
      <c r="J55" t="n">
        <v>124.17</v>
      </c>
      <c r="K55" t="inlineStr"/>
      <c r="M55" t="inlineStr">
        <is>
          <t>TN</t>
        </is>
      </c>
      <c r="N55" t="inlineStr"/>
      <c r="P55" t="inlineStr">
        <is>
          <t>20210620</t>
        </is>
      </c>
      <c r="Q55" t="inlineStr">
        <is>
          <t>20240320</t>
        </is>
      </c>
    </row>
    <row r="56">
      <c r="A56" t="inlineStr">
        <is>
          <t>900005010DW55D32510106911</t>
        </is>
      </c>
      <c r="B56" t="inlineStr">
        <is>
          <t>900005010</t>
        </is>
      </c>
      <c r="C56" t="inlineStr">
        <is>
          <t>DW55</t>
        </is>
      </c>
      <c r="D56" t="inlineStr">
        <is>
          <t>D325</t>
        </is>
      </c>
      <c r="E56" t="inlineStr">
        <is>
          <t>1</t>
        </is>
      </c>
      <c r="F56" t="inlineStr">
        <is>
          <t>10106911</t>
        </is>
      </c>
      <c r="H56" t="inlineStr"/>
      <c r="J56" t="n">
        <v>115.42</v>
      </c>
      <c r="K56" t="inlineStr"/>
      <c r="M56" t="inlineStr">
        <is>
          <t>TN</t>
        </is>
      </c>
      <c r="N56" t="inlineStr"/>
      <c r="P56" t="inlineStr">
        <is>
          <t>20210620</t>
        </is>
      </c>
      <c r="Q56" t="inlineStr">
        <is>
          <t>20240320</t>
        </is>
      </c>
    </row>
    <row r="57">
      <c r="A57" t="inlineStr">
        <is>
          <t>900005010DW55ER6810000372</t>
        </is>
      </c>
      <c r="B57" t="inlineStr">
        <is>
          <t>900005010</t>
        </is>
      </c>
      <c r="C57" t="inlineStr">
        <is>
          <t>DW55</t>
        </is>
      </c>
      <c r="D57" t="inlineStr">
        <is>
          <t>ER68</t>
        </is>
      </c>
      <c r="E57" t="inlineStr">
        <is>
          <t>1</t>
        </is>
      </c>
      <c r="F57" t="inlineStr">
        <is>
          <t>10000372</t>
        </is>
      </c>
      <c r="H57" t="inlineStr"/>
      <c r="J57" t="n">
        <v>345.3</v>
      </c>
      <c r="K57" t="inlineStr"/>
      <c r="M57" t="inlineStr">
        <is>
          <t>TN</t>
        </is>
      </c>
      <c r="N57" t="inlineStr"/>
      <c r="P57" t="inlineStr">
        <is>
          <t>20210620</t>
        </is>
      </c>
      <c r="Q57" t="inlineStr">
        <is>
          <t>20240320</t>
        </is>
      </c>
    </row>
    <row r="58">
      <c r="A58" t="inlineStr">
        <is>
          <t>900005011DW55D32510000372</t>
        </is>
      </c>
      <c r="B58" t="inlineStr">
        <is>
          <t>900005011</t>
        </is>
      </c>
      <c r="C58" t="inlineStr">
        <is>
          <t>DW55</t>
        </is>
      </c>
      <c r="D58" t="inlineStr">
        <is>
          <t>D325</t>
        </is>
      </c>
      <c r="E58" t="inlineStr">
        <is>
          <t>4</t>
        </is>
      </c>
      <c r="F58" t="inlineStr">
        <is>
          <t>10000372</t>
        </is>
      </c>
      <c r="H58" t="inlineStr"/>
      <c r="J58" t="n">
        <v>138</v>
      </c>
      <c r="K58" t="inlineStr"/>
      <c r="M58" t="inlineStr">
        <is>
          <t>TN</t>
        </is>
      </c>
      <c r="N58" t="inlineStr"/>
      <c r="P58" t="inlineStr">
        <is>
          <t>20220504</t>
        </is>
      </c>
      <c r="Q58" t="inlineStr">
        <is>
          <t>99991231</t>
        </is>
      </c>
    </row>
    <row r="59">
      <c r="A59" t="inlineStr">
        <is>
          <t>900005011DW55D32510000673</t>
        </is>
      </c>
      <c r="B59" t="inlineStr">
        <is>
          <t>900005011</t>
        </is>
      </c>
      <c r="C59" t="inlineStr">
        <is>
          <t>DW55</t>
        </is>
      </c>
      <c r="D59" t="inlineStr">
        <is>
          <t>D325</t>
        </is>
      </c>
      <c r="E59" t="inlineStr">
        <is>
          <t>4</t>
        </is>
      </c>
      <c r="F59" t="inlineStr">
        <is>
          <t>10000673</t>
        </is>
      </c>
      <c r="H59" t="inlineStr"/>
      <c r="J59" t="n">
        <v>164.36</v>
      </c>
      <c r="K59" t="inlineStr"/>
      <c r="M59" t="inlineStr">
        <is>
          <t>TN</t>
        </is>
      </c>
      <c r="N59" t="inlineStr"/>
      <c r="P59" t="inlineStr">
        <is>
          <t>20220516</t>
        </is>
      </c>
      <c r="Q59" t="inlineStr">
        <is>
          <t>20240930</t>
        </is>
      </c>
    </row>
    <row r="60">
      <c r="A60" t="inlineStr">
        <is>
          <t>900005011DW55D32510023592</t>
        </is>
      </c>
      <c r="B60" t="inlineStr">
        <is>
          <t>900005011</t>
        </is>
      </c>
      <c r="C60" t="inlineStr">
        <is>
          <t>DW55</t>
        </is>
      </c>
      <c r="D60" t="inlineStr">
        <is>
          <t>D325</t>
        </is>
      </c>
      <c r="E60" t="inlineStr">
        <is>
          <t>4</t>
        </is>
      </c>
      <c r="F60" t="inlineStr">
        <is>
          <t>10023592</t>
        </is>
      </c>
      <c r="H60" t="inlineStr"/>
      <c r="J60" t="n">
        <v>147.36</v>
      </c>
      <c r="K60" t="inlineStr"/>
      <c r="M60" t="inlineStr">
        <is>
          <t>TN</t>
        </is>
      </c>
      <c r="N60" t="inlineStr"/>
      <c r="P60" t="inlineStr">
        <is>
          <t>20220504</t>
        </is>
      </c>
      <c r="Q60" t="inlineStr">
        <is>
          <t>99991231</t>
        </is>
      </c>
    </row>
    <row r="61">
      <c r="A61" t="inlineStr">
        <is>
          <t>900005011DW55D32510106911</t>
        </is>
      </c>
      <c r="B61" t="inlineStr">
        <is>
          <t>900005011</t>
        </is>
      </c>
      <c r="C61" t="inlineStr">
        <is>
          <t>DW55</t>
        </is>
      </c>
      <c r="D61" t="inlineStr">
        <is>
          <t>D325</t>
        </is>
      </c>
      <c r="E61" t="inlineStr">
        <is>
          <t>4</t>
        </is>
      </c>
      <c r="F61" t="inlineStr">
        <is>
          <t>10106911</t>
        </is>
      </c>
      <c r="H61" t="inlineStr"/>
      <c r="J61" t="n">
        <v>89.89</v>
      </c>
      <c r="K61" t="inlineStr"/>
      <c r="M61" t="inlineStr">
        <is>
          <t>TN</t>
        </is>
      </c>
      <c r="N61" t="inlineStr"/>
      <c r="P61" t="inlineStr">
        <is>
          <t>20220516</t>
        </is>
      </c>
      <c r="Q61" t="inlineStr">
        <is>
          <t>20240930</t>
        </is>
      </c>
    </row>
    <row r="62">
      <c r="A62" t="inlineStr">
        <is>
          <t>900005011DW55D34810000372</t>
        </is>
      </c>
      <c r="B62" t="inlineStr">
        <is>
          <t>900005011</t>
        </is>
      </c>
      <c r="C62" t="inlineStr">
        <is>
          <t>DW55</t>
        </is>
      </c>
      <c r="D62" t="inlineStr">
        <is>
          <t>D348</t>
        </is>
      </c>
      <c r="E62" t="inlineStr">
        <is>
          <t>4</t>
        </is>
      </c>
      <c r="F62" t="inlineStr">
        <is>
          <t>10000372</t>
        </is>
      </c>
      <c r="H62" t="inlineStr"/>
      <c r="J62" t="n">
        <v>172.65</v>
      </c>
      <c r="K62" t="inlineStr"/>
      <c r="M62" t="inlineStr">
        <is>
          <t>TN</t>
        </is>
      </c>
      <c r="N62" t="inlineStr"/>
      <c r="P62" t="inlineStr">
        <is>
          <t>20240726</t>
        </is>
      </c>
      <c r="Q62" t="inlineStr">
        <is>
          <t>20251031</t>
        </is>
      </c>
    </row>
    <row r="63">
      <c r="A63" t="inlineStr">
        <is>
          <t>900005011DW55D34810000373</t>
        </is>
      </c>
      <c r="B63" t="inlineStr">
        <is>
          <t>900005011</t>
        </is>
      </c>
      <c r="C63" t="inlineStr">
        <is>
          <t>DW55</t>
        </is>
      </c>
      <c r="D63" t="inlineStr">
        <is>
          <t>D348</t>
        </is>
      </c>
      <c r="E63" t="inlineStr">
        <is>
          <t>4</t>
        </is>
      </c>
      <c r="F63" t="inlineStr">
        <is>
          <t>10000373</t>
        </is>
      </c>
      <c r="H63" t="inlineStr"/>
      <c r="J63" t="n">
        <v>716.85</v>
      </c>
      <c r="K63" t="inlineStr"/>
      <c r="M63" t="inlineStr">
        <is>
          <t>TN</t>
        </is>
      </c>
      <c r="N63" t="inlineStr"/>
      <c r="P63" t="inlineStr">
        <is>
          <t>20240122</t>
        </is>
      </c>
      <c r="Q63" t="inlineStr">
        <is>
          <t>20241015</t>
        </is>
      </c>
    </row>
    <row r="64">
      <c r="A64" t="inlineStr">
        <is>
          <t>900005011DW55D34810000673</t>
        </is>
      </c>
      <c r="B64" t="inlineStr">
        <is>
          <t>900005011</t>
        </is>
      </c>
      <c r="C64" t="inlineStr">
        <is>
          <t>DW55</t>
        </is>
      </c>
      <c r="D64" t="inlineStr">
        <is>
          <t>D348</t>
        </is>
      </c>
      <c r="E64" t="inlineStr">
        <is>
          <t>4</t>
        </is>
      </c>
      <c r="F64" t="inlineStr">
        <is>
          <t>10000673</t>
        </is>
      </c>
      <c r="H64" t="inlineStr"/>
      <c r="J64" t="n">
        <v>727.27</v>
      </c>
      <c r="K64" t="inlineStr"/>
      <c r="M64" t="inlineStr">
        <is>
          <t>TN</t>
        </is>
      </c>
      <c r="N64" t="inlineStr"/>
      <c r="P64" t="inlineStr">
        <is>
          <t>20220516</t>
        </is>
      </c>
      <c r="Q64" t="inlineStr">
        <is>
          <t>20240930</t>
        </is>
      </c>
    </row>
    <row r="65">
      <c r="A65" t="inlineStr">
        <is>
          <t>900005417DW55D28410000834</t>
        </is>
      </c>
      <c r="B65" t="inlineStr">
        <is>
          <t>900005417</t>
        </is>
      </c>
      <c r="C65" t="inlineStr">
        <is>
          <t>DW55</t>
        </is>
      </c>
      <c r="D65" t="inlineStr">
        <is>
          <t>D284</t>
        </is>
      </c>
      <c r="E65" t="inlineStr">
        <is>
          <t>1</t>
        </is>
      </c>
      <c r="F65" t="inlineStr">
        <is>
          <t>10000834</t>
        </is>
      </c>
      <c r="H65" t="inlineStr"/>
      <c r="J65" t="n">
        <v>34.12</v>
      </c>
      <c r="K65" t="inlineStr"/>
      <c r="M65" t="inlineStr">
        <is>
          <t>TN</t>
        </is>
      </c>
      <c r="N65" t="inlineStr"/>
      <c r="P65" t="inlineStr">
        <is>
          <t>20210620</t>
        </is>
      </c>
      <c r="Q65" t="inlineStr">
        <is>
          <t>20240710</t>
        </is>
      </c>
    </row>
    <row r="66">
      <c r="A66" t="inlineStr">
        <is>
          <t>900005417DW55D30910000834</t>
        </is>
      </c>
      <c r="B66" t="inlineStr">
        <is>
          <t>900005417</t>
        </is>
      </c>
      <c r="C66" t="inlineStr">
        <is>
          <t>DW55</t>
        </is>
      </c>
      <c r="D66" t="inlineStr">
        <is>
          <t>D309</t>
        </is>
      </c>
      <c r="E66" t="inlineStr">
        <is>
          <t>1</t>
        </is>
      </c>
      <c r="F66" t="inlineStr">
        <is>
          <t>10000834</t>
        </is>
      </c>
      <c r="H66" t="inlineStr"/>
      <c r="J66" t="n">
        <v>39.6</v>
      </c>
      <c r="K66" t="inlineStr"/>
      <c r="M66" t="inlineStr">
        <is>
          <t>TN</t>
        </is>
      </c>
      <c r="N66" t="inlineStr"/>
      <c r="P66" t="inlineStr">
        <is>
          <t>20210620</t>
        </is>
      </c>
      <c r="Q66" t="inlineStr">
        <is>
          <t>20240710</t>
        </is>
      </c>
    </row>
    <row r="67">
      <c r="A67" t="inlineStr">
        <is>
          <t>900005417DW55D34210000834</t>
        </is>
      </c>
      <c r="B67" t="inlineStr">
        <is>
          <t>900005417</t>
        </is>
      </c>
      <c r="C67" t="inlineStr">
        <is>
          <t>DW55</t>
        </is>
      </c>
      <c r="D67" t="inlineStr">
        <is>
          <t>D342</t>
        </is>
      </c>
      <c r="E67" t="inlineStr">
        <is>
          <t>1</t>
        </is>
      </c>
      <c r="F67" t="inlineStr">
        <is>
          <t>10000834</t>
        </is>
      </c>
      <c r="H67" t="inlineStr"/>
      <c r="J67" t="n">
        <v>69.43000000000001</v>
      </c>
      <c r="K67" t="inlineStr"/>
      <c r="M67" t="inlineStr">
        <is>
          <t>TN</t>
        </is>
      </c>
      <c r="N67" t="inlineStr"/>
      <c r="P67" t="inlineStr">
        <is>
          <t>20210620</t>
        </is>
      </c>
      <c r="Q67" t="inlineStr">
        <is>
          <t>20240710</t>
        </is>
      </c>
    </row>
    <row r="68">
      <c r="A68" t="inlineStr">
        <is>
          <t>900005417DW55D34810000834</t>
        </is>
      </c>
      <c r="B68" t="inlineStr">
        <is>
          <t>900005417</t>
        </is>
      </c>
      <c r="C68" t="inlineStr">
        <is>
          <t>DW55</t>
        </is>
      </c>
      <c r="D68" t="inlineStr">
        <is>
          <t>D348</t>
        </is>
      </c>
      <c r="E68" t="inlineStr">
        <is>
          <t>1</t>
        </is>
      </c>
      <c r="F68" t="inlineStr">
        <is>
          <t>10000834</t>
        </is>
      </c>
      <c r="H68" t="inlineStr"/>
      <c r="J68" t="n">
        <v>42.16</v>
      </c>
      <c r="K68" t="inlineStr"/>
      <c r="M68" t="inlineStr">
        <is>
          <t>TN</t>
        </is>
      </c>
      <c r="N68" t="inlineStr"/>
      <c r="P68" t="inlineStr">
        <is>
          <t>20210620</t>
        </is>
      </c>
      <c r="Q68" t="inlineStr">
        <is>
          <t>20240710</t>
        </is>
      </c>
    </row>
    <row r="69">
      <c r="A69" t="inlineStr">
        <is>
          <t>900005887DW55D28410000561</t>
        </is>
      </c>
      <c r="B69" t="inlineStr">
        <is>
          <t>900005887</t>
        </is>
      </c>
      <c r="C69" t="inlineStr">
        <is>
          <t>DW55</t>
        </is>
      </c>
      <c r="D69" t="inlineStr">
        <is>
          <t>D284</t>
        </is>
      </c>
      <c r="E69" t="inlineStr">
        <is>
          <t>4</t>
        </is>
      </c>
      <c r="F69" t="inlineStr">
        <is>
          <t>10000561</t>
        </is>
      </c>
      <c r="H69" t="inlineStr"/>
      <c r="J69" t="n">
        <v>96.95999999999999</v>
      </c>
      <c r="K69" t="inlineStr"/>
      <c r="M69" t="inlineStr">
        <is>
          <t>TN</t>
        </is>
      </c>
      <c r="N69" t="inlineStr"/>
      <c r="P69" t="inlineStr">
        <is>
          <t>20240122</t>
        </is>
      </c>
      <c r="Q69" t="inlineStr">
        <is>
          <t>20241015</t>
        </is>
      </c>
    </row>
    <row r="70">
      <c r="A70" t="inlineStr">
        <is>
          <t>900005887DW55D34210000561</t>
        </is>
      </c>
      <c r="B70" t="inlineStr">
        <is>
          <t>900005887</t>
        </is>
      </c>
      <c r="C70" t="inlineStr">
        <is>
          <t>DW55</t>
        </is>
      </c>
      <c r="D70" t="inlineStr">
        <is>
          <t>D342</t>
        </is>
      </c>
      <c r="E70" t="inlineStr">
        <is>
          <t>4</t>
        </is>
      </c>
      <c r="F70" t="inlineStr">
        <is>
          <t>10000561</t>
        </is>
      </c>
      <c r="H70" t="inlineStr"/>
      <c r="J70" t="n">
        <v>160.39</v>
      </c>
      <c r="K70" t="inlineStr"/>
      <c r="M70" t="inlineStr">
        <is>
          <t>TN</t>
        </is>
      </c>
      <c r="N70" t="inlineStr"/>
      <c r="P70" t="inlineStr">
        <is>
          <t>20240122</t>
        </is>
      </c>
      <c r="Q70" t="inlineStr">
        <is>
          <t>20241015</t>
        </is>
      </c>
    </row>
    <row r="71">
      <c r="A71" t="inlineStr">
        <is>
          <t>900006304DW55D28410079650</t>
        </is>
      </c>
      <c r="B71" t="inlineStr">
        <is>
          <t>900006304</t>
        </is>
      </c>
      <c r="C71" t="inlineStr">
        <is>
          <t>DW55</t>
        </is>
      </c>
      <c r="D71" t="inlineStr">
        <is>
          <t>D284</t>
        </is>
      </c>
      <c r="E71" t="inlineStr">
        <is>
          <t>1</t>
        </is>
      </c>
      <c r="F71" t="inlineStr">
        <is>
          <t>10079650</t>
        </is>
      </c>
      <c r="H71" t="inlineStr"/>
      <c r="J71" t="n">
        <v>50.92</v>
      </c>
      <c r="K71" t="inlineStr"/>
      <c r="M71" t="inlineStr">
        <is>
          <t>TN</t>
        </is>
      </c>
      <c r="N71" t="inlineStr"/>
      <c r="P71" t="inlineStr">
        <is>
          <t>20230101</t>
        </is>
      </c>
      <c r="Q71" t="inlineStr">
        <is>
          <t>20241015</t>
        </is>
      </c>
    </row>
    <row r="72">
      <c r="A72" t="inlineStr">
        <is>
          <t>900006304DW55D30910079650</t>
        </is>
      </c>
      <c r="B72" t="inlineStr">
        <is>
          <t>900006304</t>
        </is>
      </c>
      <c r="C72" t="inlineStr">
        <is>
          <t>DW55</t>
        </is>
      </c>
      <c r="D72" t="inlineStr">
        <is>
          <t>D309</t>
        </is>
      </c>
      <c r="E72" t="inlineStr">
        <is>
          <t>1</t>
        </is>
      </c>
      <c r="F72" t="inlineStr">
        <is>
          <t>10079650</t>
        </is>
      </c>
      <c r="H72" t="inlineStr"/>
      <c r="J72" t="n">
        <v>27.81</v>
      </c>
      <c r="K72" t="inlineStr"/>
      <c r="M72" t="inlineStr">
        <is>
          <t>TN</t>
        </is>
      </c>
      <c r="N72" t="inlineStr"/>
      <c r="P72" t="inlineStr">
        <is>
          <t>20230101</t>
        </is>
      </c>
      <c r="Q72" t="inlineStr">
        <is>
          <t>20241015</t>
        </is>
      </c>
    </row>
    <row r="73">
      <c r="A73" t="inlineStr">
        <is>
          <t>900006304DW55D32510079650</t>
        </is>
      </c>
      <c r="B73" t="inlineStr">
        <is>
          <t>900006304</t>
        </is>
      </c>
      <c r="C73" t="inlineStr">
        <is>
          <t>DW55</t>
        </is>
      </c>
      <c r="D73" t="inlineStr">
        <is>
          <t>D325</t>
        </is>
      </c>
      <c r="E73" t="inlineStr">
        <is>
          <t>1</t>
        </is>
      </c>
      <c r="F73" t="inlineStr">
        <is>
          <t>10079650</t>
        </is>
      </c>
      <c r="H73" t="inlineStr"/>
      <c r="J73" t="n">
        <v>234.32</v>
      </c>
      <c r="K73" t="inlineStr"/>
      <c r="M73" t="inlineStr">
        <is>
          <t>TN</t>
        </is>
      </c>
      <c r="N73" t="inlineStr"/>
      <c r="P73" t="inlineStr">
        <is>
          <t>20230101</t>
        </is>
      </c>
      <c r="Q73" t="inlineStr">
        <is>
          <t>20241015</t>
        </is>
      </c>
    </row>
    <row r="74">
      <c r="A74" t="inlineStr">
        <is>
          <t>900006304DW55D34210079650</t>
        </is>
      </c>
      <c r="B74" t="inlineStr">
        <is>
          <t>900006304</t>
        </is>
      </c>
      <c r="C74" t="inlineStr">
        <is>
          <t>DW55</t>
        </is>
      </c>
      <c r="D74" t="inlineStr">
        <is>
          <t>D342</t>
        </is>
      </c>
      <c r="E74" t="inlineStr">
        <is>
          <t>1</t>
        </is>
      </c>
      <c r="F74" t="inlineStr">
        <is>
          <t>10079650</t>
        </is>
      </c>
      <c r="H74" t="inlineStr"/>
      <c r="J74" t="n">
        <v>80.8</v>
      </c>
      <c r="K74" t="inlineStr"/>
      <c r="M74" t="inlineStr">
        <is>
          <t>TN</t>
        </is>
      </c>
      <c r="N74" t="inlineStr"/>
      <c r="P74" t="inlineStr">
        <is>
          <t>20230101</t>
        </is>
      </c>
      <c r="Q74" t="inlineStr">
        <is>
          <t>20241015</t>
        </is>
      </c>
    </row>
    <row r="75">
      <c r="A75" t="inlineStr">
        <is>
          <t>900006304DW55D34810079650</t>
        </is>
      </c>
      <c r="B75" t="inlineStr">
        <is>
          <t>900006304</t>
        </is>
      </c>
      <c r="C75" t="inlineStr">
        <is>
          <t>DW55</t>
        </is>
      </c>
      <c r="D75" t="inlineStr">
        <is>
          <t>D348</t>
        </is>
      </c>
      <c r="E75" t="inlineStr">
        <is>
          <t>1</t>
        </is>
      </c>
      <c r="F75" t="inlineStr">
        <is>
          <t>10079650</t>
        </is>
      </c>
      <c r="H75" t="inlineStr"/>
      <c r="J75" t="n">
        <v>323.24</v>
      </c>
      <c r="K75" t="inlineStr"/>
      <c r="M75" t="inlineStr">
        <is>
          <t>TN</t>
        </is>
      </c>
      <c r="N75" t="inlineStr"/>
      <c r="P75" t="inlineStr">
        <is>
          <t>20230101</t>
        </is>
      </c>
      <c r="Q75" t="inlineStr">
        <is>
          <t>20241015</t>
        </is>
      </c>
    </row>
    <row r="76">
      <c r="A76" t="inlineStr">
        <is>
          <t>900006566DW55D28410000834</t>
        </is>
      </c>
      <c r="B76" t="inlineStr">
        <is>
          <t>900006566</t>
        </is>
      </c>
      <c r="C76" t="inlineStr">
        <is>
          <t>DW55</t>
        </is>
      </c>
      <c r="D76" t="inlineStr">
        <is>
          <t>D284</t>
        </is>
      </c>
      <c r="E76" t="inlineStr">
        <is>
          <t>1</t>
        </is>
      </c>
      <c r="F76" t="inlineStr">
        <is>
          <t>10000834</t>
        </is>
      </c>
      <c r="H76" t="inlineStr"/>
      <c r="J76" t="n">
        <v>62.84</v>
      </c>
      <c r="K76" t="inlineStr"/>
      <c r="M76" t="inlineStr">
        <is>
          <t>TN</t>
        </is>
      </c>
      <c r="N76" t="inlineStr"/>
      <c r="P76" t="inlineStr">
        <is>
          <t>20230101</t>
        </is>
      </c>
      <c r="Q76" t="inlineStr">
        <is>
          <t>20241015</t>
        </is>
      </c>
    </row>
    <row r="77">
      <c r="A77" t="inlineStr">
        <is>
          <t>900006566DW55D28410214752</t>
        </is>
      </c>
      <c r="B77" t="inlineStr">
        <is>
          <t>900006566</t>
        </is>
      </c>
      <c r="C77" t="inlineStr">
        <is>
          <t>DW55</t>
        </is>
      </c>
      <c r="D77" t="inlineStr">
        <is>
          <t>D284</t>
        </is>
      </c>
      <c r="E77" t="inlineStr">
        <is>
          <t>1</t>
        </is>
      </c>
      <c r="F77" t="inlineStr">
        <is>
          <t>10214752</t>
        </is>
      </c>
      <c r="H77" t="inlineStr"/>
      <c r="J77" t="n">
        <v>53.15</v>
      </c>
      <c r="K77" t="inlineStr"/>
      <c r="M77" t="inlineStr">
        <is>
          <t>TN</t>
        </is>
      </c>
      <c r="N77" t="inlineStr"/>
      <c r="P77" t="inlineStr">
        <is>
          <t>20230101</t>
        </is>
      </c>
      <c r="Q77" t="inlineStr">
        <is>
          <t>20241015</t>
        </is>
      </c>
    </row>
    <row r="78">
      <c r="A78" t="inlineStr">
        <is>
          <t>900006566DW55D30910000834</t>
        </is>
      </c>
      <c r="B78" t="inlineStr">
        <is>
          <t>900006566</t>
        </is>
      </c>
      <c r="C78" t="inlineStr">
        <is>
          <t>DW55</t>
        </is>
      </c>
      <c r="D78" t="inlineStr">
        <is>
          <t>D309</t>
        </is>
      </c>
      <c r="E78" t="inlineStr">
        <is>
          <t>1</t>
        </is>
      </c>
      <c r="F78" t="inlineStr">
        <is>
          <t>10000834</t>
        </is>
      </c>
      <c r="H78" t="inlineStr"/>
      <c r="J78" t="n">
        <v>39.67</v>
      </c>
      <c r="K78" t="inlineStr"/>
      <c r="M78" t="inlineStr">
        <is>
          <t>TN</t>
        </is>
      </c>
      <c r="N78" t="inlineStr"/>
      <c r="P78" t="inlineStr">
        <is>
          <t>20230101</t>
        </is>
      </c>
      <c r="Q78" t="inlineStr">
        <is>
          <t>20241015</t>
        </is>
      </c>
    </row>
    <row r="79">
      <c r="A79" t="inlineStr">
        <is>
          <t>900006566DW55D30910214752</t>
        </is>
      </c>
      <c r="B79" t="inlineStr">
        <is>
          <t>900006566</t>
        </is>
      </c>
      <c r="C79" t="inlineStr">
        <is>
          <t>DW55</t>
        </is>
      </c>
      <c r="D79" t="inlineStr">
        <is>
          <t>D309</t>
        </is>
      </c>
      <c r="E79" t="inlineStr">
        <is>
          <t>1</t>
        </is>
      </c>
      <c r="F79" t="inlineStr">
        <is>
          <t>10214752</t>
        </is>
      </c>
      <c r="H79" t="inlineStr"/>
      <c r="J79" t="n">
        <v>110.74</v>
      </c>
      <c r="K79" t="inlineStr"/>
      <c r="M79" t="inlineStr">
        <is>
          <t>TN</t>
        </is>
      </c>
      <c r="N79" t="inlineStr"/>
      <c r="P79" t="inlineStr">
        <is>
          <t>20230101</t>
        </is>
      </c>
      <c r="Q79" t="inlineStr">
        <is>
          <t>20241015</t>
        </is>
      </c>
    </row>
    <row r="80">
      <c r="A80" t="inlineStr">
        <is>
          <t>900006566DW55D32510000834</t>
        </is>
      </c>
      <c r="B80" t="inlineStr">
        <is>
          <t>900006566</t>
        </is>
      </c>
      <c r="C80" t="inlineStr">
        <is>
          <t>DW55</t>
        </is>
      </c>
      <c r="D80" t="inlineStr">
        <is>
          <t>D325</t>
        </is>
      </c>
      <c r="E80" t="inlineStr">
        <is>
          <t>1</t>
        </is>
      </c>
      <c r="F80" t="inlineStr">
        <is>
          <t>10000834</t>
        </is>
      </c>
      <c r="H80" t="inlineStr"/>
      <c r="J80" t="n">
        <v>275.66</v>
      </c>
      <c r="K80" t="inlineStr"/>
      <c r="M80" t="inlineStr">
        <is>
          <t>TN</t>
        </is>
      </c>
      <c r="N80" t="inlineStr"/>
      <c r="P80" t="inlineStr">
        <is>
          <t>20230101</t>
        </is>
      </c>
      <c r="Q80" t="inlineStr">
        <is>
          <t>20241015</t>
        </is>
      </c>
    </row>
    <row r="81">
      <c r="A81" t="inlineStr">
        <is>
          <t>900006566DW55D32510214752</t>
        </is>
      </c>
      <c r="B81" t="inlineStr">
        <is>
          <t>900006566</t>
        </is>
      </c>
      <c r="C81" t="inlineStr">
        <is>
          <t>DW55</t>
        </is>
      </c>
      <c r="D81" t="inlineStr">
        <is>
          <t>D325</t>
        </is>
      </c>
      <c r="E81" t="inlineStr">
        <is>
          <t>1</t>
        </is>
      </c>
      <c r="F81" t="inlineStr">
        <is>
          <t>10214752</t>
        </is>
      </c>
      <c r="H81" t="inlineStr"/>
      <c r="J81" t="n">
        <v>233.16</v>
      </c>
      <c r="K81" t="inlineStr"/>
      <c r="M81" t="inlineStr">
        <is>
          <t>TN</t>
        </is>
      </c>
      <c r="N81" t="inlineStr"/>
      <c r="P81" t="inlineStr">
        <is>
          <t>20230101</t>
        </is>
      </c>
      <c r="Q81" t="inlineStr">
        <is>
          <t>20241015</t>
        </is>
      </c>
    </row>
    <row r="82">
      <c r="A82" t="inlineStr">
        <is>
          <t>900006566DW55D34210000834</t>
        </is>
      </c>
      <c r="B82" t="inlineStr">
        <is>
          <t>900006566</t>
        </is>
      </c>
      <c r="C82" t="inlineStr">
        <is>
          <t>DW55</t>
        </is>
      </c>
      <c r="D82" t="inlineStr">
        <is>
          <t>D342</t>
        </is>
      </c>
      <c r="E82" t="inlineStr">
        <is>
          <t>1</t>
        </is>
      </c>
      <c r="F82" t="inlineStr">
        <is>
          <t>10000834</t>
        </is>
      </c>
      <c r="H82" t="inlineStr"/>
      <c r="J82" t="n">
        <v>49.2</v>
      </c>
      <c r="K82" t="inlineStr"/>
      <c r="M82" t="inlineStr">
        <is>
          <t>TN</t>
        </is>
      </c>
      <c r="N82" t="inlineStr"/>
      <c r="P82" t="inlineStr">
        <is>
          <t>20230101</t>
        </is>
      </c>
      <c r="Q82" t="inlineStr">
        <is>
          <t>20241015</t>
        </is>
      </c>
    </row>
    <row r="83">
      <c r="A83" t="inlineStr">
        <is>
          <t>900006566DW55D34210214752</t>
        </is>
      </c>
      <c r="B83" t="inlineStr">
        <is>
          <t>900006566</t>
        </is>
      </c>
      <c r="C83" t="inlineStr">
        <is>
          <t>DW55</t>
        </is>
      </c>
      <c r="D83" t="inlineStr">
        <is>
          <t>D342</t>
        </is>
      </c>
      <c r="E83" t="inlineStr">
        <is>
          <t>1</t>
        </is>
      </c>
      <c r="F83" t="inlineStr">
        <is>
          <t>10214752</t>
        </is>
      </c>
      <c r="H83" t="inlineStr"/>
      <c r="J83" t="n">
        <v>41.62</v>
      </c>
      <c r="K83" t="inlineStr"/>
      <c r="M83" t="inlineStr">
        <is>
          <t>TN</t>
        </is>
      </c>
      <c r="N83" t="inlineStr"/>
      <c r="P83" t="inlineStr">
        <is>
          <t>20230101</t>
        </is>
      </c>
      <c r="Q83" t="inlineStr">
        <is>
          <t>20241015</t>
        </is>
      </c>
    </row>
    <row r="84">
      <c r="A84" t="inlineStr">
        <is>
          <t>900006566DW55D34810000834</t>
        </is>
      </c>
      <c r="B84" t="inlineStr">
        <is>
          <t>900006566</t>
        </is>
      </c>
      <c r="C84" t="inlineStr">
        <is>
          <t>DW55</t>
        </is>
      </c>
      <c r="D84" t="inlineStr">
        <is>
          <t>D348</t>
        </is>
      </c>
      <c r="E84" t="inlineStr">
        <is>
          <t>1</t>
        </is>
      </c>
      <c r="F84" t="inlineStr">
        <is>
          <t>10000834</t>
        </is>
      </c>
      <c r="H84" t="inlineStr"/>
      <c r="J84" t="n">
        <v>377.58</v>
      </c>
      <c r="K84" t="inlineStr"/>
      <c r="M84" t="inlineStr">
        <is>
          <t>TN</t>
        </is>
      </c>
      <c r="N84" t="inlineStr"/>
      <c r="P84" t="inlineStr">
        <is>
          <t>20230101</t>
        </is>
      </c>
      <c r="Q84" t="inlineStr">
        <is>
          <t>20241015</t>
        </is>
      </c>
    </row>
    <row r="85">
      <c r="A85" t="inlineStr">
        <is>
          <t>900006566DW55D34810214752</t>
        </is>
      </c>
      <c r="B85" t="inlineStr">
        <is>
          <t>900006566</t>
        </is>
      </c>
      <c r="C85" t="inlineStr">
        <is>
          <t>DW55</t>
        </is>
      </c>
      <c r="D85" t="inlineStr">
        <is>
          <t>D348</t>
        </is>
      </c>
      <c r="E85" t="inlineStr">
        <is>
          <t>1</t>
        </is>
      </c>
      <c r="F85" t="inlineStr">
        <is>
          <t>10214752</t>
        </is>
      </c>
      <c r="H85" t="inlineStr"/>
      <c r="J85" t="n">
        <v>420.81</v>
      </c>
      <c r="K85" t="inlineStr"/>
      <c r="M85" t="inlineStr">
        <is>
          <t>TN</t>
        </is>
      </c>
      <c r="N85" t="inlineStr"/>
      <c r="P85" t="inlineStr">
        <is>
          <t>20230101</t>
        </is>
      </c>
      <c r="Q85" t="inlineStr">
        <is>
          <t>20241015</t>
        </is>
      </c>
    </row>
    <row r="86">
      <c r="A86" t="inlineStr">
        <is>
          <t>900006567DW55D28410214752</t>
        </is>
      </c>
      <c r="B86" t="inlineStr">
        <is>
          <t>900006567</t>
        </is>
      </c>
      <c r="C86" t="inlineStr">
        <is>
          <t>DW55</t>
        </is>
      </c>
      <c r="D86" t="inlineStr">
        <is>
          <t>D284</t>
        </is>
      </c>
      <c r="E86" t="inlineStr">
        <is>
          <t>4</t>
        </is>
      </c>
      <c r="F86" t="inlineStr">
        <is>
          <t>10214752</t>
        </is>
      </c>
      <c r="H86" t="inlineStr"/>
      <c r="J86" t="n">
        <v>39.6</v>
      </c>
      <c r="K86" t="inlineStr"/>
      <c r="M86" t="inlineStr">
        <is>
          <t>TN</t>
        </is>
      </c>
      <c r="N86" t="inlineStr"/>
      <c r="P86" t="inlineStr">
        <is>
          <t>20240122</t>
        </is>
      </c>
      <c r="Q86" t="inlineStr">
        <is>
          <t>20241015</t>
        </is>
      </c>
    </row>
    <row r="87">
      <c r="A87" t="inlineStr">
        <is>
          <t>900006567DW55D30910000834</t>
        </is>
      </c>
      <c r="B87" t="inlineStr">
        <is>
          <t>900006567</t>
        </is>
      </c>
      <c r="C87" t="inlineStr">
        <is>
          <t>DW55</t>
        </is>
      </c>
      <c r="D87" t="inlineStr">
        <is>
          <t>D309</t>
        </is>
      </c>
      <c r="E87" t="inlineStr">
        <is>
          <t>4</t>
        </is>
      </c>
      <c r="F87" t="inlineStr">
        <is>
          <t>10000834</t>
        </is>
      </c>
      <c r="H87" t="inlineStr"/>
      <c r="J87" t="n">
        <v>50.44</v>
      </c>
      <c r="K87" t="inlineStr"/>
      <c r="M87" t="inlineStr">
        <is>
          <t>TN</t>
        </is>
      </c>
      <c r="N87" t="inlineStr"/>
      <c r="P87" t="inlineStr">
        <is>
          <t>20240122</t>
        </is>
      </c>
      <c r="Q87" t="inlineStr">
        <is>
          <t>20241015</t>
        </is>
      </c>
    </row>
    <row r="88">
      <c r="A88" t="inlineStr">
        <is>
          <t>900006567DW55D30910214752</t>
        </is>
      </c>
      <c r="B88" t="inlineStr">
        <is>
          <t>900006567</t>
        </is>
      </c>
      <c r="C88" t="inlineStr">
        <is>
          <t>DW55</t>
        </is>
      </c>
      <c r="D88" t="inlineStr">
        <is>
          <t>D309</t>
        </is>
      </c>
      <c r="E88" t="inlineStr">
        <is>
          <t>4</t>
        </is>
      </c>
      <c r="F88" t="inlineStr">
        <is>
          <t>10214752</t>
        </is>
      </c>
      <c r="H88" t="inlineStr"/>
      <c r="J88" t="n">
        <v>40.94</v>
      </c>
      <c r="K88" t="inlineStr"/>
      <c r="M88" t="inlineStr">
        <is>
          <t>TN</t>
        </is>
      </c>
      <c r="N88" t="inlineStr"/>
      <c r="P88" t="inlineStr">
        <is>
          <t>20240122</t>
        </is>
      </c>
      <c r="Q88" t="inlineStr">
        <is>
          <t>20241015</t>
        </is>
      </c>
    </row>
    <row r="89">
      <c r="A89" t="inlineStr">
        <is>
          <t>900006567DW55D34210000834</t>
        </is>
      </c>
      <c r="B89" t="inlineStr">
        <is>
          <t>900006567</t>
        </is>
      </c>
      <c r="C89" t="inlineStr">
        <is>
          <t>DW55</t>
        </is>
      </c>
      <c r="D89" t="inlineStr">
        <is>
          <t>D342</t>
        </is>
      </c>
      <c r="E89" t="inlineStr">
        <is>
          <t>4</t>
        </is>
      </c>
      <c r="F89" t="inlineStr">
        <is>
          <t>10000834</t>
        </is>
      </c>
      <c r="H89" t="inlineStr"/>
      <c r="J89" t="n">
        <v>69.79000000000001</v>
      </c>
      <c r="K89" t="inlineStr"/>
      <c r="M89" t="inlineStr">
        <is>
          <t>TN</t>
        </is>
      </c>
      <c r="N89" t="inlineStr"/>
      <c r="P89" t="inlineStr">
        <is>
          <t>20240122</t>
        </is>
      </c>
      <c r="Q89" t="inlineStr">
        <is>
          <t>20241015</t>
        </is>
      </c>
    </row>
    <row r="90">
      <c r="A90" t="inlineStr">
        <is>
          <t>900006567DW55D34210214752</t>
        </is>
      </c>
      <c r="B90" t="inlineStr">
        <is>
          <t>900006567</t>
        </is>
      </c>
      <c r="C90" t="inlineStr">
        <is>
          <t>DW55</t>
        </is>
      </c>
      <c r="D90" t="inlineStr">
        <is>
          <t>D342</t>
        </is>
      </c>
      <c r="E90" t="inlineStr">
        <is>
          <t>4</t>
        </is>
      </c>
      <c r="F90" t="inlineStr">
        <is>
          <t>10214752</t>
        </is>
      </c>
      <c r="H90" t="inlineStr"/>
      <c r="J90" t="n">
        <v>56.64</v>
      </c>
      <c r="K90" t="inlineStr"/>
      <c r="M90" t="inlineStr">
        <is>
          <t>TN</t>
        </is>
      </c>
      <c r="N90" t="inlineStr"/>
      <c r="P90" t="inlineStr">
        <is>
          <t>20240122</t>
        </is>
      </c>
      <c r="Q90" t="inlineStr">
        <is>
          <t>20241015</t>
        </is>
      </c>
    </row>
    <row r="91">
      <c r="A91" t="inlineStr">
        <is>
          <t>900006813DW55ER6810210039</t>
        </is>
      </c>
      <c r="B91" t="inlineStr">
        <is>
          <t>900006813</t>
        </is>
      </c>
      <c r="C91" t="inlineStr">
        <is>
          <t>DW55</t>
        </is>
      </c>
      <c r="D91" t="inlineStr">
        <is>
          <t>ER68</t>
        </is>
      </c>
      <c r="E91" t="inlineStr">
        <is>
          <t>1</t>
        </is>
      </c>
      <c r="F91" t="inlineStr">
        <is>
          <t>10210039</t>
        </is>
      </c>
      <c r="H91" t="inlineStr"/>
      <c r="J91" t="n">
        <v>161.62</v>
      </c>
      <c r="K91" t="inlineStr"/>
      <c r="M91" t="inlineStr">
        <is>
          <t>TN</t>
        </is>
      </c>
      <c r="N91" t="inlineStr"/>
      <c r="P91" t="inlineStr">
        <is>
          <t>20220501</t>
        </is>
      </c>
      <c r="Q91" t="inlineStr">
        <is>
          <t>20241015</t>
        </is>
      </c>
    </row>
    <row r="92">
      <c r="A92" t="inlineStr">
        <is>
          <t>900006813DW55ER6810210039</t>
        </is>
      </c>
      <c r="B92" t="inlineStr">
        <is>
          <t>900006813</t>
        </is>
      </c>
      <c r="C92" t="inlineStr">
        <is>
          <t>DW55</t>
        </is>
      </c>
      <c r="D92" t="inlineStr">
        <is>
          <t>ER68</t>
        </is>
      </c>
      <c r="E92" t="inlineStr">
        <is>
          <t>4</t>
        </is>
      </c>
      <c r="F92" t="inlineStr">
        <is>
          <t>10210039</t>
        </is>
      </c>
      <c r="H92" t="inlineStr"/>
      <c r="J92" t="n">
        <v>161.62</v>
      </c>
      <c r="K92" t="inlineStr"/>
      <c r="M92" t="inlineStr">
        <is>
          <t>TN</t>
        </is>
      </c>
      <c r="N92" t="inlineStr"/>
      <c r="P92" t="inlineStr">
        <is>
          <t>20220713</t>
        </is>
      </c>
      <c r="Q92" t="inlineStr">
        <is>
          <t>20241013</t>
        </is>
      </c>
    </row>
    <row r="93">
      <c r="A93" t="inlineStr">
        <is>
          <t>900006853DW55D28410049559</t>
        </is>
      </c>
      <c r="B93" t="inlineStr">
        <is>
          <t>900006853</t>
        </is>
      </c>
      <c r="C93" t="inlineStr">
        <is>
          <t>DW55</t>
        </is>
      </c>
      <c r="D93" t="inlineStr">
        <is>
          <t>D284</t>
        </is>
      </c>
      <c r="E93" t="inlineStr">
        <is>
          <t>4</t>
        </is>
      </c>
      <c r="F93" t="inlineStr">
        <is>
          <t>10049559</t>
        </is>
      </c>
      <c r="H93" t="inlineStr"/>
      <c r="J93" t="n">
        <v>305.51</v>
      </c>
      <c r="K93" t="inlineStr"/>
      <c r="M93" t="inlineStr">
        <is>
          <t>TN</t>
        </is>
      </c>
      <c r="N93" t="inlineStr"/>
      <c r="P93" t="inlineStr">
        <is>
          <t>20220516</t>
        </is>
      </c>
      <c r="Q93" t="inlineStr">
        <is>
          <t>99991231</t>
        </is>
      </c>
    </row>
    <row r="94">
      <c r="A94" t="inlineStr">
        <is>
          <t>900006947DW55D32510000372</t>
        </is>
      </c>
      <c r="B94" t="inlineStr">
        <is>
          <t>900006947</t>
        </is>
      </c>
      <c r="C94" t="inlineStr">
        <is>
          <t>DW55</t>
        </is>
      </c>
      <c r="D94" t="inlineStr">
        <is>
          <t>D325</t>
        </is>
      </c>
      <c r="E94" t="inlineStr">
        <is>
          <t>1</t>
        </is>
      </c>
      <c r="F94" t="inlineStr">
        <is>
          <t>10000372</t>
        </is>
      </c>
      <c r="H94" t="inlineStr"/>
      <c r="J94" t="n">
        <v>116.43</v>
      </c>
      <c r="K94" t="inlineStr"/>
      <c r="M94" t="inlineStr">
        <is>
          <t>TN</t>
        </is>
      </c>
      <c r="N94" t="inlineStr"/>
      <c r="P94" t="inlineStr">
        <is>
          <t>20210620</t>
        </is>
      </c>
      <c r="Q94" t="inlineStr">
        <is>
          <t>20240930</t>
        </is>
      </c>
    </row>
    <row r="95">
      <c r="A95" t="inlineStr">
        <is>
          <t>900006948DW55D32510000372</t>
        </is>
      </c>
      <c r="B95" t="inlineStr">
        <is>
          <t>900006948</t>
        </is>
      </c>
      <c r="C95" t="inlineStr">
        <is>
          <t>DW55</t>
        </is>
      </c>
      <c r="D95" t="inlineStr">
        <is>
          <t>D325</t>
        </is>
      </c>
      <c r="E95" t="inlineStr">
        <is>
          <t>4</t>
        </is>
      </c>
      <c r="F95" t="inlineStr">
        <is>
          <t>10000372</t>
        </is>
      </c>
      <c r="H95" t="inlineStr"/>
      <c r="J95" t="n">
        <v>134.67</v>
      </c>
      <c r="K95" t="inlineStr"/>
      <c r="M95" t="inlineStr">
        <is>
          <t>TN</t>
        </is>
      </c>
      <c r="N95" t="inlineStr"/>
      <c r="P95" t="inlineStr">
        <is>
          <t>20230522</t>
        </is>
      </c>
      <c r="Q95" t="inlineStr">
        <is>
          <t>99991231</t>
        </is>
      </c>
    </row>
    <row r="96">
      <c r="A96" t="inlineStr">
        <is>
          <t>900006948DW55D32510023592</t>
        </is>
      </c>
      <c r="B96" t="inlineStr">
        <is>
          <t>900006948</t>
        </is>
      </c>
      <c r="C96" t="inlineStr">
        <is>
          <t>DW55</t>
        </is>
      </c>
      <c r="D96" t="inlineStr">
        <is>
          <t>D325</t>
        </is>
      </c>
      <c r="E96" t="inlineStr">
        <is>
          <t>4</t>
        </is>
      </c>
      <c r="F96" t="inlineStr">
        <is>
          <t>10023592</t>
        </is>
      </c>
      <c r="H96" t="inlineStr"/>
      <c r="J96" t="n">
        <v>136.43</v>
      </c>
      <c r="K96" t="inlineStr"/>
      <c r="M96" t="inlineStr">
        <is>
          <t>TN</t>
        </is>
      </c>
      <c r="N96" t="inlineStr"/>
      <c r="P96" t="inlineStr">
        <is>
          <t>20240726</t>
        </is>
      </c>
      <c r="Q96" t="inlineStr">
        <is>
          <t>20251031</t>
        </is>
      </c>
    </row>
    <row r="97">
      <c r="A97" t="inlineStr">
        <is>
          <t>900007051DW55ER6810210260</t>
        </is>
      </c>
      <c r="B97" t="inlineStr">
        <is>
          <t>900007051</t>
        </is>
      </c>
      <c r="C97" t="inlineStr">
        <is>
          <t>DW55</t>
        </is>
      </c>
      <c r="D97" t="inlineStr">
        <is>
          <t>ER68</t>
        </is>
      </c>
      <c r="E97" t="inlineStr">
        <is>
          <t>1</t>
        </is>
      </c>
      <c r="F97" t="inlineStr">
        <is>
          <t>10210260</t>
        </is>
      </c>
      <c r="H97" t="inlineStr"/>
      <c r="J97" t="n">
        <v>332.33</v>
      </c>
      <c r="K97" t="inlineStr"/>
      <c r="M97" t="inlineStr">
        <is>
          <t>TN</t>
        </is>
      </c>
      <c r="N97" t="inlineStr"/>
      <c r="P97" t="inlineStr">
        <is>
          <t>20240717</t>
        </is>
      </c>
      <c r="Q97" t="inlineStr">
        <is>
          <t>20250318</t>
        </is>
      </c>
    </row>
    <row r="98">
      <c r="A98" t="inlineStr">
        <is>
          <t>900007052DW55D28410000372</t>
        </is>
      </c>
      <c r="B98" t="inlineStr">
        <is>
          <t>900007052</t>
        </is>
      </c>
      <c r="C98" t="inlineStr">
        <is>
          <t>DW55</t>
        </is>
      </c>
      <c r="D98" t="inlineStr">
        <is>
          <t>D284</t>
        </is>
      </c>
      <c r="E98" t="inlineStr">
        <is>
          <t>4</t>
        </is>
      </c>
      <c r="F98" t="inlineStr">
        <is>
          <t>10000372</t>
        </is>
      </c>
      <c r="H98" t="inlineStr"/>
      <c r="J98" t="n">
        <v>227.9</v>
      </c>
      <c r="K98" t="inlineStr"/>
      <c r="M98" t="inlineStr">
        <is>
          <t>TN</t>
        </is>
      </c>
      <c r="N98" t="inlineStr"/>
      <c r="P98" t="inlineStr">
        <is>
          <t>20251027</t>
        </is>
      </c>
      <c r="Q98" t="inlineStr">
        <is>
          <t>99991231</t>
        </is>
      </c>
    </row>
    <row r="99">
      <c r="A99" t="inlineStr">
        <is>
          <t>900007052DW55D28410000541</t>
        </is>
      </c>
      <c r="B99" t="inlineStr">
        <is>
          <t>900007052</t>
        </is>
      </c>
      <c r="C99" t="inlineStr">
        <is>
          <t>DW55</t>
        </is>
      </c>
      <c r="D99" t="inlineStr">
        <is>
          <t>D284</t>
        </is>
      </c>
      <c r="E99" t="inlineStr">
        <is>
          <t>4</t>
        </is>
      </c>
      <c r="F99" t="inlineStr">
        <is>
          <t>10000541</t>
        </is>
      </c>
      <c r="H99" t="inlineStr"/>
      <c r="J99" t="n">
        <v>287.96</v>
      </c>
      <c r="K99" t="inlineStr"/>
      <c r="M99" t="inlineStr">
        <is>
          <t>TN</t>
        </is>
      </c>
      <c r="N99" t="inlineStr"/>
      <c r="P99" t="inlineStr">
        <is>
          <t>20250219</t>
        </is>
      </c>
      <c r="Q99" t="inlineStr">
        <is>
          <t>99991231</t>
        </is>
      </c>
    </row>
    <row r="100">
      <c r="A100" t="inlineStr">
        <is>
          <t>900007052DW55D30910000372</t>
        </is>
      </c>
      <c r="B100" t="inlineStr">
        <is>
          <t>900007052</t>
        </is>
      </c>
      <c r="C100" t="inlineStr">
        <is>
          <t>DW55</t>
        </is>
      </c>
      <c r="D100" t="inlineStr">
        <is>
          <t>D309</t>
        </is>
      </c>
      <c r="E100" t="inlineStr">
        <is>
          <t>4</t>
        </is>
      </c>
      <c r="F100" t="inlineStr">
        <is>
          <t>10000372</t>
        </is>
      </c>
      <c r="H100" t="inlineStr"/>
      <c r="J100" t="n">
        <v>306.5</v>
      </c>
      <c r="K100" t="inlineStr"/>
      <c r="M100" t="inlineStr">
        <is>
          <t>TN</t>
        </is>
      </c>
      <c r="N100" t="inlineStr"/>
      <c r="P100" t="inlineStr">
        <is>
          <t>20240122</t>
        </is>
      </c>
      <c r="Q100" t="inlineStr">
        <is>
          <t>20241015</t>
        </is>
      </c>
    </row>
    <row r="101">
      <c r="A101" t="inlineStr">
        <is>
          <t>900007052DW55D30910000541</t>
        </is>
      </c>
      <c r="B101" t="inlineStr">
        <is>
          <t>900007052</t>
        </is>
      </c>
      <c r="C101" t="inlineStr">
        <is>
          <t>DW55</t>
        </is>
      </c>
      <c r="D101" t="inlineStr">
        <is>
          <t>D309</t>
        </is>
      </c>
      <c r="E101" t="inlineStr">
        <is>
          <t>4</t>
        </is>
      </c>
      <c r="F101" t="inlineStr">
        <is>
          <t>10000541</t>
        </is>
      </c>
      <c r="H101" t="inlineStr"/>
      <c r="J101" t="n">
        <v>287.96</v>
      </c>
      <c r="K101" t="inlineStr"/>
      <c r="M101" t="inlineStr">
        <is>
          <t>TN</t>
        </is>
      </c>
      <c r="N101" t="inlineStr"/>
      <c r="P101" t="inlineStr">
        <is>
          <t>20250219</t>
        </is>
      </c>
      <c r="Q101" t="inlineStr">
        <is>
          <t>99991231</t>
        </is>
      </c>
    </row>
    <row r="102">
      <c r="A102" t="inlineStr">
        <is>
          <t>900007052DW55D32510000541</t>
        </is>
      </c>
      <c r="B102" t="inlineStr">
        <is>
          <t>900007052</t>
        </is>
      </c>
      <c r="C102" t="inlineStr">
        <is>
          <t>DW55</t>
        </is>
      </c>
      <c r="D102" t="inlineStr">
        <is>
          <t>D325</t>
        </is>
      </c>
      <c r="E102" t="inlineStr">
        <is>
          <t>4</t>
        </is>
      </c>
      <c r="F102" t="inlineStr">
        <is>
          <t>10000541</t>
        </is>
      </c>
      <c r="H102" t="inlineStr"/>
      <c r="J102" t="n">
        <v>541.23</v>
      </c>
      <c r="K102" t="inlineStr"/>
      <c r="M102" t="inlineStr">
        <is>
          <t>TN</t>
        </is>
      </c>
      <c r="N102" t="inlineStr"/>
      <c r="P102" t="inlineStr">
        <is>
          <t>20241030</t>
        </is>
      </c>
      <c r="Q102" t="inlineStr">
        <is>
          <t>99991231</t>
        </is>
      </c>
    </row>
    <row r="103">
      <c r="A103" t="inlineStr">
        <is>
          <t>900007052DW55D34210000372</t>
        </is>
      </c>
      <c r="B103" t="inlineStr">
        <is>
          <t>900007052</t>
        </is>
      </c>
      <c r="C103" t="inlineStr">
        <is>
          <t>DW55</t>
        </is>
      </c>
      <c r="D103" t="inlineStr">
        <is>
          <t>D342</t>
        </is>
      </c>
      <c r="E103" t="inlineStr">
        <is>
          <t>4</t>
        </is>
      </c>
      <c r="F103" t="inlineStr">
        <is>
          <t>10000372</t>
        </is>
      </c>
      <c r="H103" t="inlineStr"/>
      <c r="J103" t="n">
        <v>269.34</v>
      </c>
      <c r="K103" t="inlineStr"/>
      <c r="M103" t="inlineStr">
        <is>
          <t>TN</t>
        </is>
      </c>
      <c r="N103" t="inlineStr"/>
      <c r="P103" t="inlineStr">
        <is>
          <t>20251020</t>
        </is>
      </c>
      <c r="Q103" t="inlineStr">
        <is>
          <t>99991231</t>
        </is>
      </c>
    </row>
    <row r="104">
      <c r="A104" t="inlineStr">
        <is>
          <t>900007052DW55D34810000541</t>
        </is>
      </c>
      <c r="B104" t="inlineStr">
        <is>
          <t>900007052</t>
        </is>
      </c>
      <c r="C104" t="inlineStr">
        <is>
          <t>DW55</t>
        </is>
      </c>
      <c r="D104" t="inlineStr">
        <is>
          <t>D348</t>
        </is>
      </c>
      <c r="E104" t="inlineStr">
        <is>
          <t>4</t>
        </is>
      </c>
      <c r="F104" t="inlineStr">
        <is>
          <t>10000541</t>
        </is>
      </c>
      <c r="H104" t="inlineStr"/>
      <c r="J104" t="n">
        <v>504.19</v>
      </c>
      <c r="K104" t="inlineStr"/>
      <c r="M104" t="inlineStr">
        <is>
          <t>TN</t>
        </is>
      </c>
      <c r="N104" t="inlineStr"/>
      <c r="P104" t="inlineStr">
        <is>
          <t>20220905</t>
        </is>
      </c>
      <c r="Q104" t="inlineStr">
        <is>
          <t>20240930</t>
        </is>
      </c>
    </row>
    <row r="105">
      <c r="A105" t="inlineStr">
        <is>
          <t>900007052DW55D34810000561</t>
        </is>
      </c>
      <c r="B105" t="inlineStr">
        <is>
          <t>900007052</t>
        </is>
      </c>
      <c r="C105" t="inlineStr">
        <is>
          <t>DW55</t>
        </is>
      </c>
      <c r="D105" t="inlineStr">
        <is>
          <t>D348</t>
        </is>
      </c>
      <c r="E105" t="inlineStr">
        <is>
          <t>4</t>
        </is>
      </c>
      <c r="F105" t="inlineStr">
        <is>
          <t>10000561</t>
        </is>
      </c>
      <c r="H105" t="inlineStr"/>
      <c r="J105" t="n">
        <v>210.49</v>
      </c>
      <c r="K105" t="inlineStr"/>
      <c r="M105" t="inlineStr">
        <is>
          <t>TN</t>
        </is>
      </c>
      <c r="N105" t="inlineStr"/>
      <c r="P105" t="inlineStr">
        <is>
          <t>20220905</t>
        </is>
      </c>
      <c r="Q105" t="inlineStr">
        <is>
          <t>20240930</t>
        </is>
      </c>
    </row>
    <row r="106">
      <c r="A106" t="inlineStr">
        <is>
          <t>900007052DW55D34810036584</t>
        </is>
      </c>
      <c r="B106" t="inlineStr">
        <is>
          <t>900007052</t>
        </is>
      </c>
      <c r="C106" t="inlineStr">
        <is>
          <t>DW55</t>
        </is>
      </c>
      <c r="D106" t="inlineStr">
        <is>
          <t>D348</t>
        </is>
      </c>
      <c r="E106" t="inlineStr">
        <is>
          <t>4</t>
        </is>
      </c>
      <c r="F106" t="inlineStr">
        <is>
          <t>10036584</t>
        </is>
      </c>
      <c r="H106" t="inlineStr"/>
      <c r="J106" t="n">
        <v>1360.54</v>
      </c>
      <c r="K106" t="inlineStr"/>
      <c r="M106" t="inlineStr">
        <is>
          <t>TN</t>
        </is>
      </c>
      <c r="N106" t="inlineStr"/>
      <c r="P106" t="inlineStr">
        <is>
          <t>20220905</t>
        </is>
      </c>
      <c r="Q106" t="inlineStr">
        <is>
          <t>20240930</t>
        </is>
      </c>
    </row>
    <row r="107">
      <c r="A107" t="inlineStr">
        <is>
          <t>900007052DW55D34810213318</t>
        </is>
      </c>
      <c r="B107" t="inlineStr">
        <is>
          <t>900007052</t>
        </is>
      </c>
      <c r="C107" t="inlineStr">
        <is>
          <t>DW55</t>
        </is>
      </c>
      <c r="D107" t="inlineStr">
        <is>
          <t>D348</t>
        </is>
      </c>
      <c r="E107" t="inlineStr">
        <is>
          <t>4</t>
        </is>
      </c>
      <c r="F107" t="inlineStr">
        <is>
          <t>10213318</t>
        </is>
      </c>
      <c r="H107" t="inlineStr"/>
      <c r="J107" t="n">
        <v>314.03</v>
      </c>
      <c r="K107" t="inlineStr"/>
      <c r="M107" t="inlineStr">
        <is>
          <t>TN</t>
        </is>
      </c>
      <c r="N107" t="inlineStr"/>
      <c r="P107" t="inlineStr">
        <is>
          <t>20220905</t>
        </is>
      </c>
      <c r="Q107" t="inlineStr">
        <is>
          <t>20240930</t>
        </is>
      </c>
    </row>
    <row r="108">
      <c r="A108" t="inlineStr">
        <is>
          <t>900007250DW55D30910000541</t>
        </is>
      </c>
      <c r="B108" t="inlineStr">
        <is>
          <t>900007250</t>
        </is>
      </c>
      <c r="C108" t="inlineStr">
        <is>
          <t>DW55</t>
        </is>
      </c>
      <c r="D108" t="inlineStr">
        <is>
          <t>D309</t>
        </is>
      </c>
      <c r="E108" t="inlineStr">
        <is>
          <t>4</t>
        </is>
      </c>
      <c r="F108" t="inlineStr">
        <is>
          <t>10000541</t>
        </is>
      </c>
      <c r="H108" t="inlineStr"/>
      <c r="J108" t="n">
        <v>261.78</v>
      </c>
      <c r="K108" t="inlineStr"/>
      <c r="M108" t="inlineStr">
        <is>
          <t>TN</t>
        </is>
      </c>
      <c r="N108" t="inlineStr"/>
      <c r="P108" t="inlineStr">
        <is>
          <t>20240904</t>
        </is>
      </c>
      <c r="Q108" t="inlineStr">
        <is>
          <t>20240905</t>
        </is>
      </c>
    </row>
    <row r="109">
      <c r="A109" t="inlineStr">
        <is>
          <t>900007303DW55D32510213318</t>
        </is>
      </c>
      <c r="B109" t="inlineStr">
        <is>
          <t>900007303</t>
        </is>
      </c>
      <c r="C109" t="inlineStr">
        <is>
          <t>DW55</t>
        </is>
      </c>
      <c r="D109" t="inlineStr">
        <is>
          <t>D325</t>
        </is>
      </c>
      <c r="E109" t="inlineStr">
        <is>
          <t>1</t>
        </is>
      </c>
      <c r="F109" t="inlineStr">
        <is>
          <t>10213318</t>
        </is>
      </c>
      <c r="H109" t="inlineStr"/>
      <c r="J109" t="n">
        <v>259.6</v>
      </c>
      <c r="K109" t="inlineStr"/>
      <c r="M109" t="inlineStr">
        <is>
          <t>TN</t>
        </is>
      </c>
      <c r="N109" t="inlineStr"/>
      <c r="P109" t="inlineStr">
        <is>
          <t>20210620</t>
        </is>
      </c>
      <c r="Q109" t="inlineStr">
        <is>
          <t>20240320</t>
        </is>
      </c>
    </row>
    <row r="110">
      <c r="A110" t="inlineStr">
        <is>
          <t>900007303DW55D34810213318</t>
        </is>
      </c>
      <c r="B110" t="inlineStr">
        <is>
          <t>900007303</t>
        </is>
      </c>
      <c r="C110" t="inlineStr">
        <is>
          <t>DW55</t>
        </is>
      </c>
      <c r="D110" t="inlineStr">
        <is>
          <t>D348</t>
        </is>
      </c>
      <c r="E110" t="inlineStr">
        <is>
          <t>1</t>
        </is>
      </c>
      <c r="F110" t="inlineStr">
        <is>
          <t>10213318</t>
        </is>
      </c>
      <c r="H110" t="inlineStr"/>
      <c r="J110" t="n">
        <v>341.66</v>
      </c>
      <c r="K110" t="inlineStr"/>
      <c r="M110" t="inlineStr">
        <is>
          <t>TN</t>
        </is>
      </c>
      <c r="N110" t="inlineStr"/>
      <c r="P110" t="inlineStr">
        <is>
          <t>20210620</t>
        </is>
      </c>
      <c r="Q110" t="inlineStr">
        <is>
          <t>20240320</t>
        </is>
      </c>
    </row>
    <row r="111">
      <c r="A111" t="inlineStr">
        <is>
          <t>900007304DW55D28410000372</t>
        </is>
      </c>
      <c r="B111" t="inlineStr">
        <is>
          <t>900007304</t>
        </is>
      </c>
      <c r="C111" t="inlineStr">
        <is>
          <t>DW55</t>
        </is>
      </c>
      <c r="D111" t="inlineStr">
        <is>
          <t>D284</t>
        </is>
      </c>
      <c r="E111" t="inlineStr">
        <is>
          <t>4</t>
        </is>
      </c>
      <c r="F111" t="inlineStr">
        <is>
          <t>10000372</t>
        </is>
      </c>
      <c r="H111" t="inlineStr"/>
      <c r="J111" t="n">
        <v>110.5</v>
      </c>
      <c r="K111" t="inlineStr"/>
      <c r="M111" t="inlineStr">
        <is>
          <t>TN</t>
        </is>
      </c>
      <c r="N111" t="inlineStr"/>
      <c r="P111" t="inlineStr">
        <is>
          <t>20250129</t>
        </is>
      </c>
      <c r="Q111" t="inlineStr">
        <is>
          <t>99991231</t>
        </is>
      </c>
    </row>
    <row r="112">
      <c r="A112" t="inlineStr">
        <is>
          <t>900007304DW55D28410000373</t>
        </is>
      </c>
      <c r="B112" t="inlineStr">
        <is>
          <t>900007304</t>
        </is>
      </c>
      <c r="C112" t="inlineStr">
        <is>
          <t>DW55</t>
        </is>
      </c>
      <c r="D112" t="inlineStr">
        <is>
          <t>D284</t>
        </is>
      </c>
      <c r="E112" t="inlineStr">
        <is>
          <t>4</t>
        </is>
      </c>
      <c r="F112" t="inlineStr">
        <is>
          <t>10000373</t>
        </is>
      </c>
      <c r="H112" t="inlineStr"/>
      <c r="J112" t="n">
        <v>143.37</v>
      </c>
      <c r="K112" t="inlineStr"/>
      <c r="M112" t="inlineStr">
        <is>
          <t>TN</t>
        </is>
      </c>
      <c r="N112" t="inlineStr"/>
      <c r="P112" t="inlineStr">
        <is>
          <t>20240726</t>
        </is>
      </c>
      <c r="Q112" t="inlineStr">
        <is>
          <t>20251031</t>
        </is>
      </c>
    </row>
    <row r="113">
      <c r="A113" t="inlineStr">
        <is>
          <t>900007304DW55D28410218414</t>
        </is>
      </c>
      <c r="B113" t="inlineStr">
        <is>
          <t>900007304</t>
        </is>
      </c>
      <c r="C113" t="inlineStr">
        <is>
          <t>DW55</t>
        </is>
      </c>
      <c r="D113" t="inlineStr">
        <is>
          <t>D284</t>
        </is>
      </c>
      <c r="E113" t="inlineStr">
        <is>
          <t>4</t>
        </is>
      </c>
      <c r="F113" t="inlineStr">
        <is>
          <t>10218414</t>
        </is>
      </c>
      <c r="H113" t="inlineStr"/>
      <c r="J113" t="n">
        <v>95.64</v>
      </c>
      <c r="K113" t="inlineStr"/>
      <c r="M113" t="inlineStr">
        <is>
          <t>TN</t>
        </is>
      </c>
      <c r="N113" t="inlineStr"/>
      <c r="P113" t="inlineStr">
        <is>
          <t>20220705</t>
        </is>
      </c>
      <c r="Q113" t="inlineStr">
        <is>
          <t>20240930</t>
        </is>
      </c>
    </row>
    <row r="114">
      <c r="A114" t="inlineStr">
        <is>
          <t>900007304DW55D30910000372</t>
        </is>
      </c>
      <c r="B114" t="inlineStr">
        <is>
          <t>900007304</t>
        </is>
      </c>
      <c r="C114" t="inlineStr">
        <is>
          <t>DW55</t>
        </is>
      </c>
      <c r="D114" t="inlineStr">
        <is>
          <t>D309</t>
        </is>
      </c>
      <c r="E114" t="inlineStr">
        <is>
          <t>4</t>
        </is>
      </c>
      <c r="F114" t="inlineStr">
        <is>
          <t>10000372</t>
        </is>
      </c>
      <c r="H114" t="inlineStr"/>
      <c r="J114" t="n">
        <v>167.82</v>
      </c>
      <c r="K114" t="inlineStr"/>
      <c r="M114" t="inlineStr">
        <is>
          <t>TN</t>
        </is>
      </c>
      <c r="N114" t="inlineStr"/>
      <c r="P114" t="inlineStr">
        <is>
          <t>20250212</t>
        </is>
      </c>
      <c r="Q114" t="inlineStr">
        <is>
          <t>99991231</t>
        </is>
      </c>
    </row>
    <row r="115">
      <c r="A115" t="inlineStr">
        <is>
          <t>900007304DW55D30910000373</t>
        </is>
      </c>
      <c r="B115" t="inlineStr">
        <is>
          <t>900007304</t>
        </is>
      </c>
      <c r="C115" t="inlineStr">
        <is>
          <t>DW55</t>
        </is>
      </c>
      <c r="D115" t="inlineStr">
        <is>
          <t>D309</t>
        </is>
      </c>
      <c r="E115" t="inlineStr">
        <is>
          <t>4</t>
        </is>
      </c>
      <c r="F115" t="inlineStr">
        <is>
          <t>10000373</t>
        </is>
      </c>
      <c r="H115" t="inlineStr"/>
      <c r="J115" t="n">
        <v>222.22</v>
      </c>
      <c r="K115" t="inlineStr"/>
      <c r="M115" t="inlineStr">
        <is>
          <t>TN</t>
        </is>
      </c>
      <c r="N115" t="inlineStr"/>
      <c r="P115" t="inlineStr">
        <is>
          <t>20240726</t>
        </is>
      </c>
      <c r="Q115" t="inlineStr">
        <is>
          <t>20251031</t>
        </is>
      </c>
    </row>
    <row r="116">
      <c r="A116" t="inlineStr">
        <is>
          <t>900007304DW55D30910218414</t>
        </is>
      </c>
      <c r="B116" t="inlineStr">
        <is>
          <t>900007304</t>
        </is>
      </c>
      <c r="C116" t="inlineStr">
        <is>
          <t>DW55</t>
        </is>
      </c>
      <c r="D116" t="inlineStr">
        <is>
          <t>D309</t>
        </is>
      </c>
      <c r="E116" t="inlineStr">
        <is>
          <t>4</t>
        </is>
      </c>
      <c r="F116" t="inlineStr">
        <is>
          <t>10218414</t>
        </is>
      </c>
      <c r="H116" t="inlineStr"/>
      <c r="J116" t="n">
        <v>149.7</v>
      </c>
      <c r="K116" t="inlineStr"/>
      <c r="M116" t="inlineStr">
        <is>
          <t>TN</t>
        </is>
      </c>
      <c r="N116" t="inlineStr"/>
      <c r="P116" t="inlineStr">
        <is>
          <t>20220705</t>
        </is>
      </c>
      <c r="Q116" t="inlineStr">
        <is>
          <t>20240930</t>
        </is>
      </c>
    </row>
    <row r="117">
      <c r="A117" t="inlineStr">
        <is>
          <t>900007304DW55D32510000373</t>
        </is>
      </c>
      <c r="B117" t="inlineStr">
        <is>
          <t>900007304</t>
        </is>
      </c>
      <c r="C117" t="inlineStr">
        <is>
          <t>DW55</t>
        </is>
      </c>
      <c r="D117" t="inlineStr">
        <is>
          <t>D325</t>
        </is>
      </c>
      <c r="E117" t="inlineStr">
        <is>
          <t>4</t>
        </is>
      </c>
      <c r="F117" t="inlineStr">
        <is>
          <t>10000373</t>
        </is>
      </c>
      <c r="H117" t="inlineStr"/>
      <c r="J117" t="n">
        <v>358.42</v>
      </c>
      <c r="K117" t="inlineStr"/>
      <c r="M117" t="inlineStr">
        <is>
          <t>TN</t>
        </is>
      </c>
      <c r="N117" t="inlineStr"/>
      <c r="P117" t="inlineStr">
        <is>
          <t>20240726</t>
        </is>
      </c>
      <c r="Q117" t="inlineStr">
        <is>
          <t>20251031</t>
        </is>
      </c>
    </row>
    <row r="118">
      <c r="A118" t="inlineStr">
        <is>
          <t>900007304DW55D32510000673</t>
        </is>
      </c>
      <c r="B118" t="inlineStr">
        <is>
          <t>900007304</t>
        </is>
      </c>
      <c r="C118" t="inlineStr">
        <is>
          <t>DW55</t>
        </is>
      </c>
      <c r="D118" t="inlineStr">
        <is>
          <t>D325</t>
        </is>
      </c>
      <c r="E118" t="inlineStr">
        <is>
          <t>4</t>
        </is>
      </c>
      <c r="F118" t="inlineStr">
        <is>
          <t>10000673</t>
        </is>
      </c>
      <c r="H118" t="inlineStr"/>
      <c r="J118" t="n">
        <v>458.18</v>
      </c>
      <c r="K118" t="inlineStr"/>
      <c r="M118" t="inlineStr">
        <is>
          <t>TN</t>
        </is>
      </c>
      <c r="N118" t="inlineStr"/>
      <c r="P118" t="inlineStr">
        <is>
          <t>20220705</t>
        </is>
      </c>
      <c r="Q118" t="inlineStr">
        <is>
          <t>20240930</t>
        </is>
      </c>
    </row>
    <row r="119">
      <c r="A119" t="inlineStr">
        <is>
          <t>900007304DW55D32510213318</t>
        </is>
      </c>
      <c r="B119" t="inlineStr">
        <is>
          <t>900007304</t>
        </is>
      </c>
      <c r="C119" t="inlineStr">
        <is>
          <t>DW55</t>
        </is>
      </c>
      <c r="D119" t="inlineStr">
        <is>
          <t>D325</t>
        </is>
      </c>
      <c r="E119" t="inlineStr">
        <is>
          <t>4</t>
        </is>
      </c>
      <c r="F119" t="inlineStr">
        <is>
          <t>10213318</t>
        </is>
      </c>
      <c r="H119" t="inlineStr"/>
      <c r="J119" t="n">
        <v>453.59</v>
      </c>
      <c r="K119" t="inlineStr"/>
      <c r="M119" t="inlineStr">
        <is>
          <t>TN</t>
        </is>
      </c>
      <c r="N119" t="inlineStr"/>
      <c r="P119" t="inlineStr">
        <is>
          <t>20220705</t>
        </is>
      </c>
      <c r="Q119" t="inlineStr">
        <is>
          <t>20240930</t>
        </is>
      </c>
    </row>
    <row r="120">
      <c r="A120" t="inlineStr">
        <is>
          <t>900007304DW55D34210000372</t>
        </is>
      </c>
      <c r="B120" t="inlineStr">
        <is>
          <t>900007304</t>
        </is>
      </c>
      <c r="C120" t="inlineStr">
        <is>
          <t>DW55</t>
        </is>
      </c>
      <c r="D120" t="inlineStr">
        <is>
          <t>D342</t>
        </is>
      </c>
      <c r="E120" t="inlineStr">
        <is>
          <t>4</t>
        </is>
      </c>
      <c r="F120" t="inlineStr">
        <is>
          <t>10000372</t>
        </is>
      </c>
      <c r="H120" t="inlineStr"/>
      <c r="J120" t="n">
        <v>200.28</v>
      </c>
      <c r="K120" t="inlineStr"/>
      <c r="M120" t="inlineStr">
        <is>
          <t>TN</t>
        </is>
      </c>
      <c r="N120" t="inlineStr"/>
      <c r="P120" t="inlineStr">
        <is>
          <t>20250212</t>
        </is>
      </c>
      <c r="Q120" t="inlineStr">
        <is>
          <t>99991231</t>
        </is>
      </c>
    </row>
    <row r="121">
      <c r="A121" t="inlineStr">
        <is>
          <t>900007304DW55D34210000373</t>
        </is>
      </c>
      <c r="B121" t="inlineStr">
        <is>
          <t>900007304</t>
        </is>
      </c>
      <c r="C121" t="inlineStr">
        <is>
          <t>DW55</t>
        </is>
      </c>
      <c r="D121" t="inlineStr">
        <is>
          <t>D342</t>
        </is>
      </c>
      <c r="E121" t="inlineStr">
        <is>
          <t>4</t>
        </is>
      </c>
      <c r="F121" t="inlineStr">
        <is>
          <t>10000373</t>
        </is>
      </c>
      <c r="H121" t="inlineStr"/>
      <c r="J121" t="n">
        <v>250.9</v>
      </c>
      <c r="K121" t="inlineStr"/>
      <c r="M121" t="inlineStr">
        <is>
          <t>TN</t>
        </is>
      </c>
      <c r="N121" t="inlineStr"/>
      <c r="P121" t="inlineStr">
        <is>
          <t>20240726</t>
        </is>
      </c>
      <c r="Q121" t="inlineStr">
        <is>
          <t>20251031</t>
        </is>
      </c>
    </row>
    <row r="122">
      <c r="A122" t="inlineStr">
        <is>
          <t>900007304DW55D34210218414</t>
        </is>
      </c>
      <c r="B122" t="inlineStr">
        <is>
          <t>900007304</t>
        </is>
      </c>
      <c r="C122" t="inlineStr">
        <is>
          <t>DW55</t>
        </is>
      </c>
      <c r="D122" t="inlineStr">
        <is>
          <t>D342</t>
        </is>
      </c>
      <c r="E122" t="inlineStr">
        <is>
          <t>4</t>
        </is>
      </c>
      <c r="F122" t="inlineStr">
        <is>
          <t>10218414</t>
        </is>
      </c>
      <c r="H122" t="inlineStr"/>
      <c r="J122" t="n">
        <v>174.65</v>
      </c>
      <c r="K122" t="inlineStr"/>
      <c r="M122" t="inlineStr">
        <is>
          <t>TN</t>
        </is>
      </c>
      <c r="N122" t="inlineStr"/>
      <c r="P122" t="inlineStr">
        <is>
          <t>20220705</t>
        </is>
      </c>
      <c r="Q122" t="inlineStr">
        <is>
          <t>20240930</t>
        </is>
      </c>
    </row>
    <row r="123">
      <c r="A123" t="inlineStr">
        <is>
          <t>900007304DW55D34810000373</t>
        </is>
      </c>
      <c r="B123" t="inlineStr">
        <is>
          <t>900007304</t>
        </is>
      </c>
      <c r="C123" t="inlineStr">
        <is>
          <t>DW55</t>
        </is>
      </c>
      <c r="D123" t="inlineStr">
        <is>
          <t>D348</t>
        </is>
      </c>
      <c r="E123" t="inlineStr">
        <is>
          <t>4</t>
        </is>
      </c>
      <c r="F123" t="inlineStr">
        <is>
          <t>10000373</t>
        </is>
      </c>
      <c r="H123" t="inlineStr"/>
      <c r="J123" t="n">
        <v>358.42</v>
      </c>
      <c r="K123" t="inlineStr"/>
      <c r="M123" t="inlineStr">
        <is>
          <t>TN</t>
        </is>
      </c>
      <c r="N123" t="inlineStr"/>
      <c r="P123" t="inlineStr">
        <is>
          <t>20240726</t>
        </is>
      </c>
      <c r="Q123" t="inlineStr">
        <is>
          <t>20251031</t>
        </is>
      </c>
    </row>
    <row r="124">
      <c r="A124" t="inlineStr">
        <is>
          <t>900007304DW55D34810000673</t>
        </is>
      </c>
      <c r="B124" t="inlineStr">
        <is>
          <t>900007304</t>
        </is>
      </c>
      <c r="C124" t="inlineStr">
        <is>
          <t>DW55</t>
        </is>
      </c>
      <c r="D124" t="inlineStr">
        <is>
          <t>D348</t>
        </is>
      </c>
      <c r="E124" t="inlineStr">
        <is>
          <t>4</t>
        </is>
      </c>
      <c r="F124" t="inlineStr">
        <is>
          <t>10000673</t>
        </is>
      </c>
      <c r="H124" t="inlineStr"/>
      <c r="J124" t="n">
        <v>458.18</v>
      </c>
      <c r="K124" t="inlineStr"/>
      <c r="M124" t="inlineStr">
        <is>
          <t>TN</t>
        </is>
      </c>
      <c r="N124" t="inlineStr"/>
      <c r="P124" t="inlineStr">
        <is>
          <t>20220705</t>
        </is>
      </c>
      <c r="Q124" t="inlineStr">
        <is>
          <t>20240930</t>
        </is>
      </c>
    </row>
    <row r="125">
      <c r="A125" t="inlineStr">
        <is>
          <t>900007304DW55D34810213318</t>
        </is>
      </c>
      <c r="B125" t="inlineStr">
        <is>
          <t>900007304</t>
        </is>
      </c>
      <c r="C125" t="inlineStr">
        <is>
          <t>DW55</t>
        </is>
      </c>
      <c r="D125" t="inlineStr">
        <is>
          <t>D348</t>
        </is>
      </c>
      <c r="E125" t="inlineStr">
        <is>
          <t>4</t>
        </is>
      </c>
      <c r="F125" t="inlineStr">
        <is>
          <t>10213318</t>
        </is>
      </c>
      <c r="H125" t="inlineStr"/>
      <c r="J125" t="n">
        <v>347.38</v>
      </c>
      <c r="K125" t="inlineStr"/>
      <c r="M125" t="inlineStr">
        <is>
          <t>TN</t>
        </is>
      </c>
      <c r="N125" t="inlineStr"/>
      <c r="P125" t="inlineStr">
        <is>
          <t>20220705</t>
        </is>
      </c>
      <c r="Q125" t="inlineStr">
        <is>
          <t>20240930</t>
        </is>
      </c>
    </row>
    <row r="126">
      <c r="A126" t="inlineStr">
        <is>
          <t>900007304DW55D34810217663</t>
        </is>
      </c>
      <c r="B126" t="inlineStr">
        <is>
          <t>900007304</t>
        </is>
      </c>
      <c r="C126" t="inlineStr">
        <is>
          <t>DW55</t>
        </is>
      </c>
      <c r="D126" t="inlineStr">
        <is>
          <t>D348</t>
        </is>
      </c>
      <c r="E126" t="inlineStr">
        <is>
          <t>4</t>
        </is>
      </c>
      <c r="F126" t="inlineStr">
        <is>
          <t>10217663</t>
        </is>
      </c>
      <c r="H126" t="inlineStr"/>
      <c r="J126" t="n">
        <v>322.8</v>
      </c>
      <c r="K126" t="inlineStr"/>
      <c r="M126" t="inlineStr">
        <is>
          <t>TN</t>
        </is>
      </c>
      <c r="N126" t="inlineStr"/>
      <c r="P126" t="inlineStr">
        <is>
          <t>20220705</t>
        </is>
      </c>
      <c r="Q126" t="inlineStr">
        <is>
          <t>20240930</t>
        </is>
      </c>
    </row>
    <row r="127">
      <c r="A127" t="inlineStr">
        <is>
          <t>900007304DW55D34810218414</t>
        </is>
      </c>
      <c r="B127" t="inlineStr">
        <is>
          <t>900007304</t>
        </is>
      </c>
      <c r="C127" t="inlineStr">
        <is>
          <t>DW55</t>
        </is>
      </c>
      <c r="D127" t="inlineStr">
        <is>
          <t>D348</t>
        </is>
      </c>
      <c r="E127" t="inlineStr">
        <is>
          <t>4</t>
        </is>
      </c>
      <c r="F127" t="inlineStr">
        <is>
          <t>10218414</t>
        </is>
      </c>
      <c r="H127" t="inlineStr"/>
      <c r="J127" t="n">
        <v>392.28</v>
      </c>
      <c r="K127" t="inlineStr"/>
      <c r="M127" t="inlineStr">
        <is>
          <t>TN</t>
        </is>
      </c>
      <c r="N127" t="inlineStr"/>
      <c r="P127" t="inlineStr">
        <is>
          <t>20220705</t>
        </is>
      </c>
      <c r="Q127" t="inlineStr">
        <is>
          <t>20240930</t>
        </is>
      </c>
    </row>
    <row r="128">
      <c r="A128" t="inlineStr">
        <is>
          <t>900007399DW55D34810079650</t>
        </is>
      </c>
      <c r="B128" t="inlineStr">
        <is>
          <t>900007399</t>
        </is>
      </c>
      <c r="C128" t="inlineStr">
        <is>
          <t>DW55</t>
        </is>
      </c>
      <c r="D128" t="inlineStr">
        <is>
          <t>D348</t>
        </is>
      </c>
      <c r="E128" t="inlineStr">
        <is>
          <t>4</t>
        </is>
      </c>
      <c r="F128" t="inlineStr">
        <is>
          <t>10079650</t>
        </is>
      </c>
      <c r="H128" t="inlineStr"/>
      <c r="J128" t="n">
        <v>82.87</v>
      </c>
      <c r="K128" t="inlineStr"/>
      <c r="M128" t="inlineStr">
        <is>
          <t>TN</t>
        </is>
      </c>
      <c r="N128" t="inlineStr"/>
      <c r="P128" t="inlineStr">
        <is>
          <t>20240122</t>
        </is>
      </c>
      <c r="Q128" t="inlineStr">
        <is>
          <t>20241015</t>
        </is>
      </c>
    </row>
    <row r="129">
      <c r="A129" t="inlineStr">
        <is>
          <t>900007484DW55D28410000372</t>
        </is>
      </c>
      <c r="B129" t="inlineStr">
        <is>
          <t>900007484</t>
        </is>
      </c>
      <c r="C129" t="inlineStr">
        <is>
          <t>DW55</t>
        </is>
      </c>
      <c r="D129" t="inlineStr">
        <is>
          <t>D284</t>
        </is>
      </c>
      <c r="E129" t="inlineStr">
        <is>
          <t>4</t>
        </is>
      </c>
      <c r="F129" t="inlineStr">
        <is>
          <t>10000372</t>
        </is>
      </c>
      <c r="H129" t="inlineStr"/>
      <c r="J129" t="n">
        <v>193.37</v>
      </c>
      <c r="K129" t="inlineStr"/>
      <c r="M129" t="inlineStr">
        <is>
          <t>TN</t>
        </is>
      </c>
      <c r="N129" t="inlineStr"/>
      <c r="P129" t="inlineStr">
        <is>
          <t>20240726</t>
        </is>
      </c>
      <c r="Q129" t="inlineStr">
        <is>
          <t>20251031</t>
        </is>
      </c>
    </row>
    <row r="130">
      <c r="A130" t="inlineStr">
        <is>
          <t>900007484DW55D30910000372</t>
        </is>
      </c>
      <c r="B130" t="inlineStr">
        <is>
          <t>900007484</t>
        </is>
      </c>
      <c r="C130" t="inlineStr">
        <is>
          <t>DW55</t>
        </is>
      </c>
      <c r="D130" t="inlineStr">
        <is>
          <t>D309</t>
        </is>
      </c>
      <c r="E130" t="inlineStr">
        <is>
          <t>4</t>
        </is>
      </c>
      <c r="F130" t="inlineStr">
        <is>
          <t>10000372</t>
        </is>
      </c>
      <c r="H130" t="inlineStr"/>
      <c r="J130" t="n">
        <v>241.71</v>
      </c>
      <c r="K130" t="inlineStr"/>
      <c r="M130" t="inlineStr">
        <is>
          <t>TN</t>
        </is>
      </c>
      <c r="N130" t="inlineStr"/>
      <c r="P130" t="inlineStr">
        <is>
          <t>20240726</t>
        </is>
      </c>
      <c r="Q130" t="inlineStr">
        <is>
          <t>20251031</t>
        </is>
      </c>
    </row>
    <row r="131">
      <c r="A131" t="inlineStr">
        <is>
          <t>900007484DW55D32510217663</t>
        </is>
      </c>
      <c r="B131" t="inlineStr">
        <is>
          <t>900007484</t>
        </is>
      </c>
      <c r="C131" t="inlineStr">
        <is>
          <t>DW55</t>
        </is>
      </c>
      <c r="D131" t="inlineStr">
        <is>
          <t>D325</t>
        </is>
      </c>
      <c r="E131" t="inlineStr">
        <is>
          <t>4</t>
        </is>
      </c>
      <c r="F131" t="inlineStr">
        <is>
          <t>10217663</t>
        </is>
      </c>
      <c r="H131" t="inlineStr"/>
      <c r="J131" t="n">
        <v>219.78</v>
      </c>
      <c r="K131" t="inlineStr"/>
      <c r="M131" t="inlineStr">
        <is>
          <t>TN</t>
        </is>
      </c>
      <c r="N131" t="inlineStr"/>
      <c r="P131" t="inlineStr">
        <is>
          <t>20240726</t>
        </is>
      </c>
      <c r="Q131" t="inlineStr">
        <is>
          <t>20251031</t>
        </is>
      </c>
    </row>
    <row r="132">
      <c r="A132" t="inlineStr">
        <is>
          <t>900007484DW55D34210000372</t>
        </is>
      </c>
      <c r="B132" t="inlineStr">
        <is>
          <t>900007484</t>
        </is>
      </c>
      <c r="C132" t="inlineStr">
        <is>
          <t>DW55</t>
        </is>
      </c>
      <c r="D132" t="inlineStr">
        <is>
          <t>D342</t>
        </is>
      </c>
      <c r="E132" t="inlineStr">
        <is>
          <t>4</t>
        </is>
      </c>
      <c r="F132" t="inlineStr">
        <is>
          <t>10000372</t>
        </is>
      </c>
      <c r="H132" t="inlineStr"/>
      <c r="J132" t="n">
        <v>276.24</v>
      </c>
      <c r="K132" t="inlineStr"/>
      <c r="M132" t="inlineStr">
        <is>
          <t>TN</t>
        </is>
      </c>
      <c r="N132" t="inlineStr"/>
      <c r="P132" t="inlineStr">
        <is>
          <t>20251107</t>
        </is>
      </c>
      <c r="Q132" t="inlineStr">
        <is>
          <t>99991231</t>
        </is>
      </c>
    </row>
    <row r="133">
      <c r="A133" t="inlineStr">
        <is>
          <t>900007484DW55D34810000372</t>
        </is>
      </c>
      <c r="B133" t="inlineStr">
        <is>
          <t>900007484</t>
        </is>
      </c>
      <c r="C133" t="inlineStr">
        <is>
          <t>DW55</t>
        </is>
      </c>
      <c r="D133" t="inlineStr">
        <is>
          <t>D348</t>
        </is>
      </c>
      <c r="E133" t="inlineStr">
        <is>
          <t>4</t>
        </is>
      </c>
      <c r="F133" t="inlineStr">
        <is>
          <t>10000372</t>
        </is>
      </c>
      <c r="H133" t="inlineStr"/>
      <c r="J133" t="n">
        <v>183.01</v>
      </c>
      <c r="K133" t="inlineStr"/>
      <c r="M133" t="inlineStr">
        <is>
          <t>TN</t>
        </is>
      </c>
      <c r="N133" t="inlineStr"/>
      <c r="P133" t="inlineStr">
        <is>
          <t>20240726</t>
        </is>
      </c>
      <c r="Q133" t="inlineStr">
        <is>
          <t>20251031</t>
        </is>
      </c>
    </row>
    <row r="134">
      <c r="A134" t="inlineStr">
        <is>
          <t>900007484DW55D34810000373</t>
        </is>
      </c>
      <c r="B134" t="inlineStr">
        <is>
          <t>900007484</t>
        </is>
      </c>
      <c r="C134" t="inlineStr">
        <is>
          <t>DW55</t>
        </is>
      </c>
      <c r="D134" t="inlineStr">
        <is>
          <t>D348</t>
        </is>
      </c>
      <c r="E134" t="inlineStr">
        <is>
          <t>4</t>
        </is>
      </c>
      <c r="F134" t="inlineStr">
        <is>
          <t>10000373</t>
        </is>
      </c>
      <c r="H134" t="inlineStr"/>
      <c r="J134" t="n">
        <v>358.42</v>
      </c>
      <c r="K134" t="inlineStr"/>
      <c r="M134" t="inlineStr">
        <is>
          <t>TN</t>
        </is>
      </c>
      <c r="N134" t="inlineStr"/>
      <c r="P134" t="inlineStr">
        <is>
          <t>20230426</t>
        </is>
      </c>
      <c r="Q134" t="inlineStr">
        <is>
          <t>20240930</t>
        </is>
      </c>
    </row>
    <row r="135">
      <c r="A135" t="inlineStr">
        <is>
          <t>900007484DW55D34810023592</t>
        </is>
      </c>
      <c r="B135" t="inlineStr">
        <is>
          <t>900007484</t>
        </is>
      </c>
      <c r="C135" t="inlineStr">
        <is>
          <t>DW55</t>
        </is>
      </c>
      <c r="D135" t="inlineStr">
        <is>
          <t>D348</t>
        </is>
      </c>
      <c r="E135" t="inlineStr">
        <is>
          <t>4</t>
        </is>
      </c>
      <c r="F135" t="inlineStr">
        <is>
          <t>10023592</t>
        </is>
      </c>
      <c r="H135" t="inlineStr"/>
      <c r="J135" t="n">
        <v>162.24</v>
      </c>
      <c r="K135" t="inlineStr"/>
      <c r="M135" t="inlineStr">
        <is>
          <t>TN</t>
        </is>
      </c>
      <c r="N135" t="inlineStr"/>
      <c r="P135" t="inlineStr">
        <is>
          <t>20240726</t>
        </is>
      </c>
      <c r="Q135" t="inlineStr">
        <is>
          <t>20251031</t>
        </is>
      </c>
    </row>
    <row r="136">
      <c r="A136" t="inlineStr">
        <is>
          <t>900007484DW55D34810079650</t>
        </is>
      </c>
      <c r="B136" t="inlineStr">
        <is>
          <t>900007484</t>
        </is>
      </c>
      <c r="C136" t="inlineStr">
        <is>
          <t>DW55</t>
        </is>
      </c>
      <c r="D136" t="inlineStr">
        <is>
          <t>D348</t>
        </is>
      </c>
      <c r="E136" t="inlineStr">
        <is>
          <t>4</t>
        </is>
      </c>
      <c r="F136" t="inlineStr">
        <is>
          <t>10079650</t>
        </is>
      </c>
      <c r="H136" t="inlineStr"/>
      <c r="J136" t="n">
        <v>117.4</v>
      </c>
      <c r="K136" t="inlineStr"/>
      <c r="M136" t="inlineStr">
        <is>
          <t>TN</t>
        </is>
      </c>
      <c r="N136" t="inlineStr"/>
      <c r="P136" t="inlineStr">
        <is>
          <t>20230111</t>
        </is>
      </c>
      <c r="Q136" t="inlineStr">
        <is>
          <t>20240712</t>
        </is>
      </c>
    </row>
    <row r="137">
      <c r="A137" t="inlineStr">
        <is>
          <t>900007484DW55D34810217663</t>
        </is>
      </c>
      <c r="B137" t="inlineStr">
        <is>
          <t>900007484</t>
        </is>
      </c>
      <c r="C137" t="inlineStr">
        <is>
          <t>DW55</t>
        </is>
      </c>
      <c r="D137" t="inlineStr">
        <is>
          <t>D348</t>
        </is>
      </c>
      <c r="E137" t="inlineStr">
        <is>
          <t>4</t>
        </is>
      </c>
      <c r="F137" t="inlineStr">
        <is>
          <t>10217663</t>
        </is>
      </c>
      <c r="H137" t="inlineStr"/>
      <c r="J137" t="n">
        <v>364.01</v>
      </c>
      <c r="K137" t="inlineStr"/>
      <c r="M137" t="inlineStr">
        <is>
          <t>TN</t>
        </is>
      </c>
      <c r="N137" t="inlineStr"/>
      <c r="P137" t="inlineStr">
        <is>
          <t>20240726</t>
        </is>
      </c>
      <c r="Q137" t="inlineStr">
        <is>
          <t>20251031</t>
        </is>
      </c>
    </row>
    <row r="138">
      <c r="A138" t="inlineStr">
        <is>
          <t>900007532DW55D28410000541</t>
        </is>
      </c>
      <c r="B138" t="inlineStr">
        <is>
          <t>900007532</t>
        </is>
      </c>
      <c r="C138" t="inlineStr">
        <is>
          <t>DW55</t>
        </is>
      </c>
      <c r="D138" t="inlineStr">
        <is>
          <t>D284</t>
        </is>
      </c>
      <c r="E138" t="inlineStr">
        <is>
          <t>4</t>
        </is>
      </c>
      <c r="F138" t="inlineStr">
        <is>
          <t>10000541</t>
        </is>
      </c>
      <c r="H138" t="inlineStr"/>
      <c r="J138" t="n">
        <v>202.88</v>
      </c>
      <c r="K138" t="inlineStr"/>
      <c r="M138" t="inlineStr">
        <is>
          <t>TN</t>
        </is>
      </c>
      <c r="N138" t="inlineStr"/>
      <c r="P138" t="inlineStr">
        <is>
          <t>20240717</t>
        </is>
      </c>
      <c r="Q138" t="inlineStr">
        <is>
          <t>99991231</t>
        </is>
      </c>
    </row>
    <row r="139">
      <c r="A139" t="inlineStr">
        <is>
          <t>900007532DW55D34210000541</t>
        </is>
      </c>
      <c r="B139" t="inlineStr">
        <is>
          <t>900007532</t>
        </is>
      </c>
      <c r="C139" t="inlineStr">
        <is>
          <t>DW55</t>
        </is>
      </c>
      <c r="D139" t="inlineStr">
        <is>
          <t>D342</t>
        </is>
      </c>
      <c r="E139" t="inlineStr">
        <is>
          <t>4</t>
        </is>
      </c>
      <c r="F139" t="inlineStr">
        <is>
          <t>10000541</t>
        </is>
      </c>
      <c r="H139" t="inlineStr"/>
      <c r="J139" t="n">
        <v>360.21</v>
      </c>
      <c r="K139" t="inlineStr"/>
      <c r="M139" t="inlineStr">
        <is>
          <t>TN</t>
        </is>
      </c>
      <c r="N139" t="inlineStr"/>
      <c r="P139" t="inlineStr">
        <is>
          <t>20240717</t>
        </is>
      </c>
      <c r="Q139" t="inlineStr">
        <is>
          <t>99991231</t>
        </is>
      </c>
    </row>
    <row r="140">
      <c r="A140" t="inlineStr">
        <is>
          <t>900007532DW55D34810000372</t>
        </is>
      </c>
      <c r="B140" t="inlineStr">
        <is>
          <t>900007532</t>
        </is>
      </c>
      <c r="C140" t="inlineStr">
        <is>
          <t>DW55</t>
        </is>
      </c>
      <c r="D140" t="inlineStr">
        <is>
          <t>D348</t>
        </is>
      </c>
      <c r="E140" t="inlineStr">
        <is>
          <t>1</t>
        </is>
      </c>
      <c r="F140" t="inlineStr">
        <is>
          <t>10000372</t>
        </is>
      </c>
      <c r="H140" t="inlineStr"/>
      <c r="J140" t="n">
        <v>169.2</v>
      </c>
      <c r="K140" t="inlineStr"/>
      <c r="M140" t="inlineStr">
        <is>
          <t>TN</t>
        </is>
      </c>
      <c r="N140" t="inlineStr"/>
      <c r="P140" t="inlineStr">
        <is>
          <t>20220908</t>
        </is>
      </c>
      <c r="Q140" t="inlineStr">
        <is>
          <t>99991231</t>
        </is>
      </c>
    </row>
    <row r="141">
      <c r="A141" t="inlineStr">
        <is>
          <t>900007532DW55D34810000372</t>
        </is>
      </c>
      <c r="B141" t="inlineStr">
        <is>
          <t>900007532</t>
        </is>
      </c>
      <c r="C141" t="inlineStr">
        <is>
          <t>DW55</t>
        </is>
      </c>
      <c r="D141" t="inlineStr">
        <is>
          <t>D348</t>
        </is>
      </c>
      <c r="E141" t="inlineStr">
        <is>
          <t>4</t>
        </is>
      </c>
      <c r="F141" t="inlineStr">
        <is>
          <t>10000372</t>
        </is>
      </c>
      <c r="H141" t="inlineStr"/>
      <c r="J141" t="n">
        <v>169.2</v>
      </c>
      <c r="K141" t="inlineStr"/>
      <c r="M141" t="inlineStr">
        <is>
          <t>TN</t>
        </is>
      </c>
      <c r="N141" t="inlineStr"/>
      <c r="P141" t="inlineStr">
        <is>
          <t>20240717</t>
        </is>
      </c>
      <c r="Q141" t="inlineStr">
        <is>
          <t>99991231</t>
        </is>
      </c>
    </row>
    <row r="142">
      <c r="A142" t="inlineStr">
        <is>
          <t>900007532DW55D34810079650</t>
        </is>
      </c>
      <c r="B142" t="inlineStr">
        <is>
          <t>900007532</t>
        </is>
      </c>
      <c r="C142" t="inlineStr">
        <is>
          <t>DW55</t>
        </is>
      </c>
      <c r="D142" t="inlineStr">
        <is>
          <t>D348</t>
        </is>
      </c>
      <c r="E142" t="inlineStr">
        <is>
          <t>4</t>
        </is>
      </c>
      <c r="F142" t="inlineStr">
        <is>
          <t>10079650</t>
        </is>
      </c>
      <c r="H142" t="inlineStr"/>
      <c r="J142" t="n">
        <v>303.87</v>
      </c>
      <c r="K142" t="inlineStr"/>
      <c r="M142" t="inlineStr">
        <is>
          <t>TN</t>
        </is>
      </c>
      <c r="N142" t="inlineStr"/>
      <c r="P142" t="inlineStr">
        <is>
          <t>20240717</t>
        </is>
      </c>
      <c r="Q142" t="inlineStr">
        <is>
          <t>99991231</t>
        </is>
      </c>
    </row>
    <row r="143">
      <c r="A143" t="inlineStr">
        <is>
          <t>900007556DW55ER6710189800</t>
        </is>
      </c>
      <c r="B143" t="inlineStr">
        <is>
          <t>900007556</t>
        </is>
      </c>
      <c r="C143" t="inlineStr">
        <is>
          <t>DW55</t>
        </is>
      </c>
      <c r="D143" t="inlineStr">
        <is>
          <t>ER67</t>
        </is>
      </c>
      <c r="E143" t="inlineStr">
        <is>
          <t>4</t>
        </is>
      </c>
      <c r="F143" t="inlineStr">
        <is>
          <t>10189800</t>
        </is>
      </c>
      <c r="H143" t="inlineStr"/>
      <c r="J143" t="n">
        <v>253.85</v>
      </c>
      <c r="K143" t="inlineStr"/>
      <c r="M143" t="inlineStr">
        <is>
          <t>TN</t>
        </is>
      </c>
      <c r="N143" t="inlineStr"/>
      <c r="P143" t="inlineStr">
        <is>
          <t>20220301</t>
        </is>
      </c>
      <c r="Q143" t="inlineStr">
        <is>
          <t>99991231</t>
        </is>
      </c>
    </row>
    <row r="144">
      <c r="A144" t="inlineStr">
        <is>
          <t>900007580DW55D28410217663</t>
        </is>
      </c>
      <c r="B144" t="inlineStr">
        <is>
          <t>900007580</t>
        </is>
      </c>
      <c r="C144" t="inlineStr">
        <is>
          <t>DW55</t>
        </is>
      </c>
      <c r="D144" t="inlineStr">
        <is>
          <t>D284</t>
        </is>
      </c>
      <c r="E144" t="inlineStr">
        <is>
          <t>1</t>
        </is>
      </c>
      <c r="F144" t="inlineStr">
        <is>
          <t>10217663</t>
        </is>
      </c>
      <c r="H144" t="inlineStr"/>
      <c r="J144" t="n">
        <v>54.61</v>
      </c>
      <c r="K144" t="inlineStr"/>
      <c r="M144" t="inlineStr">
        <is>
          <t>TN</t>
        </is>
      </c>
      <c r="N144" t="inlineStr"/>
      <c r="P144" t="inlineStr">
        <is>
          <t>20251021</t>
        </is>
      </c>
      <c r="Q144" t="inlineStr">
        <is>
          <t>99991231</t>
        </is>
      </c>
    </row>
    <row r="145">
      <c r="A145" t="inlineStr">
        <is>
          <t>900007580DW55D30410217663</t>
        </is>
      </c>
      <c r="B145" t="inlineStr">
        <is>
          <t>900007580</t>
        </is>
      </c>
      <c r="C145" t="inlineStr">
        <is>
          <t>DW55</t>
        </is>
      </c>
      <c r="D145" t="inlineStr">
        <is>
          <t>D304</t>
        </is>
      </c>
      <c r="E145" t="inlineStr">
        <is>
          <t>1</t>
        </is>
      </c>
      <c r="F145" t="inlineStr">
        <is>
          <t>10217663</t>
        </is>
      </c>
      <c r="H145" t="inlineStr"/>
      <c r="J145" t="n">
        <v>101.1</v>
      </c>
      <c r="K145" t="inlineStr"/>
      <c r="M145" t="inlineStr">
        <is>
          <t>TN</t>
        </is>
      </c>
      <c r="N145" t="inlineStr"/>
      <c r="P145" t="inlineStr">
        <is>
          <t>20260519</t>
        </is>
      </c>
      <c r="Q145" t="inlineStr">
        <is>
          <t>99991231</t>
        </is>
      </c>
    </row>
    <row r="146">
      <c r="A146" t="inlineStr">
        <is>
          <t>900007580DW55D30910217663</t>
        </is>
      </c>
      <c r="B146" t="inlineStr">
        <is>
          <t>900007580</t>
        </is>
      </c>
      <c r="C146" t="inlineStr">
        <is>
          <t>DW55</t>
        </is>
      </c>
      <c r="D146" t="inlineStr">
        <is>
          <t>D309</t>
        </is>
      </c>
      <c r="E146" t="inlineStr">
        <is>
          <t>1</t>
        </is>
      </c>
      <c r="F146" t="inlineStr">
        <is>
          <t>10217663</t>
        </is>
      </c>
      <c r="H146" t="inlineStr"/>
      <c r="J146" t="n">
        <v>32.28</v>
      </c>
      <c r="K146" t="inlineStr"/>
      <c r="M146" t="inlineStr">
        <is>
          <t>TN</t>
        </is>
      </c>
      <c r="N146" t="inlineStr"/>
      <c r="P146" t="inlineStr">
        <is>
          <t>20251021</t>
        </is>
      </c>
      <c r="Q146" t="inlineStr">
        <is>
          <t>99991231</t>
        </is>
      </c>
    </row>
    <row r="147">
      <c r="A147" t="inlineStr">
        <is>
          <t>900007580DW55D32510217663</t>
        </is>
      </c>
      <c r="B147" t="inlineStr">
        <is>
          <t>900007580</t>
        </is>
      </c>
      <c r="C147" t="inlineStr">
        <is>
          <t>DW55</t>
        </is>
      </c>
      <c r="D147" t="inlineStr">
        <is>
          <t>D325</t>
        </is>
      </c>
      <c r="E147" t="inlineStr">
        <is>
          <t>1</t>
        </is>
      </c>
      <c r="F147" t="inlineStr">
        <is>
          <t>10217663</t>
        </is>
      </c>
      <c r="H147" t="inlineStr"/>
      <c r="J147" t="n">
        <v>257.16</v>
      </c>
      <c r="K147" t="inlineStr"/>
      <c r="M147" t="inlineStr">
        <is>
          <t>TN</t>
        </is>
      </c>
      <c r="N147" t="inlineStr"/>
      <c r="P147" t="inlineStr">
        <is>
          <t>20260519</t>
        </is>
      </c>
      <c r="Q147" t="inlineStr">
        <is>
          <t>99991231</t>
        </is>
      </c>
    </row>
    <row r="148">
      <c r="A148" t="inlineStr">
        <is>
          <t>900007580DW55D34210217663</t>
        </is>
      </c>
      <c r="B148" t="inlineStr">
        <is>
          <t>900007580</t>
        </is>
      </c>
      <c r="C148" t="inlineStr">
        <is>
          <t>DW55</t>
        </is>
      </c>
      <c r="D148" t="inlineStr">
        <is>
          <t>D342</t>
        </is>
      </c>
      <c r="E148" t="inlineStr">
        <is>
          <t>1</t>
        </is>
      </c>
      <c r="F148" t="inlineStr">
        <is>
          <t>10217663</t>
        </is>
      </c>
      <c r="H148" t="inlineStr"/>
      <c r="J148" t="n">
        <v>78.45</v>
      </c>
      <c r="K148" t="inlineStr"/>
      <c r="M148" t="inlineStr">
        <is>
          <t>TN</t>
        </is>
      </c>
      <c r="N148" t="inlineStr"/>
      <c r="P148" t="inlineStr">
        <is>
          <t>20251021</t>
        </is>
      </c>
      <c r="Q148" t="inlineStr">
        <is>
          <t>99991231</t>
        </is>
      </c>
    </row>
    <row r="149">
      <c r="A149" t="inlineStr">
        <is>
          <t>900007581DW55D28410189800</t>
        </is>
      </c>
      <c r="B149" t="inlineStr">
        <is>
          <t>900007581</t>
        </is>
      </c>
      <c r="C149" t="inlineStr">
        <is>
          <t>DW55</t>
        </is>
      </c>
      <c r="D149" t="inlineStr">
        <is>
          <t>D284</t>
        </is>
      </c>
      <c r="E149" t="inlineStr">
        <is>
          <t>4</t>
        </is>
      </c>
      <c r="F149" t="inlineStr">
        <is>
          <t>10189800</t>
        </is>
      </c>
      <c r="H149" t="inlineStr"/>
      <c r="J149" t="n">
        <v>146.15</v>
      </c>
      <c r="K149" t="inlineStr"/>
      <c r="M149" t="inlineStr">
        <is>
          <t>TN</t>
        </is>
      </c>
      <c r="N149" t="inlineStr"/>
      <c r="P149" t="inlineStr">
        <is>
          <t>20220616</t>
        </is>
      </c>
      <c r="Q149" t="inlineStr">
        <is>
          <t>20240717</t>
        </is>
      </c>
    </row>
    <row r="150">
      <c r="A150" t="inlineStr">
        <is>
          <t>900007581DW55D28410217663</t>
        </is>
      </c>
      <c r="B150" t="inlineStr">
        <is>
          <t>900007581</t>
        </is>
      </c>
      <c r="C150" t="inlineStr">
        <is>
          <t>DW55</t>
        </is>
      </c>
      <c r="D150" t="inlineStr">
        <is>
          <t>D284</t>
        </is>
      </c>
      <c r="E150" t="inlineStr">
        <is>
          <t>4</t>
        </is>
      </c>
      <c r="F150" t="inlineStr">
        <is>
          <t>10217663</t>
        </is>
      </c>
      <c r="H150" t="inlineStr"/>
      <c r="J150" t="n">
        <v>49.45</v>
      </c>
      <c r="K150" t="inlineStr"/>
      <c r="M150" t="inlineStr">
        <is>
          <t>TN</t>
        </is>
      </c>
      <c r="N150" t="inlineStr"/>
      <c r="P150" t="inlineStr">
        <is>
          <t>20260501</t>
        </is>
      </c>
      <c r="Q150" t="inlineStr">
        <is>
          <t>99991231</t>
        </is>
      </c>
    </row>
    <row r="151">
      <c r="A151" t="inlineStr">
        <is>
          <t>900007581DW55D30910217663</t>
        </is>
      </c>
      <c r="B151" t="inlineStr">
        <is>
          <t>900007581</t>
        </is>
      </c>
      <c r="C151" t="inlineStr">
        <is>
          <t>DW55</t>
        </is>
      </c>
      <c r="D151" t="inlineStr">
        <is>
          <t>D309</t>
        </is>
      </c>
      <c r="E151" t="inlineStr">
        <is>
          <t>4</t>
        </is>
      </c>
      <c r="F151" t="inlineStr">
        <is>
          <t>10217663</t>
        </is>
      </c>
      <c r="H151" t="inlineStr"/>
      <c r="J151" t="n">
        <v>35.71</v>
      </c>
      <c r="K151" t="inlineStr"/>
      <c r="M151" t="inlineStr">
        <is>
          <t>TN</t>
        </is>
      </c>
      <c r="N151" t="inlineStr"/>
      <c r="P151" t="inlineStr">
        <is>
          <t>20260501</t>
        </is>
      </c>
      <c r="Q151" t="inlineStr">
        <is>
          <t>99991231</t>
        </is>
      </c>
    </row>
    <row r="152">
      <c r="A152" t="inlineStr">
        <is>
          <t>900007581DW55D34210217663</t>
        </is>
      </c>
      <c r="B152" t="inlineStr">
        <is>
          <t>900007581</t>
        </is>
      </c>
      <c r="C152" t="inlineStr">
        <is>
          <t>DW55</t>
        </is>
      </c>
      <c r="D152" t="inlineStr">
        <is>
          <t>D342</t>
        </is>
      </c>
      <c r="E152" t="inlineStr">
        <is>
          <t>4</t>
        </is>
      </c>
      <c r="F152" t="inlineStr">
        <is>
          <t>10217663</t>
        </is>
      </c>
      <c r="H152" t="inlineStr"/>
      <c r="J152" t="n">
        <v>97.87</v>
      </c>
      <c r="K152" t="inlineStr"/>
      <c r="M152" t="inlineStr">
        <is>
          <t>TN</t>
        </is>
      </c>
      <c r="N152" t="inlineStr"/>
      <c r="P152" t="inlineStr">
        <is>
          <t>20260501</t>
        </is>
      </c>
      <c r="Q152" t="inlineStr">
        <is>
          <t>99991231</t>
        </is>
      </c>
    </row>
    <row r="153">
      <c r="A153" t="inlineStr">
        <is>
          <t>900007581DW55D34810000561</t>
        </is>
      </c>
      <c r="B153" t="inlineStr">
        <is>
          <t>900007581</t>
        </is>
      </c>
      <c r="C153" t="inlineStr">
        <is>
          <t>DW55</t>
        </is>
      </c>
      <c r="D153" t="inlineStr">
        <is>
          <t>D348</t>
        </is>
      </c>
      <c r="E153" t="inlineStr">
        <is>
          <t>4</t>
        </is>
      </c>
      <c r="F153" t="inlineStr">
        <is>
          <t>10000561</t>
        </is>
      </c>
      <c r="H153" t="inlineStr"/>
      <c r="J153" t="n">
        <v>222.38</v>
      </c>
      <c r="K153" t="inlineStr"/>
      <c r="M153" t="inlineStr">
        <is>
          <t>TN</t>
        </is>
      </c>
      <c r="N153" t="inlineStr"/>
      <c r="P153" t="inlineStr">
        <is>
          <t>20220601</t>
        </is>
      </c>
      <c r="Q153" t="inlineStr">
        <is>
          <t>20240717</t>
        </is>
      </c>
    </row>
    <row r="154">
      <c r="A154" t="inlineStr">
        <is>
          <t>900007603DW55D28410000372</t>
        </is>
      </c>
      <c r="B154" t="inlineStr">
        <is>
          <t>900007603</t>
        </is>
      </c>
      <c r="C154" t="inlineStr">
        <is>
          <t>DW55</t>
        </is>
      </c>
      <c r="D154" t="inlineStr">
        <is>
          <t>D284</t>
        </is>
      </c>
      <c r="E154" t="inlineStr">
        <is>
          <t>1</t>
        </is>
      </c>
      <c r="F154" t="inlineStr">
        <is>
          <t>10000372</t>
        </is>
      </c>
      <c r="H154" t="inlineStr"/>
      <c r="J154" t="n">
        <v>116.46</v>
      </c>
      <c r="K154" t="inlineStr"/>
      <c r="M154" t="inlineStr">
        <is>
          <t>TN</t>
        </is>
      </c>
      <c r="N154" t="inlineStr"/>
      <c r="P154" t="inlineStr">
        <is>
          <t>20240726</t>
        </is>
      </c>
      <c r="Q154" t="inlineStr">
        <is>
          <t>20251031</t>
        </is>
      </c>
    </row>
    <row r="155">
      <c r="A155" t="inlineStr">
        <is>
          <t>900007603DW55D28410000623</t>
        </is>
      </c>
      <c r="B155" t="inlineStr">
        <is>
          <t>900007603</t>
        </is>
      </c>
      <c r="C155" t="inlineStr">
        <is>
          <t>DW55</t>
        </is>
      </c>
      <c r="D155" t="inlineStr">
        <is>
          <t>D284</t>
        </is>
      </c>
      <c r="E155" t="inlineStr">
        <is>
          <t>1</t>
        </is>
      </c>
      <c r="F155" t="inlineStr">
        <is>
          <t>10000623</t>
        </is>
      </c>
      <c r="H155" t="inlineStr"/>
      <c r="J155" t="n">
        <v>119.6</v>
      </c>
      <c r="K155" t="inlineStr"/>
      <c r="M155" t="inlineStr">
        <is>
          <t>TN</t>
        </is>
      </c>
      <c r="N155" t="inlineStr"/>
      <c r="P155" t="inlineStr">
        <is>
          <t>20250626</t>
        </is>
      </c>
      <c r="Q155" t="inlineStr">
        <is>
          <t>20260420</t>
        </is>
      </c>
    </row>
    <row r="156">
      <c r="A156" t="inlineStr">
        <is>
          <t>900007603DW55D28410123034</t>
        </is>
      </c>
      <c r="B156" t="inlineStr">
        <is>
          <t>900007603</t>
        </is>
      </c>
      <c r="C156" t="inlineStr">
        <is>
          <t>DW55</t>
        </is>
      </c>
      <c r="D156" t="inlineStr">
        <is>
          <t>D284</t>
        </is>
      </c>
      <c r="E156" t="inlineStr">
        <is>
          <t>1</t>
        </is>
      </c>
      <c r="F156" t="inlineStr">
        <is>
          <t>10123034</t>
        </is>
      </c>
      <c r="H156" t="inlineStr"/>
      <c r="J156" t="n">
        <v>110.36</v>
      </c>
      <c r="K156" t="inlineStr"/>
      <c r="M156" t="inlineStr">
        <is>
          <t>TN</t>
        </is>
      </c>
      <c r="N156" t="inlineStr"/>
      <c r="P156" t="inlineStr">
        <is>
          <t>20240726</t>
        </is>
      </c>
      <c r="Q156" t="inlineStr">
        <is>
          <t>20251031</t>
        </is>
      </c>
    </row>
    <row r="157">
      <c r="A157" t="inlineStr">
        <is>
          <t>900007603DW55D30910000372</t>
        </is>
      </c>
      <c r="B157" t="inlineStr">
        <is>
          <t>900007603</t>
        </is>
      </c>
      <c r="C157" t="inlineStr">
        <is>
          <t>DW55</t>
        </is>
      </c>
      <c r="D157" t="inlineStr">
        <is>
          <t>D309</t>
        </is>
      </c>
      <c r="E157" t="inlineStr">
        <is>
          <t>1</t>
        </is>
      </c>
      <c r="F157" t="inlineStr">
        <is>
          <t>10000372</t>
        </is>
      </c>
      <c r="H157" t="inlineStr"/>
      <c r="J157" t="n">
        <v>168.37</v>
      </c>
      <c r="K157" t="inlineStr"/>
      <c r="M157" t="inlineStr">
        <is>
          <t>TN</t>
        </is>
      </c>
      <c r="N157" t="inlineStr"/>
      <c r="P157" t="inlineStr">
        <is>
          <t>20240726</t>
        </is>
      </c>
      <c r="Q157" t="inlineStr">
        <is>
          <t>20251031</t>
        </is>
      </c>
    </row>
    <row r="158">
      <c r="A158" t="inlineStr">
        <is>
          <t>900007603DW55D30910000623</t>
        </is>
      </c>
      <c r="B158" t="inlineStr">
        <is>
          <t>900007603</t>
        </is>
      </c>
      <c r="C158" t="inlineStr">
        <is>
          <t>DW55</t>
        </is>
      </c>
      <c r="D158" t="inlineStr">
        <is>
          <t>D309</t>
        </is>
      </c>
      <c r="E158" t="inlineStr">
        <is>
          <t>1</t>
        </is>
      </c>
      <c r="F158" t="inlineStr">
        <is>
          <t>10000623</t>
        </is>
      </c>
      <c r="H158" t="inlineStr"/>
      <c r="J158" t="n">
        <v>172.91</v>
      </c>
      <c r="K158" t="inlineStr"/>
      <c r="M158" t="inlineStr">
        <is>
          <t>TN</t>
        </is>
      </c>
      <c r="N158" t="inlineStr"/>
      <c r="P158" t="inlineStr">
        <is>
          <t>20250626</t>
        </is>
      </c>
      <c r="Q158" t="inlineStr">
        <is>
          <t>20260420</t>
        </is>
      </c>
    </row>
    <row r="159">
      <c r="A159" t="inlineStr">
        <is>
          <t>900007603DW55D30910123034</t>
        </is>
      </c>
      <c r="B159" t="inlineStr">
        <is>
          <t>900007603</t>
        </is>
      </c>
      <c r="C159" t="inlineStr">
        <is>
          <t>DW55</t>
        </is>
      </c>
      <c r="D159" t="inlineStr">
        <is>
          <t>D309</t>
        </is>
      </c>
      <c r="E159" t="inlineStr">
        <is>
          <t>1</t>
        </is>
      </c>
      <c r="F159" t="inlineStr">
        <is>
          <t>10123034</t>
        </is>
      </c>
      <c r="H159" t="inlineStr"/>
      <c r="J159" t="n">
        <v>159.55</v>
      </c>
      <c r="K159" t="inlineStr"/>
      <c r="M159" t="inlineStr">
        <is>
          <t>TN</t>
        </is>
      </c>
      <c r="N159" t="inlineStr"/>
      <c r="P159" t="inlineStr">
        <is>
          <t>20240726</t>
        </is>
      </c>
      <c r="Q159" t="inlineStr">
        <is>
          <t>20251031</t>
        </is>
      </c>
    </row>
    <row r="160">
      <c r="A160" t="inlineStr">
        <is>
          <t>900007603DW55D32510000372</t>
        </is>
      </c>
      <c r="B160" t="inlineStr">
        <is>
          <t>900007603</t>
        </is>
      </c>
      <c r="C160" t="inlineStr">
        <is>
          <t>DW55</t>
        </is>
      </c>
      <c r="D160" t="inlineStr">
        <is>
          <t>D325</t>
        </is>
      </c>
      <c r="E160" t="inlineStr">
        <is>
          <t>1</t>
        </is>
      </c>
      <c r="F160" t="inlineStr">
        <is>
          <t>10000372</t>
        </is>
      </c>
      <c r="H160" t="inlineStr"/>
      <c r="J160" t="n">
        <v>257.9</v>
      </c>
      <c r="K160" t="inlineStr"/>
      <c r="M160" t="inlineStr">
        <is>
          <t>TN</t>
        </is>
      </c>
      <c r="N160" t="inlineStr"/>
      <c r="P160" t="inlineStr">
        <is>
          <t>20240726</t>
        </is>
      </c>
      <c r="Q160" t="inlineStr">
        <is>
          <t>20251031</t>
        </is>
      </c>
    </row>
    <row r="161">
      <c r="A161" t="inlineStr">
        <is>
          <t>900007603DW55D32510000373</t>
        </is>
      </c>
      <c r="B161" t="inlineStr">
        <is>
          <t>900007603</t>
        </is>
      </c>
      <c r="C161" t="inlineStr">
        <is>
          <t>DW55</t>
        </is>
      </c>
      <c r="D161" t="inlineStr">
        <is>
          <t>D325</t>
        </is>
      </c>
      <c r="E161" t="inlineStr">
        <is>
          <t>1</t>
        </is>
      </c>
      <c r="F161" t="inlineStr">
        <is>
          <t>10000373</t>
        </is>
      </c>
      <c r="H161" t="inlineStr"/>
      <c r="J161" t="n">
        <v>266.57</v>
      </c>
      <c r="K161" t="inlineStr"/>
      <c r="M161" t="inlineStr">
        <is>
          <t>TN</t>
        </is>
      </c>
      <c r="N161" t="inlineStr"/>
      <c r="P161" t="inlineStr">
        <is>
          <t>20220715</t>
        </is>
      </c>
      <c r="Q161" t="inlineStr">
        <is>
          <t>20240930</t>
        </is>
      </c>
    </row>
    <row r="162">
      <c r="A162" t="inlineStr">
        <is>
          <t>900007603DW55D32510000623</t>
        </is>
      </c>
      <c r="B162" t="inlineStr">
        <is>
          <t>900007603</t>
        </is>
      </c>
      <c r="C162" t="inlineStr">
        <is>
          <t>DW55</t>
        </is>
      </c>
      <c r="D162" t="inlineStr">
        <is>
          <t>D325</t>
        </is>
      </c>
      <c r="E162" t="inlineStr">
        <is>
          <t>1</t>
        </is>
      </c>
      <c r="F162" t="inlineStr">
        <is>
          <t>10000623</t>
        </is>
      </c>
      <c r="H162" t="inlineStr"/>
      <c r="J162" t="n">
        <v>264.85</v>
      </c>
      <c r="K162" t="inlineStr"/>
      <c r="M162" t="inlineStr">
        <is>
          <t>TN</t>
        </is>
      </c>
      <c r="N162" t="inlineStr"/>
      <c r="P162" t="inlineStr">
        <is>
          <t>20250626</t>
        </is>
      </c>
      <c r="Q162" t="inlineStr">
        <is>
          <t>20260420</t>
        </is>
      </c>
    </row>
    <row r="163">
      <c r="A163" t="inlineStr">
        <is>
          <t>900007603DW55D32510123034</t>
        </is>
      </c>
      <c r="B163" t="inlineStr">
        <is>
          <t>900007603</t>
        </is>
      </c>
      <c r="C163" t="inlineStr">
        <is>
          <t>DW55</t>
        </is>
      </c>
      <c r="D163" t="inlineStr">
        <is>
          <t>D325</t>
        </is>
      </c>
      <c r="E163" t="inlineStr">
        <is>
          <t>1</t>
        </is>
      </c>
      <c r="F163" t="inlineStr">
        <is>
          <t>10123034</t>
        </is>
      </c>
      <c r="H163" t="inlineStr"/>
      <c r="J163" t="n">
        <v>244.4</v>
      </c>
      <c r="K163" t="inlineStr"/>
      <c r="M163" t="inlineStr">
        <is>
          <t>TN</t>
        </is>
      </c>
      <c r="N163" t="inlineStr"/>
      <c r="P163" t="inlineStr">
        <is>
          <t>20240726</t>
        </is>
      </c>
      <c r="Q163" t="inlineStr">
        <is>
          <t>20251031</t>
        </is>
      </c>
    </row>
    <row r="164">
      <c r="A164" t="inlineStr">
        <is>
          <t>900007603DW55D34210000372</t>
        </is>
      </c>
      <c r="B164" t="inlineStr">
        <is>
          <t>900007603</t>
        </is>
      </c>
      <c r="C164" t="inlineStr">
        <is>
          <t>DW55</t>
        </is>
      </c>
      <c r="D164" t="inlineStr">
        <is>
          <t>D342</t>
        </is>
      </c>
      <c r="E164" t="inlineStr">
        <is>
          <t>1</t>
        </is>
      </c>
      <c r="F164" t="inlineStr">
        <is>
          <t>10000372</t>
        </is>
      </c>
      <c r="H164" t="inlineStr"/>
      <c r="J164" t="n">
        <v>202.99</v>
      </c>
      <c r="K164" t="inlineStr"/>
      <c r="M164" t="inlineStr">
        <is>
          <t>TN</t>
        </is>
      </c>
      <c r="N164" t="inlineStr"/>
      <c r="P164" t="inlineStr">
        <is>
          <t>20240726</t>
        </is>
      </c>
      <c r="Q164" t="inlineStr">
        <is>
          <t>20251031</t>
        </is>
      </c>
    </row>
    <row r="165">
      <c r="A165" t="inlineStr">
        <is>
          <t>900007603DW55D34210000623</t>
        </is>
      </c>
      <c r="B165" t="inlineStr">
        <is>
          <t>900007603</t>
        </is>
      </c>
      <c r="C165" t="inlineStr">
        <is>
          <t>DW55</t>
        </is>
      </c>
      <c r="D165" t="inlineStr">
        <is>
          <t>D342</t>
        </is>
      </c>
      <c r="E165" t="inlineStr">
        <is>
          <t>1</t>
        </is>
      </c>
      <c r="F165" t="inlineStr">
        <is>
          <t>10000623</t>
        </is>
      </c>
      <c r="H165" t="inlineStr"/>
      <c r="J165" t="n">
        <v>208.46</v>
      </c>
      <c r="K165" t="inlineStr"/>
      <c r="M165" t="inlineStr">
        <is>
          <t>TN</t>
        </is>
      </c>
      <c r="N165" t="inlineStr"/>
      <c r="P165" t="inlineStr">
        <is>
          <t>20250626</t>
        </is>
      </c>
      <c r="Q165" t="inlineStr">
        <is>
          <t>20260420</t>
        </is>
      </c>
    </row>
    <row r="166">
      <c r="A166" t="inlineStr">
        <is>
          <t>900007603DW55D34210123034</t>
        </is>
      </c>
      <c r="B166" t="inlineStr">
        <is>
          <t>900007603</t>
        </is>
      </c>
      <c r="C166" t="inlineStr">
        <is>
          <t>DW55</t>
        </is>
      </c>
      <c r="D166" t="inlineStr">
        <is>
          <t>D342</t>
        </is>
      </c>
      <c r="E166" t="inlineStr">
        <is>
          <t>1</t>
        </is>
      </c>
      <c r="F166" t="inlineStr">
        <is>
          <t>10123034</t>
        </is>
      </c>
      <c r="H166" t="inlineStr"/>
      <c r="J166" t="n">
        <v>192.36</v>
      </c>
      <c r="K166" t="inlineStr"/>
      <c r="M166" t="inlineStr">
        <is>
          <t>TN</t>
        </is>
      </c>
      <c r="N166" t="inlineStr"/>
      <c r="P166" t="inlineStr">
        <is>
          <t>20240726</t>
        </is>
      </c>
      <c r="Q166" t="inlineStr">
        <is>
          <t>20251031</t>
        </is>
      </c>
    </row>
    <row r="167">
      <c r="A167" t="inlineStr">
        <is>
          <t>900007603DW55D34810000372</t>
        </is>
      </c>
      <c r="B167" t="inlineStr">
        <is>
          <t>900007603</t>
        </is>
      </c>
      <c r="C167" t="inlineStr">
        <is>
          <t>DW55</t>
        </is>
      </c>
      <c r="D167" t="inlineStr">
        <is>
          <t>D348</t>
        </is>
      </c>
      <c r="E167" t="inlineStr">
        <is>
          <t>1</t>
        </is>
      </c>
      <c r="F167" t="inlineStr">
        <is>
          <t>10000372</t>
        </is>
      </c>
      <c r="H167" t="inlineStr"/>
      <c r="J167" t="n">
        <v>334.74</v>
      </c>
      <c r="K167" t="inlineStr"/>
      <c r="M167" t="inlineStr">
        <is>
          <t>TN</t>
        </is>
      </c>
      <c r="N167" t="inlineStr"/>
      <c r="P167" t="inlineStr">
        <is>
          <t>20240726</t>
        </is>
      </c>
      <c r="Q167" t="inlineStr">
        <is>
          <t>20251031</t>
        </is>
      </c>
    </row>
    <row r="168">
      <c r="A168" t="inlineStr">
        <is>
          <t>900007603DW55D34810000373</t>
        </is>
      </c>
      <c r="B168" t="inlineStr">
        <is>
          <t>900007603</t>
        </is>
      </c>
      <c r="C168" t="inlineStr">
        <is>
          <t>DW55</t>
        </is>
      </c>
      <c r="D168" t="inlineStr">
        <is>
          <t>D348</t>
        </is>
      </c>
      <c r="E168" t="inlineStr">
        <is>
          <t>1</t>
        </is>
      </c>
      <c r="F168" t="inlineStr">
        <is>
          <t>10000373</t>
        </is>
      </c>
      <c r="H168" t="inlineStr"/>
      <c r="J168" t="n">
        <v>352.3</v>
      </c>
      <c r="K168" t="inlineStr"/>
      <c r="M168" t="inlineStr">
        <is>
          <t>TN</t>
        </is>
      </c>
      <c r="N168" t="inlineStr"/>
      <c r="P168" t="inlineStr">
        <is>
          <t>20220715</t>
        </is>
      </c>
      <c r="Q168" t="inlineStr">
        <is>
          <t>20240930</t>
        </is>
      </c>
    </row>
    <row r="169">
      <c r="A169" t="inlineStr">
        <is>
          <t>900007603DW55ER6810210260</t>
        </is>
      </c>
      <c r="B169" t="inlineStr">
        <is>
          <t>900007603</t>
        </is>
      </c>
      <c r="C169" t="inlineStr">
        <is>
          <t>DW55</t>
        </is>
      </c>
      <c r="D169" t="inlineStr">
        <is>
          <t>ER68</t>
        </is>
      </c>
      <c r="E169" t="inlineStr">
        <is>
          <t>1</t>
        </is>
      </c>
      <c r="F169" t="inlineStr">
        <is>
          <t>10210260</t>
        </is>
      </c>
      <c r="H169" t="inlineStr"/>
      <c r="J169" t="n">
        <v>186.63</v>
      </c>
      <c r="K169" t="inlineStr"/>
      <c r="M169" t="inlineStr">
        <is>
          <t>TN</t>
        </is>
      </c>
      <c r="N169" t="inlineStr"/>
      <c r="P169" t="inlineStr">
        <is>
          <t>20220520</t>
        </is>
      </c>
      <c r="Q169" t="inlineStr">
        <is>
          <t>20240717</t>
        </is>
      </c>
    </row>
    <row r="170">
      <c r="A170" t="inlineStr">
        <is>
          <t>900007604DW55D28410000372</t>
        </is>
      </c>
      <c r="B170" t="inlineStr">
        <is>
          <t>900007604</t>
        </is>
      </c>
      <c r="C170" t="inlineStr">
        <is>
          <t>DW55</t>
        </is>
      </c>
      <c r="D170" t="inlineStr">
        <is>
          <t>D284</t>
        </is>
      </c>
      <c r="E170" t="inlineStr">
        <is>
          <t>4</t>
        </is>
      </c>
      <c r="F170" t="inlineStr">
        <is>
          <t>10000372</t>
        </is>
      </c>
      <c r="H170" t="inlineStr"/>
      <c r="J170" t="n">
        <v>117.89</v>
      </c>
      <c r="K170" t="inlineStr"/>
      <c r="M170" t="inlineStr">
        <is>
          <t>TN</t>
        </is>
      </c>
      <c r="N170" t="inlineStr"/>
      <c r="P170" t="inlineStr">
        <is>
          <t>20260421</t>
        </is>
      </c>
      <c r="Q170" t="inlineStr">
        <is>
          <t>20260421</t>
        </is>
      </c>
    </row>
    <row r="171">
      <c r="A171" t="inlineStr">
        <is>
          <t>900007604DW55D28410123034</t>
        </is>
      </c>
      <c r="B171" t="inlineStr">
        <is>
          <t>900007604</t>
        </is>
      </c>
      <c r="C171" t="inlineStr">
        <is>
          <t>DW55</t>
        </is>
      </c>
      <c r="D171" t="inlineStr">
        <is>
          <t>D284</t>
        </is>
      </c>
      <c r="E171" t="inlineStr">
        <is>
          <t>4</t>
        </is>
      </c>
      <c r="F171" t="inlineStr">
        <is>
          <t>10123034</t>
        </is>
      </c>
      <c r="H171" t="inlineStr"/>
      <c r="J171" t="n">
        <v>104.71</v>
      </c>
      <c r="K171" t="inlineStr"/>
      <c r="M171" t="inlineStr">
        <is>
          <t>TN</t>
        </is>
      </c>
      <c r="N171" t="inlineStr"/>
      <c r="P171" t="inlineStr">
        <is>
          <t>20240726</t>
        </is>
      </c>
      <c r="Q171" t="inlineStr">
        <is>
          <t>20260420</t>
        </is>
      </c>
    </row>
    <row r="172">
      <c r="A172" t="inlineStr">
        <is>
          <t>900007604DW55D28410147454</t>
        </is>
      </c>
      <c r="B172" t="inlineStr">
        <is>
          <t>900007604</t>
        </is>
      </c>
      <c r="C172" t="inlineStr">
        <is>
          <t>DW55</t>
        </is>
      </c>
      <c r="D172" t="inlineStr">
        <is>
          <t>D284</t>
        </is>
      </c>
      <c r="E172" t="inlineStr">
        <is>
          <t>4</t>
        </is>
      </c>
      <c r="F172" t="inlineStr">
        <is>
          <t>10147454</t>
        </is>
      </c>
      <c r="H172" t="inlineStr"/>
      <c r="J172" t="n">
        <v>94.19</v>
      </c>
      <c r="K172" t="inlineStr"/>
      <c r="M172" t="inlineStr">
        <is>
          <t>TN</t>
        </is>
      </c>
      <c r="N172" t="inlineStr"/>
      <c r="P172" t="inlineStr">
        <is>
          <t>20220628</t>
        </is>
      </c>
      <c r="Q172" t="inlineStr">
        <is>
          <t>20240821</t>
        </is>
      </c>
    </row>
    <row r="173">
      <c r="A173" t="inlineStr">
        <is>
          <t>900007604DW55D30910000372</t>
        </is>
      </c>
      <c r="B173" t="inlineStr">
        <is>
          <t>900007604</t>
        </is>
      </c>
      <c r="C173" t="inlineStr">
        <is>
          <t>DW55</t>
        </is>
      </c>
      <c r="D173" t="inlineStr">
        <is>
          <t>D309</t>
        </is>
      </c>
      <c r="E173" t="inlineStr">
        <is>
          <t>1</t>
        </is>
      </c>
      <c r="F173" t="inlineStr">
        <is>
          <t>10000372</t>
        </is>
      </c>
      <c r="H173" t="inlineStr"/>
      <c r="J173" t="n">
        <v>171.86</v>
      </c>
      <c r="K173" t="inlineStr"/>
      <c r="M173" t="inlineStr">
        <is>
          <t>TN</t>
        </is>
      </c>
      <c r="N173" t="inlineStr"/>
      <c r="P173" t="inlineStr">
        <is>
          <t>20240419</t>
        </is>
      </c>
      <c r="Q173" t="inlineStr">
        <is>
          <t>20240821</t>
        </is>
      </c>
    </row>
    <row r="174">
      <c r="A174" t="inlineStr">
        <is>
          <t>900007604DW55D30910000372</t>
        </is>
      </c>
      <c r="B174" t="inlineStr">
        <is>
          <t>900007604</t>
        </is>
      </c>
      <c r="C174" t="inlineStr">
        <is>
          <t>DW55</t>
        </is>
      </c>
      <c r="D174" t="inlineStr">
        <is>
          <t>D309</t>
        </is>
      </c>
      <c r="E174" t="inlineStr">
        <is>
          <t>4</t>
        </is>
      </c>
      <c r="F174" t="inlineStr">
        <is>
          <t>10000372</t>
        </is>
      </c>
      <c r="H174" t="inlineStr"/>
      <c r="J174" t="n">
        <v>174.65</v>
      </c>
      <c r="K174" t="inlineStr"/>
      <c r="M174" t="inlineStr">
        <is>
          <t>TN</t>
        </is>
      </c>
      <c r="N174" t="inlineStr"/>
      <c r="P174" t="inlineStr">
        <is>
          <t>20260421</t>
        </is>
      </c>
      <c r="Q174" t="inlineStr">
        <is>
          <t>20260421</t>
        </is>
      </c>
    </row>
    <row r="175">
      <c r="A175" t="inlineStr">
        <is>
          <t>900007604DW55D30910123034</t>
        </is>
      </c>
      <c r="B175" t="inlineStr">
        <is>
          <t>900007604</t>
        </is>
      </c>
      <c r="C175" t="inlineStr">
        <is>
          <t>DW55</t>
        </is>
      </c>
      <c r="D175" t="inlineStr">
        <is>
          <t>D309</t>
        </is>
      </c>
      <c r="E175" t="inlineStr">
        <is>
          <t>4</t>
        </is>
      </c>
      <c r="F175" t="inlineStr">
        <is>
          <t>10123034</t>
        </is>
      </c>
      <c r="H175" t="inlineStr"/>
      <c r="J175" t="n">
        <v>164.92</v>
      </c>
      <c r="K175" t="inlineStr"/>
      <c r="M175" t="inlineStr">
        <is>
          <t>TN</t>
        </is>
      </c>
      <c r="N175" t="inlineStr"/>
      <c r="P175" t="inlineStr">
        <is>
          <t>20260421</t>
        </is>
      </c>
      <c r="Q175" t="inlineStr">
        <is>
          <t>20260421</t>
        </is>
      </c>
    </row>
    <row r="176">
      <c r="A176" t="inlineStr">
        <is>
          <t>900007604DW55D30910147454</t>
        </is>
      </c>
      <c r="B176" t="inlineStr">
        <is>
          <t>900007604</t>
        </is>
      </c>
      <c r="C176" t="inlineStr">
        <is>
          <t>DW55</t>
        </is>
      </c>
      <c r="D176" t="inlineStr">
        <is>
          <t>D309</t>
        </is>
      </c>
      <c r="E176" t="inlineStr">
        <is>
          <t>4</t>
        </is>
      </c>
      <c r="F176" t="inlineStr">
        <is>
          <t>10147454</t>
        </is>
      </c>
      <c r="H176" t="inlineStr"/>
      <c r="J176" t="n">
        <v>122.62</v>
      </c>
      <c r="K176" t="inlineStr"/>
      <c r="M176" t="inlineStr">
        <is>
          <t>TN</t>
        </is>
      </c>
      <c r="N176" t="inlineStr"/>
      <c r="P176" t="inlineStr">
        <is>
          <t>20220715</t>
        </is>
      </c>
      <c r="Q176" t="inlineStr">
        <is>
          <t>20240419</t>
        </is>
      </c>
    </row>
    <row r="177">
      <c r="A177" t="inlineStr">
        <is>
          <t>900007604DW55D34210000372</t>
        </is>
      </c>
      <c r="B177" t="inlineStr">
        <is>
          <t>900007604</t>
        </is>
      </c>
      <c r="C177" t="inlineStr">
        <is>
          <t>DW55</t>
        </is>
      </c>
      <c r="D177" t="inlineStr">
        <is>
          <t>D342</t>
        </is>
      </c>
      <c r="E177" t="inlineStr">
        <is>
          <t>4</t>
        </is>
      </c>
      <c r="F177" t="inlineStr">
        <is>
          <t>10000372</t>
        </is>
      </c>
      <c r="H177" t="inlineStr"/>
      <c r="J177" t="n">
        <v>209.53</v>
      </c>
      <c r="K177" t="inlineStr"/>
      <c r="M177" t="inlineStr">
        <is>
          <t>TN</t>
        </is>
      </c>
      <c r="N177" t="inlineStr"/>
      <c r="P177" t="inlineStr">
        <is>
          <t>20260421</t>
        </is>
      </c>
      <c r="Q177" t="inlineStr">
        <is>
          <t>20260421</t>
        </is>
      </c>
    </row>
    <row r="178">
      <c r="A178" t="inlineStr">
        <is>
          <t>900007604DW55D34210123034</t>
        </is>
      </c>
      <c r="B178" t="inlineStr">
        <is>
          <t>900007604</t>
        </is>
      </c>
      <c r="C178" t="inlineStr">
        <is>
          <t>DW55</t>
        </is>
      </c>
      <c r="D178" t="inlineStr">
        <is>
          <t>D342</t>
        </is>
      </c>
      <c r="E178" t="inlineStr">
        <is>
          <t>4</t>
        </is>
      </c>
      <c r="F178" t="inlineStr">
        <is>
          <t>10123034</t>
        </is>
      </c>
      <c r="H178" t="inlineStr"/>
      <c r="J178" t="n">
        <v>202.23</v>
      </c>
      <c r="K178" t="inlineStr"/>
      <c r="M178" t="inlineStr">
        <is>
          <t>TN</t>
        </is>
      </c>
      <c r="N178" t="inlineStr"/>
      <c r="P178" t="inlineStr">
        <is>
          <t>20240726</t>
        </is>
      </c>
      <c r="Q178" t="inlineStr">
        <is>
          <t>20251031</t>
        </is>
      </c>
    </row>
    <row r="179">
      <c r="A179" t="inlineStr">
        <is>
          <t>900007604DW55D34210147454</t>
        </is>
      </c>
      <c r="B179" t="inlineStr">
        <is>
          <t>900007604</t>
        </is>
      </c>
      <c r="C179" t="inlineStr">
        <is>
          <t>DW55</t>
        </is>
      </c>
      <c r="D179" t="inlineStr">
        <is>
          <t>D342</t>
        </is>
      </c>
      <c r="E179" t="inlineStr">
        <is>
          <t>4</t>
        </is>
      </c>
      <c r="F179" t="inlineStr">
        <is>
          <t>10147454</t>
        </is>
      </c>
      <c r="H179" t="inlineStr"/>
      <c r="J179" t="n">
        <v>148.07</v>
      </c>
      <c r="K179" t="inlineStr"/>
      <c r="M179" t="inlineStr">
        <is>
          <t>TN</t>
        </is>
      </c>
      <c r="N179" t="inlineStr"/>
      <c r="P179" t="inlineStr">
        <is>
          <t>20220715</t>
        </is>
      </c>
      <c r="Q179" t="inlineStr">
        <is>
          <t>20240821</t>
        </is>
      </c>
    </row>
    <row r="180">
      <c r="A180" t="inlineStr">
        <is>
          <t>900007674DW55D28410000561</t>
        </is>
      </c>
      <c r="B180" t="inlineStr">
        <is>
          <t>900007674</t>
        </is>
      </c>
      <c r="C180" t="inlineStr">
        <is>
          <t>DW55</t>
        </is>
      </c>
      <c r="D180" t="inlineStr">
        <is>
          <t>D284</t>
        </is>
      </c>
      <c r="E180" t="inlineStr">
        <is>
          <t>4</t>
        </is>
      </c>
      <c r="F180" t="inlineStr">
        <is>
          <t>10000561</t>
        </is>
      </c>
      <c r="H180" t="inlineStr"/>
      <c r="J180" t="n">
        <v>104.9</v>
      </c>
      <c r="K180" t="inlineStr"/>
      <c r="M180" t="inlineStr">
        <is>
          <t>TN</t>
        </is>
      </c>
      <c r="N180" t="inlineStr"/>
      <c r="P180" t="inlineStr">
        <is>
          <t>20221227</t>
        </is>
      </c>
      <c r="Q180" t="inlineStr">
        <is>
          <t>20240717</t>
        </is>
      </c>
    </row>
    <row r="181">
      <c r="A181" t="inlineStr">
        <is>
          <t>900007674DW55D30910000561</t>
        </is>
      </c>
      <c r="B181" t="inlineStr">
        <is>
          <t>900007674</t>
        </is>
      </c>
      <c r="C181" t="inlineStr">
        <is>
          <t>DW55</t>
        </is>
      </c>
      <c r="D181" t="inlineStr">
        <is>
          <t>D309</t>
        </is>
      </c>
      <c r="E181" t="inlineStr">
        <is>
          <t>4</t>
        </is>
      </c>
      <c r="F181" t="inlineStr">
        <is>
          <t>10000561</t>
        </is>
      </c>
      <c r="H181" t="inlineStr"/>
      <c r="J181" t="n">
        <v>164.34</v>
      </c>
      <c r="K181" t="inlineStr"/>
      <c r="M181" t="inlineStr">
        <is>
          <t>TN</t>
        </is>
      </c>
      <c r="N181" t="inlineStr"/>
      <c r="P181" t="inlineStr">
        <is>
          <t>20221227</t>
        </is>
      </c>
      <c r="Q181" t="inlineStr">
        <is>
          <t>20240717</t>
        </is>
      </c>
    </row>
    <row r="182">
      <c r="A182" t="inlineStr">
        <is>
          <t>900007674DW55D34210000561</t>
        </is>
      </c>
      <c r="B182" t="inlineStr">
        <is>
          <t>900007674</t>
        </is>
      </c>
      <c r="C182" t="inlineStr">
        <is>
          <t>DW55</t>
        </is>
      </c>
      <c r="D182" t="inlineStr">
        <is>
          <t>D342</t>
        </is>
      </c>
      <c r="E182" t="inlineStr">
        <is>
          <t>4</t>
        </is>
      </c>
      <c r="F182" t="inlineStr">
        <is>
          <t>10000561</t>
        </is>
      </c>
      <c r="H182" t="inlineStr"/>
      <c r="J182" t="n">
        <v>195.8</v>
      </c>
      <c r="K182" t="inlineStr"/>
      <c r="M182" t="inlineStr">
        <is>
          <t>TN</t>
        </is>
      </c>
      <c r="N182" t="inlineStr"/>
      <c r="P182" t="inlineStr">
        <is>
          <t>20221227</t>
        </is>
      </c>
      <c r="Q182" t="inlineStr">
        <is>
          <t>20240717</t>
        </is>
      </c>
    </row>
    <row r="183">
      <c r="A183" t="inlineStr">
        <is>
          <t>900007674DW55D34810000561</t>
        </is>
      </c>
      <c r="B183" t="inlineStr">
        <is>
          <t>900007674</t>
        </is>
      </c>
      <c r="C183" t="inlineStr">
        <is>
          <t>DW55</t>
        </is>
      </c>
      <c r="D183" t="inlineStr">
        <is>
          <t>D348</t>
        </is>
      </c>
      <c r="E183" t="inlineStr">
        <is>
          <t>4</t>
        </is>
      </c>
      <c r="F183" t="inlineStr">
        <is>
          <t>10000561</t>
        </is>
      </c>
      <c r="H183" t="inlineStr"/>
      <c r="J183" t="n">
        <v>230.77</v>
      </c>
      <c r="K183" t="inlineStr"/>
      <c r="M183" t="inlineStr">
        <is>
          <t>TN</t>
        </is>
      </c>
      <c r="N183" t="inlineStr"/>
      <c r="P183" t="inlineStr">
        <is>
          <t>20221227</t>
        </is>
      </c>
      <c r="Q183" t="inlineStr">
        <is>
          <t>20240717</t>
        </is>
      </c>
    </row>
    <row r="184">
      <c r="A184" t="inlineStr">
        <is>
          <t>900007718DW55D34810000372</t>
        </is>
      </c>
      <c r="B184" t="inlineStr">
        <is>
          <t>900007718</t>
        </is>
      </c>
      <c r="C184" t="inlineStr">
        <is>
          <t>DW55</t>
        </is>
      </c>
      <c r="D184" t="inlineStr">
        <is>
          <t>D348</t>
        </is>
      </c>
      <c r="E184" t="inlineStr">
        <is>
          <t>4</t>
        </is>
      </c>
      <c r="F184" t="inlineStr">
        <is>
          <t>10000372</t>
        </is>
      </c>
      <c r="H184" t="inlineStr"/>
      <c r="J184" t="n">
        <v>241.71</v>
      </c>
      <c r="K184" t="inlineStr"/>
      <c r="M184" t="inlineStr">
        <is>
          <t>TN</t>
        </is>
      </c>
      <c r="N184" t="inlineStr"/>
      <c r="P184" t="inlineStr">
        <is>
          <t>20230401</t>
        </is>
      </c>
      <c r="Q184" t="inlineStr">
        <is>
          <t>20240726</t>
        </is>
      </c>
    </row>
    <row r="185">
      <c r="A185" t="inlineStr">
        <is>
          <t>900007800DW55D28410000541</t>
        </is>
      </c>
      <c r="B185" t="inlineStr">
        <is>
          <t>900007800</t>
        </is>
      </c>
      <c r="C185" t="inlineStr">
        <is>
          <t>DW55</t>
        </is>
      </c>
      <c r="D185" t="inlineStr">
        <is>
          <t>D284</t>
        </is>
      </c>
      <c r="E185" t="inlineStr">
        <is>
          <t>4</t>
        </is>
      </c>
      <c r="F185" t="inlineStr">
        <is>
          <t>10000541</t>
        </is>
      </c>
      <c r="H185" t="inlineStr"/>
      <c r="J185" t="n">
        <v>327.23</v>
      </c>
      <c r="K185" t="inlineStr"/>
      <c r="M185" t="inlineStr">
        <is>
          <t>TN</t>
        </is>
      </c>
      <c r="N185" t="inlineStr"/>
      <c r="P185" t="inlineStr">
        <is>
          <t>20240705</t>
        </is>
      </c>
      <c r="Q185" t="inlineStr">
        <is>
          <t>20240712</t>
        </is>
      </c>
    </row>
    <row r="186">
      <c r="A186" t="inlineStr">
        <is>
          <t>900007800DW55D32510000541</t>
        </is>
      </c>
      <c r="B186" t="inlineStr">
        <is>
          <t>900007800</t>
        </is>
      </c>
      <c r="C186" t="inlineStr">
        <is>
          <t>DW55</t>
        </is>
      </c>
      <c r="D186" t="inlineStr">
        <is>
          <t>D325</t>
        </is>
      </c>
      <c r="E186" t="inlineStr">
        <is>
          <t>4</t>
        </is>
      </c>
      <c r="F186" t="inlineStr">
        <is>
          <t>10000541</t>
        </is>
      </c>
      <c r="H186" t="inlineStr"/>
      <c r="J186" t="n">
        <v>916.23</v>
      </c>
      <c r="K186" t="inlineStr"/>
      <c r="M186" t="inlineStr">
        <is>
          <t>TN</t>
        </is>
      </c>
      <c r="N186" t="inlineStr"/>
      <c r="P186" t="inlineStr">
        <is>
          <t>20240726</t>
        </is>
      </c>
      <c r="Q186" t="inlineStr">
        <is>
          <t>99991231</t>
        </is>
      </c>
    </row>
    <row r="187">
      <c r="A187" t="inlineStr">
        <is>
          <t>900007800DW55D34210000541</t>
        </is>
      </c>
      <c r="B187" t="inlineStr">
        <is>
          <t>900007800</t>
        </is>
      </c>
      <c r="C187" t="inlineStr">
        <is>
          <t>DW55</t>
        </is>
      </c>
      <c r="D187" t="inlineStr">
        <is>
          <t>D342</t>
        </is>
      </c>
      <c r="E187" t="inlineStr">
        <is>
          <t>4</t>
        </is>
      </c>
      <c r="F187" t="inlineStr">
        <is>
          <t>10000541</t>
        </is>
      </c>
      <c r="H187" t="inlineStr"/>
      <c r="J187" t="n">
        <v>327.23</v>
      </c>
      <c r="K187" t="inlineStr"/>
      <c r="M187" t="inlineStr">
        <is>
          <t>TN</t>
        </is>
      </c>
      <c r="N187" t="inlineStr"/>
      <c r="P187" t="inlineStr">
        <is>
          <t>20240726</t>
        </is>
      </c>
      <c r="Q187" t="inlineStr">
        <is>
          <t>20251031</t>
        </is>
      </c>
    </row>
    <row r="188">
      <c r="A188" t="inlineStr">
        <is>
          <t>900007803DW55D32510000372</t>
        </is>
      </c>
      <c r="B188" t="inlineStr">
        <is>
          <t>900007803</t>
        </is>
      </c>
      <c r="C188" t="inlineStr">
        <is>
          <t>DW55</t>
        </is>
      </c>
      <c r="D188" t="inlineStr">
        <is>
          <t>D325</t>
        </is>
      </c>
      <c r="E188" t="inlineStr">
        <is>
          <t>4</t>
        </is>
      </c>
      <c r="F188" t="inlineStr">
        <is>
          <t>10000372</t>
        </is>
      </c>
      <c r="H188" t="inlineStr"/>
      <c r="J188" t="n">
        <v>145.03</v>
      </c>
      <c r="K188" t="inlineStr"/>
      <c r="M188" t="inlineStr">
        <is>
          <t>TN</t>
        </is>
      </c>
      <c r="N188" t="inlineStr"/>
      <c r="P188" t="inlineStr">
        <is>
          <t>20230401</t>
        </is>
      </c>
      <c r="Q188" t="inlineStr">
        <is>
          <t>20240726</t>
        </is>
      </c>
    </row>
    <row r="189">
      <c r="A189" t="inlineStr">
        <is>
          <t>900007803DW55D32510000673</t>
        </is>
      </c>
      <c r="B189" t="inlineStr">
        <is>
          <t>900007803</t>
        </is>
      </c>
      <c r="C189" t="inlineStr">
        <is>
          <t>DW55</t>
        </is>
      </c>
      <c r="D189" t="inlineStr">
        <is>
          <t>D325</t>
        </is>
      </c>
      <c r="E189" t="inlineStr">
        <is>
          <t>4</t>
        </is>
      </c>
      <c r="F189" t="inlineStr">
        <is>
          <t>10000673</t>
        </is>
      </c>
      <c r="H189" t="inlineStr"/>
      <c r="J189" t="n">
        <v>254.55</v>
      </c>
      <c r="K189" t="inlineStr"/>
      <c r="M189" t="inlineStr">
        <is>
          <t>TN</t>
        </is>
      </c>
      <c r="N189" t="inlineStr"/>
      <c r="P189" t="inlineStr">
        <is>
          <t>20230401</t>
        </is>
      </c>
      <c r="Q189" t="inlineStr">
        <is>
          <t>20240726</t>
        </is>
      </c>
    </row>
    <row r="190">
      <c r="A190" t="inlineStr">
        <is>
          <t>900007803DW55D32510079650</t>
        </is>
      </c>
      <c r="B190" t="inlineStr">
        <is>
          <t>900007803</t>
        </is>
      </c>
      <c r="C190" t="inlineStr">
        <is>
          <t>DW55</t>
        </is>
      </c>
      <c r="D190" t="inlineStr">
        <is>
          <t>D325</t>
        </is>
      </c>
      <c r="E190" t="inlineStr">
        <is>
          <t>4</t>
        </is>
      </c>
      <c r="F190" t="inlineStr">
        <is>
          <t>10079650</t>
        </is>
      </c>
      <c r="H190" t="inlineStr"/>
      <c r="J190" t="n">
        <v>141.57</v>
      </c>
      <c r="K190" t="inlineStr"/>
      <c r="M190" t="inlineStr">
        <is>
          <t>TN</t>
        </is>
      </c>
      <c r="N190" t="inlineStr"/>
      <c r="P190" t="inlineStr">
        <is>
          <t>20230401</t>
        </is>
      </c>
      <c r="Q190" t="inlineStr">
        <is>
          <t>20240726</t>
        </is>
      </c>
    </row>
    <row r="191">
      <c r="A191" t="inlineStr">
        <is>
          <t>900007803DW55D34810000372</t>
        </is>
      </c>
      <c r="B191" t="inlineStr">
        <is>
          <t>900007803</t>
        </is>
      </c>
      <c r="C191" t="inlineStr">
        <is>
          <t>DW55</t>
        </is>
      </c>
      <c r="D191" t="inlineStr">
        <is>
          <t>D348</t>
        </is>
      </c>
      <c r="E191" t="inlineStr">
        <is>
          <t>4</t>
        </is>
      </c>
      <c r="F191" t="inlineStr">
        <is>
          <t>10000372</t>
        </is>
      </c>
      <c r="H191" t="inlineStr"/>
      <c r="J191" t="n">
        <v>193.37</v>
      </c>
      <c r="K191" t="inlineStr"/>
      <c r="M191" t="inlineStr">
        <is>
          <t>TN</t>
        </is>
      </c>
      <c r="N191" t="inlineStr"/>
      <c r="P191" t="inlineStr">
        <is>
          <t>20230401</t>
        </is>
      </c>
      <c r="Q191" t="inlineStr">
        <is>
          <t>20240726</t>
        </is>
      </c>
    </row>
    <row r="192">
      <c r="A192" t="inlineStr">
        <is>
          <t>900007803DW55D34810000673</t>
        </is>
      </c>
      <c r="B192" t="inlineStr">
        <is>
          <t>900007803</t>
        </is>
      </c>
      <c r="C192" t="inlineStr">
        <is>
          <t>DW55</t>
        </is>
      </c>
      <c r="D192" t="inlineStr">
        <is>
          <t>D348</t>
        </is>
      </c>
      <c r="E192" t="inlineStr">
        <is>
          <t>4</t>
        </is>
      </c>
      <c r="F192" t="inlineStr">
        <is>
          <t>10000673</t>
        </is>
      </c>
      <c r="H192" t="inlineStr"/>
      <c r="J192" t="n">
        <v>327.27</v>
      </c>
      <c r="K192" t="inlineStr"/>
      <c r="M192" t="inlineStr">
        <is>
          <t>TN</t>
        </is>
      </c>
      <c r="N192" t="inlineStr"/>
      <c r="P192" t="inlineStr">
        <is>
          <t>20230401</t>
        </is>
      </c>
      <c r="Q192" t="inlineStr">
        <is>
          <t>20240726</t>
        </is>
      </c>
    </row>
    <row r="193">
      <c r="A193" t="inlineStr">
        <is>
          <t>900007931DW55D30910000372</t>
        </is>
      </c>
      <c r="B193" t="inlineStr">
        <is>
          <t>900007931</t>
        </is>
      </c>
      <c r="C193" t="inlineStr">
        <is>
          <t>DW55</t>
        </is>
      </c>
      <c r="D193" t="inlineStr">
        <is>
          <t>D309</t>
        </is>
      </c>
      <c r="E193" t="inlineStr">
        <is>
          <t>1</t>
        </is>
      </c>
      <c r="F193" t="inlineStr">
        <is>
          <t>10000372</t>
        </is>
      </c>
      <c r="H193" t="inlineStr"/>
      <c r="J193" t="n">
        <v>172.65</v>
      </c>
      <c r="K193" t="inlineStr"/>
      <c r="M193" t="inlineStr">
        <is>
          <t>TN</t>
        </is>
      </c>
      <c r="N193" t="inlineStr"/>
      <c r="P193" t="inlineStr">
        <is>
          <t>20260707</t>
        </is>
      </c>
      <c r="Q193" t="inlineStr">
        <is>
          <t>99991231</t>
        </is>
      </c>
    </row>
    <row r="194">
      <c r="A194" t="inlineStr">
        <is>
          <t>900007932DW55D30910000372</t>
        </is>
      </c>
      <c r="B194" t="inlineStr">
        <is>
          <t>900007932</t>
        </is>
      </c>
      <c r="C194" t="inlineStr">
        <is>
          <t>DW55</t>
        </is>
      </c>
      <c r="D194" t="inlineStr">
        <is>
          <t>D309</t>
        </is>
      </c>
      <c r="E194" t="inlineStr">
        <is>
          <t>4</t>
        </is>
      </c>
      <c r="F194" t="inlineStr">
        <is>
          <t>10000372</t>
        </is>
      </c>
      <c r="H194" t="inlineStr"/>
      <c r="J194" t="n">
        <v>172.65</v>
      </c>
      <c r="K194" t="inlineStr"/>
      <c r="M194" t="inlineStr">
        <is>
          <t>TN</t>
        </is>
      </c>
      <c r="N194" t="inlineStr"/>
      <c r="P194" t="inlineStr">
        <is>
          <t>20260707</t>
        </is>
      </c>
      <c r="Q194" t="inlineStr">
        <is>
          <t>99991231</t>
        </is>
      </c>
    </row>
    <row r="195">
      <c r="A195" t="inlineStr">
        <is>
          <t>900007932DW55D32510000372</t>
        </is>
      </c>
      <c r="B195" t="inlineStr">
        <is>
          <t>900007932</t>
        </is>
      </c>
      <c r="C195" t="inlineStr">
        <is>
          <t>DW55</t>
        </is>
      </c>
      <c r="D195" t="inlineStr">
        <is>
          <t>D325</t>
        </is>
      </c>
      <c r="E195" t="inlineStr">
        <is>
          <t>4</t>
        </is>
      </c>
      <c r="F195" t="inlineStr">
        <is>
          <t>10000372</t>
        </is>
      </c>
      <c r="H195" t="inlineStr"/>
      <c r="J195" t="n">
        <v>117.4</v>
      </c>
      <c r="K195" t="inlineStr"/>
      <c r="M195" t="inlineStr">
        <is>
          <t>TN</t>
        </is>
      </c>
      <c r="N195" t="inlineStr"/>
      <c r="P195" t="inlineStr">
        <is>
          <t>20250630</t>
        </is>
      </c>
      <c r="Q195" t="inlineStr">
        <is>
          <t>99991231</t>
        </is>
      </c>
    </row>
    <row r="196">
      <c r="A196" t="inlineStr">
        <is>
          <t>900007932DW55D32510000623</t>
        </is>
      </c>
      <c r="B196" t="inlineStr">
        <is>
          <t>900007932</t>
        </is>
      </c>
      <c r="C196" t="inlineStr">
        <is>
          <t>DW55</t>
        </is>
      </c>
      <c r="D196" t="inlineStr">
        <is>
          <t>D325</t>
        </is>
      </c>
      <c r="E196" t="inlineStr">
        <is>
          <t>4</t>
        </is>
      </c>
      <c r="F196" t="inlineStr">
        <is>
          <t>10000623</t>
        </is>
      </c>
      <c r="H196" t="inlineStr"/>
      <c r="J196" t="n">
        <v>141.84</v>
      </c>
      <c r="K196" t="inlineStr"/>
      <c r="M196" t="inlineStr">
        <is>
          <t>TN</t>
        </is>
      </c>
      <c r="N196" t="inlineStr"/>
      <c r="P196" t="inlineStr">
        <is>
          <t>20260313</t>
        </is>
      </c>
      <c r="Q196" t="inlineStr">
        <is>
          <t>99991231</t>
        </is>
      </c>
    </row>
    <row r="197">
      <c r="A197" t="inlineStr">
        <is>
          <t>900007932DW55D32510000834</t>
        </is>
      </c>
      <c r="B197" t="inlineStr">
        <is>
          <t>900007932</t>
        </is>
      </c>
      <c r="C197" t="inlineStr">
        <is>
          <t>DW55</t>
        </is>
      </c>
      <c r="D197" t="inlineStr">
        <is>
          <t>D325</t>
        </is>
      </c>
      <c r="E197" t="inlineStr">
        <is>
          <t>4</t>
        </is>
      </c>
      <c r="F197" t="inlineStr">
        <is>
          <t>10000834</t>
        </is>
      </c>
      <c r="H197" t="inlineStr"/>
      <c r="J197" t="n">
        <v>157.11</v>
      </c>
      <c r="K197" t="inlineStr"/>
      <c r="M197" t="inlineStr">
        <is>
          <t>TN</t>
        </is>
      </c>
      <c r="N197" t="inlineStr"/>
      <c r="P197" t="inlineStr">
        <is>
          <t>20240726</t>
        </is>
      </c>
      <c r="Q197" t="inlineStr">
        <is>
          <t>20251031</t>
        </is>
      </c>
    </row>
    <row r="198">
      <c r="A198" t="inlineStr">
        <is>
          <t>900007932DW55D32510023592</t>
        </is>
      </c>
      <c r="B198" t="inlineStr">
        <is>
          <t>900007932</t>
        </is>
      </c>
      <c r="C198" t="inlineStr">
        <is>
          <t>DW55</t>
        </is>
      </c>
      <c r="D198" t="inlineStr">
        <is>
          <t>D325</t>
        </is>
      </c>
      <c r="E198" t="inlineStr">
        <is>
          <t>4</t>
        </is>
      </c>
      <c r="F198" t="inlineStr">
        <is>
          <t>10023592</t>
        </is>
      </c>
      <c r="H198" t="inlineStr"/>
      <c r="J198" t="n">
        <v>140.12</v>
      </c>
      <c r="K198" t="inlineStr"/>
      <c r="M198" t="inlineStr">
        <is>
          <t>TN</t>
        </is>
      </c>
      <c r="N198" t="inlineStr"/>
      <c r="P198" t="inlineStr">
        <is>
          <t>20240628</t>
        </is>
      </c>
      <c r="Q198" t="inlineStr">
        <is>
          <t>99991231</t>
        </is>
      </c>
    </row>
    <row r="199">
      <c r="A199" t="inlineStr">
        <is>
          <t>900007932DW55D34810000372</t>
        </is>
      </c>
      <c r="B199" t="inlineStr">
        <is>
          <t>900007932</t>
        </is>
      </c>
      <c r="C199" t="inlineStr">
        <is>
          <t>DW55</t>
        </is>
      </c>
      <c r="D199" t="inlineStr">
        <is>
          <t>D348</t>
        </is>
      </c>
      <c r="E199" t="inlineStr">
        <is>
          <t>4</t>
        </is>
      </c>
      <c r="F199" t="inlineStr">
        <is>
          <t>10000372</t>
        </is>
      </c>
      <c r="H199" t="inlineStr"/>
      <c r="J199" t="n">
        <v>283.15</v>
      </c>
      <c r="K199" t="inlineStr"/>
      <c r="M199" t="inlineStr">
        <is>
          <t>TN</t>
        </is>
      </c>
      <c r="N199" t="inlineStr"/>
      <c r="P199" t="inlineStr">
        <is>
          <t>20240726</t>
        </is>
      </c>
      <c r="Q199" t="inlineStr">
        <is>
          <t>20251031</t>
        </is>
      </c>
    </row>
    <row r="200">
      <c r="A200" t="inlineStr">
        <is>
          <t>900007932DW55D34810000834</t>
        </is>
      </c>
      <c r="B200" t="inlineStr">
        <is>
          <t>900007932</t>
        </is>
      </c>
      <c r="C200" t="inlineStr">
        <is>
          <t>DW55</t>
        </is>
      </c>
      <c r="D200" t="inlineStr">
        <is>
          <t>D348</t>
        </is>
      </c>
      <c r="E200" t="inlineStr">
        <is>
          <t>4</t>
        </is>
      </c>
      <c r="F200" t="inlineStr">
        <is>
          <t>10000834</t>
        </is>
      </c>
      <c r="H200" t="inlineStr"/>
      <c r="J200" t="n">
        <v>408.48</v>
      </c>
      <c r="K200" t="inlineStr"/>
      <c r="M200" t="inlineStr">
        <is>
          <t>TN</t>
        </is>
      </c>
      <c r="N200" t="inlineStr"/>
      <c r="P200" t="inlineStr">
        <is>
          <t>20240726</t>
        </is>
      </c>
      <c r="Q200" t="inlineStr">
        <is>
          <t>20251031</t>
        </is>
      </c>
    </row>
    <row r="201">
      <c r="A201" t="inlineStr">
        <is>
          <t>900007952DW55D28410217663</t>
        </is>
      </c>
      <c r="B201" t="inlineStr">
        <is>
          <t>900007952</t>
        </is>
      </c>
      <c r="C201" t="inlineStr">
        <is>
          <t>DW55</t>
        </is>
      </c>
      <c r="D201" t="inlineStr">
        <is>
          <t>D284</t>
        </is>
      </c>
      <c r="E201" t="inlineStr">
        <is>
          <t>1</t>
        </is>
      </c>
      <c r="F201" t="inlineStr">
        <is>
          <t>10217663</t>
        </is>
      </c>
      <c r="H201" t="inlineStr"/>
      <c r="J201" t="n">
        <v>54.61</v>
      </c>
      <c r="K201" t="inlineStr"/>
      <c r="M201" t="inlineStr">
        <is>
          <t>TN</t>
        </is>
      </c>
      <c r="N201" t="inlineStr"/>
      <c r="P201" t="inlineStr">
        <is>
          <t>20241001</t>
        </is>
      </c>
      <c r="Q201" t="inlineStr">
        <is>
          <t>99991231</t>
        </is>
      </c>
    </row>
    <row r="202">
      <c r="A202" t="inlineStr">
        <is>
          <t>900007952DW55D30910217663</t>
        </is>
      </c>
      <c r="B202" t="inlineStr">
        <is>
          <t>900007952</t>
        </is>
      </c>
      <c r="C202" t="inlineStr">
        <is>
          <t>DW55</t>
        </is>
      </c>
      <c r="D202" t="inlineStr">
        <is>
          <t>D309</t>
        </is>
      </c>
      <c r="E202" t="inlineStr">
        <is>
          <t>1</t>
        </is>
      </c>
      <c r="F202" t="inlineStr">
        <is>
          <t>10217663</t>
        </is>
      </c>
      <c r="H202" t="inlineStr"/>
      <c r="J202" t="n">
        <v>32.28</v>
      </c>
      <c r="K202" t="inlineStr"/>
      <c r="M202" t="inlineStr">
        <is>
          <t>TN</t>
        </is>
      </c>
      <c r="N202" t="inlineStr"/>
      <c r="P202" t="inlineStr">
        <is>
          <t>20241001</t>
        </is>
      </c>
      <c r="Q202" t="inlineStr">
        <is>
          <t>99991231</t>
        </is>
      </c>
    </row>
    <row r="203">
      <c r="A203" t="inlineStr">
        <is>
          <t>900007952DW55D32510217663</t>
        </is>
      </c>
      <c r="B203" t="inlineStr">
        <is>
          <t>900007952</t>
        </is>
      </c>
      <c r="C203" t="inlineStr">
        <is>
          <t>DW55</t>
        </is>
      </c>
      <c r="D203" t="inlineStr">
        <is>
          <t>D325</t>
        </is>
      </c>
      <c r="E203" t="inlineStr">
        <is>
          <t>1</t>
        </is>
      </c>
      <c r="F203" t="inlineStr">
        <is>
          <t>10217663</t>
        </is>
      </c>
      <c r="H203" t="inlineStr"/>
      <c r="J203" t="n">
        <v>257.16</v>
      </c>
      <c r="K203" t="inlineStr"/>
      <c r="M203" t="inlineStr">
        <is>
          <t>TN</t>
        </is>
      </c>
      <c r="N203" t="inlineStr"/>
      <c r="P203" t="inlineStr">
        <is>
          <t>20240313</t>
        </is>
      </c>
      <c r="Q203" t="inlineStr">
        <is>
          <t>99991231</t>
        </is>
      </c>
    </row>
    <row r="204">
      <c r="A204" t="inlineStr">
        <is>
          <t>900007952DW55D34210217663</t>
        </is>
      </c>
      <c r="B204" t="inlineStr">
        <is>
          <t>900007952</t>
        </is>
      </c>
      <c r="C204" t="inlineStr">
        <is>
          <t>DW55</t>
        </is>
      </c>
      <c r="D204" t="inlineStr">
        <is>
          <t>D342</t>
        </is>
      </c>
      <c r="E204" t="inlineStr">
        <is>
          <t>1</t>
        </is>
      </c>
      <c r="F204" t="inlineStr">
        <is>
          <t>10217663</t>
        </is>
      </c>
      <c r="H204" t="inlineStr"/>
      <c r="J204" t="n">
        <v>88.7</v>
      </c>
      <c r="K204" t="inlineStr"/>
      <c r="M204" t="inlineStr">
        <is>
          <t>TN</t>
        </is>
      </c>
      <c r="N204" t="inlineStr"/>
      <c r="P204" t="inlineStr">
        <is>
          <t>20241108</t>
        </is>
      </c>
      <c r="Q204" t="inlineStr">
        <is>
          <t>99991231</t>
        </is>
      </c>
    </row>
    <row r="205">
      <c r="A205" t="inlineStr">
        <is>
          <t>900007952DW55D34810217663</t>
        </is>
      </c>
      <c r="B205" t="inlineStr">
        <is>
          <t>900007952</t>
        </is>
      </c>
      <c r="C205" t="inlineStr">
        <is>
          <t>DW55</t>
        </is>
      </c>
      <c r="D205" t="inlineStr">
        <is>
          <t>D348</t>
        </is>
      </c>
      <c r="E205" t="inlineStr">
        <is>
          <t>1</t>
        </is>
      </c>
      <c r="F205" t="inlineStr">
        <is>
          <t>10217663</t>
        </is>
      </c>
      <c r="H205" t="inlineStr"/>
      <c r="J205" t="n">
        <v>374.84</v>
      </c>
      <c r="K205" t="inlineStr"/>
      <c r="M205" t="inlineStr">
        <is>
          <t>TN</t>
        </is>
      </c>
      <c r="N205" t="inlineStr"/>
      <c r="P205" t="inlineStr">
        <is>
          <t>20240313</t>
        </is>
      </c>
      <c r="Q205" t="inlineStr">
        <is>
          <t>99991231</t>
        </is>
      </c>
    </row>
    <row r="206">
      <c r="A206" t="inlineStr">
        <is>
          <t>900007953DW55D28410000372</t>
        </is>
      </c>
      <c r="B206" t="inlineStr">
        <is>
          <t>900007953</t>
        </is>
      </c>
      <c r="C206" t="inlineStr">
        <is>
          <t>DW55</t>
        </is>
      </c>
      <c r="D206" t="inlineStr">
        <is>
          <t>D284</t>
        </is>
      </c>
      <c r="E206" t="inlineStr">
        <is>
          <t>4</t>
        </is>
      </c>
      <c r="F206" t="inlineStr">
        <is>
          <t>10000372</t>
        </is>
      </c>
      <c r="H206" t="inlineStr"/>
      <c r="J206" t="n">
        <v>151.93</v>
      </c>
      <c r="K206" t="inlineStr"/>
      <c r="M206" t="inlineStr">
        <is>
          <t>TN</t>
        </is>
      </c>
      <c r="N206" t="inlineStr"/>
      <c r="P206" t="inlineStr">
        <is>
          <t>20240617</t>
        </is>
      </c>
      <c r="Q206" t="inlineStr">
        <is>
          <t>99991231</t>
        </is>
      </c>
    </row>
    <row r="207">
      <c r="A207" t="inlineStr">
        <is>
          <t>900007953DW55D28410217663</t>
        </is>
      </c>
      <c r="B207" t="inlineStr">
        <is>
          <t>900007953</t>
        </is>
      </c>
      <c r="C207" t="inlineStr">
        <is>
          <t>DW55</t>
        </is>
      </c>
      <c r="D207" t="inlineStr">
        <is>
          <t>D284</t>
        </is>
      </c>
      <c r="E207" t="inlineStr">
        <is>
          <t>4</t>
        </is>
      </c>
      <c r="F207" t="inlineStr">
        <is>
          <t>10217663</t>
        </is>
      </c>
      <c r="H207" t="inlineStr"/>
      <c r="J207" t="n">
        <v>50.33</v>
      </c>
      <c r="K207" t="inlineStr"/>
      <c r="M207" t="inlineStr">
        <is>
          <t>TN</t>
        </is>
      </c>
      <c r="N207" t="inlineStr"/>
      <c r="P207" t="inlineStr">
        <is>
          <t>20210620</t>
        </is>
      </c>
      <c r="Q207" t="inlineStr">
        <is>
          <t>20240320</t>
        </is>
      </c>
    </row>
    <row r="208">
      <c r="A208" t="inlineStr">
        <is>
          <t>900007953DW55D30910000372</t>
        </is>
      </c>
      <c r="B208" t="inlineStr">
        <is>
          <t>900007953</t>
        </is>
      </c>
      <c r="C208" t="inlineStr">
        <is>
          <t>DW55</t>
        </is>
      </c>
      <c r="D208" t="inlineStr">
        <is>
          <t>D309</t>
        </is>
      </c>
      <c r="E208" t="inlineStr">
        <is>
          <t>4</t>
        </is>
      </c>
      <c r="F208" t="inlineStr">
        <is>
          <t>10000372</t>
        </is>
      </c>
      <c r="H208" t="inlineStr"/>
      <c r="J208" t="n">
        <v>220.99</v>
      </c>
      <c r="K208" t="inlineStr"/>
      <c r="M208" t="inlineStr">
        <is>
          <t>TN</t>
        </is>
      </c>
      <c r="N208" t="inlineStr"/>
      <c r="P208" t="inlineStr">
        <is>
          <t>20240628</t>
        </is>
      </c>
      <c r="Q208" t="inlineStr">
        <is>
          <t>99991231</t>
        </is>
      </c>
    </row>
    <row r="209">
      <c r="A209" t="inlineStr">
        <is>
          <t>900007953DW55D30910217663</t>
        </is>
      </c>
      <c r="B209" t="inlineStr">
        <is>
          <t>900007953</t>
        </is>
      </c>
      <c r="C209" t="inlineStr">
        <is>
          <t>DW55</t>
        </is>
      </c>
      <c r="D209" t="inlineStr">
        <is>
          <t>D309</t>
        </is>
      </c>
      <c r="E209" t="inlineStr">
        <is>
          <t>4</t>
        </is>
      </c>
      <c r="F209" t="inlineStr">
        <is>
          <t>10217663</t>
        </is>
      </c>
      <c r="H209" t="inlineStr"/>
      <c r="J209" t="n">
        <v>29.33</v>
      </c>
      <c r="K209" t="inlineStr"/>
      <c r="M209" t="inlineStr">
        <is>
          <t>TN</t>
        </is>
      </c>
      <c r="N209" t="inlineStr"/>
      <c r="P209" t="inlineStr">
        <is>
          <t>20210620</t>
        </is>
      </c>
      <c r="Q209" t="inlineStr">
        <is>
          <t>20240320</t>
        </is>
      </c>
    </row>
    <row r="210">
      <c r="A210" t="inlineStr">
        <is>
          <t>900007953DW55D32510217663</t>
        </is>
      </c>
      <c r="B210" t="inlineStr">
        <is>
          <t>900007953</t>
        </is>
      </c>
      <c r="C210" t="inlineStr">
        <is>
          <t>DW55</t>
        </is>
      </c>
      <c r="D210" t="inlineStr">
        <is>
          <t>D325</t>
        </is>
      </c>
      <c r="E210" t="inlineStr">
        <is>
          <t>4</t>
        </is>
      </c>
      <c r="F210" t="inlineStr">
        <is>
          <t>10217663</t>
        </is>
      </c>
      <c r="H210" t="inlineStr"/>
      <c r="J210" t="n">
        <v>233.04</v>
      </c>
      <c r="K210" t="inlineStr"/>
      <c r="M210" t="inlineStr">
        <is>
          <t>TN</t>
        </is>
      </c>
      <c r="N210" t="inlineStr"/>
      <c r="P210" t="inlineStr">
        <is>
          <t>20210620</t>
        </is>
      </c>
      <c r="Q210" t="inlineStr">
        <is>
          <t>20240320</t>
        </is>
      </c>
    </row>
    <row r="211">
      <c r="A211" t="inlineStr">
        <is>
          <t>900007953DW55D34210217663</t>
        </is>
      </c>
      <c r="B211" t="inlineStr">
        <is>
          <t>900007953</t>
        </is>
      </c>
      <c r="C211" t="inlineStr">
        <is>
          <t>DW55</t>
        </is>
      </c>
      <c r="D211" t="inlineStr">
        <is>
          <t>D342</t>
        </is>
      </c>
      <c r="E211" t="inlineStr">
        <is>
          <t>4</t>
        </is>
      </c>
      <c r="F211" t="inlineStr">
        <is>
          <t>10217663</t>
        </is>
      </c>
      <c r="H211" t="inlineStr"/>
      <c r="J211" t="n">
        <v>81.77</v>
      </c>
      <c r="K211" t="inlineStr"/>
      <c r="M211" t="inlineStr">
        <is>
          <t>TN</t>
        </is>
      </c>
      <c r="N211" t="inlineStr"/>
      <c r="P211" t="inlineStr">
        <is>
          <t>20210620</t>
        </is>
      </c>
      <c r="Q211" t="inlineStr">
        <is>
          <t>20240320</t>
        </is>
      </c>
    </row>
    <row r="212">
      <c r="A212" t="inlineStr">
        <is>
          <t>900007953DW55D34810217663</t>
        </is>
      </c>
      <c r="B212" t="inlineStr">
        <is>
          <t>900007953</t>
        </is>
      </c>
      <c r="C212" t="inlineStr">
        <is>
          <t>DW55</t>
        </is>
      </c>
      <c r="D212" t="inlineStr">
        <is>
          <t>D348</t>
        </is>
      </c>
      <c r="E212" t="inlineStr">
        <is>
          <t>4</t>
        </is>
      </c>
      <c r="F212" t="inlineStr">
        <is>
          <t>10217663</t>
        </is>
      </c>
      <c r="H212" t="inlineStr"/>
      <c r="J212" t="n">
        <v>321.46</v>
      </c>
      <c r="K212" t="inlineStr"/>
      <c r="M212" t="inlineStr">
        <is>
          <t>TN</t>
        </is>
      </c>
      <c r="N212" t="inlineStr"/>
      <c r="P212" t="inlineStr">
        <is>
          <t>20210620</t>
        </is>
      </c>
      <c r="Q212" t="inlineStr">
        <is>
          <t>20240320</t>
        </is>
      </c>
    </row>
    <row r="213">
      <c r="A213" t="inlineStr">
        <is>
          <t>900008077DW55D34810000372</t>
        </is>
      </c>
      <c r="B213" t="inlineStr">
        <is>
          <t>900008077</t>
        </is>
      </c>
      <c r="C213" t="inlineStr">
        <is>
          <t>DW55</t>
        </is>
      </c>
      <c r="D213" t="inlineStr">
        <is>
          <t>D348</t>
        </is>
      </c>
      <c r="E213" t="inlineStr">
        <is>
          <t>4</t>
        </is>
      </c>
      <c r="F213" t="inlineStr">
        <is>
          <t>10000372</t>
        </is>
      </c>
      <c r="H213" t="inlineStr"/>
      <c r="J213" t="n">
        <v>279.83</v>
      </c>
      <c r="K213" t="inlineStr"/>
      <c r="M213" t="inlineStr">
        <is>
          <t>TN</t>
        </is>
      </c>
      <c r="N213" t="inlineStr"/>
      <c r="P213" t="inlineStr">
        <is>
          <t>20240122</t>
        </is>
      </c>
      <c r="Q213" t="inlineStr">
        <is>
          <t>20241015</t>
        </is>
      </c>
    </row>
    <row r="214">
      <c r="A214" t="inlineStr">
        <is>
          <t>900008241DW55D28410217663</t>
        </is>
      </c>
      <c r="B214" t="inlineStr">
        <is>
          <t>900008241</t>
        </is>
      </c>
      <c r="C214" t="inlineStr">
        <is>
          <t>DW55</t>
        </is>
      </c>
      <c r="D214" t="inlineStr">
        <is>
          <t>D284</t>
        </is>
      </c>
      <c r="E214" t="inlineStr">
        <is>
          <t>4</t>
        </is>
      </c>
      <c r="F214" t="inlineStr">
        <is>
          <t>10217663</t>
        </is>
      </c>
      <c r="H214" t="inlineStr"/>
      <c r="J214" t="n">
        <v>76.23999999999999</v>
      </c>
      <c r="K214" t="inlineStr"/>
      <c r="M214" t="inlineStr">
        <is>
          <t>TN</t>
        </is>
      </c>
      <c r="N214" t="inlineStr"/>
      <c r="P214" t="inlineStr">
        <is>
          <t>20230401</t>
        </is>
      </c>
      <c r="Q214" t="inlineStr">
        <is>
          <t>20240726</t>
        </is>
      </c>
    </row>
    <row r="215">
      <c r="A215" t="inlineStr">
        <is>
          <t>900008330DW55D28410000372</t>
        </is>
      </c>
      <c r="B215" t="inlineStr">
        <is>
          <t>900008330</t>
        </is>
      </c>
      <c r="C215" t="inlineStr">
        <is>
          <t>DW55</t>
        </is>
      </c>
      <c r="D215" t="inlineStr">
        <is>
          <t>D284</t>
        </is>
      </c>
      <c r="E215" t="inlineStr">
        <is>
          <t>1</t>
        </is>
      </c>
      <c r="F215" t="inlineStr">
        <is>
          <t>10000372</t>
        </is>
      </c>
      <c r="H215" t="inlineStr"/>
      <c r="J215" t="n">
        <v>133.7</v>
      </c>
      <c r="K215" t="inlineStr"/>
      <c r="M215" t="inlineStr">
        <is>
          <t>TN</t>
        </is>
      </c>
      <c r="N215" t="inlineStr"/>
      <c r="P215" t="inlineStr">
        <is>
          <t>20230818</t>
        </is>
      </c>
      <c r="Q215" t="inlineStr">
        <is>
          <t>20240318</t>
        </is>
      </c>
    </row>
    <row r="216">
      <c r="A216" t="inlineStr">
        <is>
          <t>900008330DW55D28410255395</t>
        </is>
      </c>
      <c r="B216" t="inlineStr">
        <is>
          <t>900008330</t>
        </is>
      </c>
      <c r="C216" t="inlineStr">
        <is>
          <t>DW55</t>
        </is>
      </c>
      <c r="D216" t="inlineStr">
        <is>
          <t>D284</t>
        </is>
      </c>
      <c r="E216" t="inlineStr">
        <is>
          <t>1</t>
        </is>
      </c>
      <c r="F216" t="inlineStr">
        <is>
          <t>10255395</t>
        </is>
      </c>
      <c r="H216" t="inlineStr"/>
      <c r="J216" t="n">
        <v>133.7</v>
      </c>
      <c r="K216" t="inlineStr"/>
      <c r="M216" t="inlineStr">
        <is>
          <t>TN</t>
        </is>
      </c>
      <c r="N216" t="inlineStr"/>
      <c r="P216" t="inlineStr">
        <is>
          <t>20240726</t>
        </is>
      </c>
      <c r="Q216" t="inlineStr">
        <is>
          <t>20251031</t>
        </is>
      </c>
    </row>
    <row r="217">
      <c r="A217" t="inlineStr">
        <is>
          <t>900008330DW55D30910000372</t>
        </is>
      </c>
      <c r="B217" t="inlineStr">
        <is>
          <t>900008330</t>
        </is>
      </c>
      <c r="C217" t="inlineStr">
        <is>
          <t>DW55</t>
        </is>
      </c>
      <c r="D217" t="inlineStr">
        <is>
          <t>D309</t>
        </is>
      </c>
      <c r="E217" t="inlineStr">
        <is>
          <t>1</t>
        </is>
      </c>
      <c r="F217" t="inlineStr">
        <is>
          <t>10000372</t>
        </is>
      </c>
      <c r="H217" t="inlineStr"/>
      <c r="J217" t="n">
        <v>199.03</v>
      </c>
      <c r="K217" t="inlineStr"/>
      <c r="M217" t="inlineStr">
        <is>
          <t>TN</t>
        </is>
      </c>
      <c r="N217" t="inlineStr"/>
      <c r="P217" t="inlineStr">
        <is>
          <t>20230818</t>
        </is>
      </c>
      <c r="Q217" t="inlineStr">
        <is>
          <t>20240318</t>
        </is>
      </c>
    </row>
    <row r="218">
      <c r="A218" t="inlineStr">
        <is>
          <t>900008330DW55D30910255395</t>
        </is>
      </c>
      <c r="B218" t="inlineStr">
        <is>
          <t>900008330</t>
        </is>
      </c>
      <c r="C218" t="inlineStr">
        <is>
          <t>DW55</t>
        </is>
      </c>
      <c r="D218" t="inlineStr">
        <is>
          <t>D309</t>
        </is>
      </c>
      <c r="E218" t="inlineStr">
        <is>
          <t>1</t>
        </is>
      </c>
      <c r="F218" t="inlineStr">
        <is>
          <t>10255395</t>
        </is>
      </c>
      <c r="H218" t="inlineStr"/>
      <c r="J218" t="n">
        <v>199.03</v>
      </c>
      <c r="K218" t="inlineStr"/>
      <c r="M218" t="inlineStr">
        <is>
          <t>TN</t>
        </is>
      </c>
      <c r="N218" t="inlineStr"/>
      <c r="P218" t="inlineStr">
        <is>
          <t>20240726</t>
        </is>
      </c>
      <c r="Q218" t="inlineStr">
        <is>
          <t>20251031</t>
        </is>
      </c>
    </row>
    <row r="219">
      <c r="A219" t="inlineStr">
        <is>
          <t>900008330DW55D32510000372</t>
        </is>
      </c>
      <c r="B219" t="inlineStr">
        <is>
          <t>900008330</t>
        </is>
      </c>
      <c r="C219" t="inlineStr">
        <is>
          <t>DW55</t>
        </is>
      </c>
      <c r="D219" t="inlineStr">
        <is>
          <t>D325</t>
        </is>
      </c>
      <c r="E219" t="inlineStr">
        <is>
          <t>1</t>
        </is>
      </c>
      <c r="F219" t="inlineStr">
        <is>
          <t>10000372</t>
        </is>
      </c>
      <c r="H219" t="inlineStr"/>
      <c r="J219" t="n">
        <v>124.59</v>
      </c>
      <c r="K219" t="inlineStr"/>
      <c r="M219" t="inlineStr">
        <is>
          <t>TN</t>
        </is>
      </c>
      <c r="N219" t="inlineStr"/>
      <c r="P219" t="inlineStr">
        <is>
          <t>20230818</t>
        </is>
      </c>
      <c r="Q219" t="inlineStr">
        <is>
          <t>20240318</t>
        </is>
      </c>
    </row>
    <row r="220">
      <c r="A220" t="inlineStr">
        <is>
          <t>900008330DW55D32510255395</t>
        </is>
      </c>
      <c r="B220" t="inlineStr">
        <is>
          <t>900008330</t>
        </is>
      </c>
      <c r="C220" t="inlineStr">
        <is>
          <t>DW55</t>
        </is>
      </c>
      <c r="D220" t="inlineStr">
        <is>
          <t>D325</t>
        </is>
      </c>
      <c r="E220" t="inlineStr">
        <is>
          <t>1</t>
        </is>
      </c>
      <c r="F220" t="inlineStr">
        <is>
          <t>10255395</t>
        </is>
      </c>
      <c r="H220" t="inlineStr"/>
      <c r="J220" t="n">
        <v>124.59</v>
      </c>
      <c r="K220" t="inlineStr"/>
      <c r="M220" t="inlineStr">
        <is>
          <t>TN</t>
        </is>
      </c>
      <c r="N220" t="inlineStr"/>
      <c r="P220" t="inlineStr">
        <is>
          <t>20240726</t>
        </is>
      </c>
      <c r="Q220" t="inlineStr">
        <is>
          <t>20251031</t>
        </is>
      </c>
    </row>
    <row r="221">
      <c r="A221" t="inlineStr">
        <is>
          <t>900008330DW55D34210000372</t>
        </is>
      </c>
      <c r="B221" t="inlineStr">
        <is>
          <t>900008330</t>
        </is>
      </c>
      <c r="C221" t="inlineStr">
        <is>
          <t>DW55</t>
        </is>
      </c>
      <c r="D221" t="inlineStr">
        <is>
          <t>D342</t>
        </is>
      </c>
      <c r="E221" t="inlineStr">
        <is>
          <t>1</t>
        </is>
      </c>
      <c r="F221" t="inlineStr">
        <is>
          <t>10000372</t>
        </is>
      </c>
      <c r="H221" t="inlineStr"/>
      <c r="J221" t="n">
        <v>224.86</v>
      </c>
      <c r="K221" t="inlineStr"/>
      <c r="M221" t="inlineStr">
        <is>
          <t>TN</t>
        </is>
      </c>
      <c r="N221" t="inlineStr"/>
      <c r="P221" t="inlineStr">
        <is>
          <t>20230818</t>
        </is>
      </c>
      <c r="Q221" t="inlineStr">
        <is>
          <t>20240318</t>
        </is>
      </c>
    </row>
    <row r="222">
      <c r="A222" t="inlineStr">
        <is>
          <t>900008330DW55D34210255395</t>
        </is>
      </c>
      <c r="B222" t="inlineStr">
        <is>
          <t>900008330</t>
        </is>
      </c>
      <c r="C222" t="inlineStr">
        <is>
          <t>DW55</t>
        </is>
      </c>
      <c r="D222" t="inlineStr">
        <is>
          <t>D342</t>
        </is>
      </c>
      <c r="E222" t="inlineStr">
        <is>
          <t>1</t>
        </is>
      </c>
      <c r="F222" t="inlineStr">
        <is>
          <t>10255395</t>
        </is>
      </c>
      <c r="H222" t="inlineStr"/>
      <c r="J222" t="n">
        <v>224.86</v>
      </c>
      <c r="K222" t="inlineStr"/>
      <c r="M222" t="inlineStr">
        <is>
          <t>TN</t>
        </is>
      </c>
      <c r="N222" t="inlineStr"/>
      <c r="P222" t="inlineStr">
        <is>
          <t>20240726</t>
        </is>
      </c>
      <c r="Q222" t="inlineStr">
        <is>
          <t>20251031</t>
        </is>
      </c>
    </row>
    <row r="223">
      <c r="A223" t="inlineStr">
        <is>
          <t>900008330DW55D34810000372</t>
        </is>
      </c>
      <c r="B223" t="inlineStr">
        <is>
          <t>900008330</t>
        </is>
      </c>
      <c r="C223" t="inlineStr">
        <is>
          <t>DW55</t>
        </is>
      </c>
      <c r="D223" t="inlineStr">
        <is>
          <t>D348</t>
        </is>
      </c>
      <c r="E223" t="inlineStr">
        <is>
          <t>1</t>
        </is>
      </c>
      <c r="F223" t="inlineStr">
        <is>
          <t>10000372</t>
        </is>
      </c>
      <c r="H223" t="inlineStr"/>
      <c r="J223" t="n">
        <v>220.31</v>
      </c>
      <c r="K223" t="inlineStr"/>
      <c r="M223" t="inlineStr">
        <is>
          <t>TN</t>
        </is>
      </c>
      <c r="N223" t="inlineStr"/>
      <c r="P223" t="inlineStr">
        <is>
          <t>20231001</t>
        </is>
      </c>
      <c r="Q223" t="inlineStr">
        <is>
          <t>20240318</t>
        </is>
      </c>
    </row>
    <row r="224">
      <c r="A224" t="inlineStr">
        <is>
          <t>900008330DW55D34810255395</t>
        </is>
      </c>
      <c r="B224" t="inlineStr">
        <is>
          <t>900008330</t>
        </is>
      </c>
      <c r="C224" t="inlineStr">
        <is>
          <t>DW55</t>
        </is>
      </c>
      <c r="D224" t="inlineStr">
        <is>
          <t>D348</t>
        </is>
      </c>
      <c r="E224" t="inlineStr">
        <is>
          <t>1</t>
        </is>
      </c>
      <c r="F224" t="inlineStr">
        <is>
          <t>10255395</t>
        </is>
      </c>
      <c r="H224" t="inlineStr"/>
      <c r="J224" t="n">
        <v>220.31</v>
      </c>
      <c r="K224" t="inlineStr"/>
      <c r="M224" t="inlineStr">
        <is>
          <t>TN</t>
        </is>
      </c>
      <c r="N224" t="inlineStr"/>
      <c r="P224" t="inlineStr">
        <is>
          <t>20240726</t>
        </is>
      </c>
      <c r="Q224" t="inlineStr">
        <is>
          <t>20251031</t>
        </is>
      </c>
    </row>
    <row r="225">
      <c r="A225" t="inlineStr">
        <is>
          <t>900008331DW55D30210000541</t>
        </is>
      </c>
      <c r="B225" t="inlineStr">
        <is>
          <t>900008331</t>
        </is>
      </c>
      <c r="C225" t="inlineStr">
        <is>
          <t>DW55</t>
        </is>
      </c>
      <c r="D225" t="inlineStr">
        <is>
          <t>D302</t>
        </is>
      </c>
      <c r="E225" t="inlineStr">
        <is>
          <t>4</t>
        </is>
      </c>
      <c r="F225" t="inlineStr">
        <is>
          <t>10000541</t>
        </is>
      </c>
      <c r="H225" t="inlineStr"/>
      <c r="J225" t="n">
        <v>392.67</v>
      </c>
      <c r="K225" t="inlineStr"/>
      <c r="M225" t="inlineStr">
        <is>
          <t>TN</t>
        </is>
      </c>
      <c r="N225" t="inlineStr"/>
      <c r="P225" t="inlineStr">
        <is>
          <t>20240318</t>
        </is>
      </c>
      <c r="Q225" t="inlineStr">
        <is>
          <t>20240409</t>
        </is>
      </c>
    </row>
    <row r="226">
      <c r="A226" t="inlineStr">
        <is>
          <t>900008935DW55D28410217663</t>
        </is>
      </c>
      <c r="B226" t="inlineStr">
        <is>
          <t>900008935</t>
        </is>
      </c>
      <c r="C226" t="inlineStr">
        <is>
          <t>DW55</t>
        </is>
      </c>
      <c r="D226" t="inlineStr">
        <is>
          <t>D284</t>
        </is>
      </c>
      <c r="E226" t="inlineStr">
        <is>
          <t>4</t>
        </is>
      </c>
      <c r="F226" t="inlineStr">
        <is>
          <t>10217663</t>
        </is>
      </c>
      <c r="H226" t="inlineStr"/>
      <c r="J226" t="n">
        <v>52.88</v>
      </c>
      <c r="K226" t="inlineStr"/>
      <c r="M226" t="inlineStr">
        <is>
          <t>TN</t>
        </is>
      </c>
      <c r="N226" t="inlineStr"/>
      <c r="P226" t="inlineStr">
        <is>
          <t>20240821</t>
        </is>
      </c>
      <c r="Q226" t="inlineStr">
        <is>
          <t>99991231</t>
        </is>
      </c>
    </row>
    <row r="227">
      <c r="A227" t="inlineStr">
        <is>
          <t>900008935DW55D30910217663</t>
        </is>
      </c>
      <c r="B227" t="inlineStr">
        <is>
          <t>900008935</t>
        </is>
      </c>
      <c r="C227" t="inlineStr">
        <is>
          <t>DW55</t>
        </is>
      </c>
      <c r="D227" t="inlineStr">
        <is>
          <t>D309</t>
        </is>
      </c>
      <c r="E227" t="inlineStr">
        <is>
          <t>4</t>
        </is>
      </c>
      <c r="F227" t="inlineStr">
        <is>
          <t>10217663</t>
        </is>
      </c>
      <c r="H227" t="inlineStr"/>
      <c r="J227" t="n">
        <v>29.53</v>
      </c>
      <c r="K227" t="inlineStr"/>
      <c r="M227" t="inlineStr">
        <is>
          <t>TN</t>
        </is>
      </c>
      <c r="N227" t="inlineStr"/>
      <c r="P227" t="inlineStr">
        <is>
          <t>20240821</t>
        </is>
      </c>
      <c r="Q227" t="inlineStr">
        <is>
          <t>99991231</t>
        </is>
      </c>
    </row>
    <row r="228">
      <c r="A228" t="inlineStr">
        <is>
          <t>900008935DW55D32510217663</t>
        </is>
      </c>
      <c r="B228" t="inlineStr">
        <is>
          <t>900008935</t>
        </is>
      </c>
      <c r="C228" t="inlineStr">
        <is>
          <t>DW55</t>
        </is>
      </c>
      <c r="D228" t="inlineStr">
        <is>
          <t>D325</t>
        </is>
      </c>
      <c r="E228" t="inlineStr">
        <is>
          <t>4</t>
        </is>
      </c>
      <c r="F228" t="inlineStr">
        <is>
          <t>10217663</t>
        </is>
      </c>
      <c r="H228" t="inlineStr"/>
      <c r="J228" t="n">
        <v>254.81</v>
      </c>
      <c r="K228" t="inlineStr"/>
      <c r="M228" t="inlineStr">
        <is>
          <t>TN</t>
        </is>
      </c>
      <c r="N228" t="inlineStr"/>
      <c r="P228" t="inlineStr">
        <is>
          <t>20240821</t>
        </is>
      </c>
      <c r="Q228" t="inlineStr">
        <is>
          <t>99991231</t>
        </is>
      </c>
    </row>
    <row r="229">
      <c r="A229" t="inlineStr">
        <is>
          <t>900008935DW55D34210217663</t>
        </is>
      </c>
      <c r="B229" t="inlineStr">
        <is>
          <t>900008935</t>
        </is>
      </c>
      <c r="C229" t="inlineStr">
        <is>
          <t>DW55</t>
        </is>
      </c>
      <c r="D229" t="inlineStr">
        <is>
          <t>D342</t>
        </is>
      </c>
      <c r="E229" t="inlineStr">
        <is>
          <t>4</t>
        </is>
      </c>
      <c r="F229" t="inlineStr">
        <is>
          <t>10217663</t>
        </is>
      </c>
      <c r="H229" t="inlineStr"/>
      <c r="J229" t="n">
        <v>87.23</v>
      </c>
      <c r="K229" t="inlineStr"/>
      <c r="M229" t="inlineStr">
        <is>
          <t>TN</t>
        </is>
      </c>
      <c r="N229" t="inlineStr"/>
      <c r="P229" t="inlineStr">
        <is>
          <t>20240821</t>
        </is>
      </c>
      <c r="Q229" t="inlineStr">
        <is>
          <t>99991231</t>
        </is>
      </c>
    </row>
    <row r="230">
      <c r="A230" t="inlineStr">
        <is>
          <t>900008935DW55D34810217663</t>
        </is>
      </c>
      <c r="B230" t="inlineStr">
        <is>
          <t>900008935</t>
        </is>
      </c>
      <c r="C230" t="inlineStr">
        <is>
          <t>DW55</t>
        </is>
      </c>
      <c r="D230" t="inlineStr">
        <is>
          <t>D348</t>
        </is>
      </c>
      <c r="E230" t="inlineStr">
        <is>
          <t>4</t>
        </is>
      </c>
      <c r="F230" t="inlineStr">
        <is>
          <t>10217663</t>
        </is>
      </c>
      <c r="H230" t="inlineStr"/>
      <c r="J230" t="n">
        <v>364.01</v>
      </c>
      <c r="K230" t="inlineStr"/>
      <c r="M230" t="inlineStr">
        <is>
          <t>TN</t>
        </is>
      </c>
      <c r="N230" t="inlineStr"/>
      <c r="P230" t="inlineStr">
        <is>
          <t>20240821</t>
        </is>
      </c>
      <c r="Q230" t="inlineStr">
        <is>
          <t>99991231</t>
        </is>
      </c>
    </row>
    <row r="231">
      <c r="A231" t="inlineStr">
        <is>
          <t>900008972DW55D28410000541</t>
        </is>
      </c>
      <c r="B231" t="inlineStr">
        <is>
          <t>900008972</t>
        </is>
      </c>
      <c r="C231" t="inlineStr">
        <is>
          <t>DW55</t>
        </is>
      </c>
      <c r="D231" t="inlineStr">
        <is>
          <t>D284</t>
        </is>
      </c>
      <c r="E231" t="inlineStr">
        <is>
          <t>4</t>
        </is>
      </c>
      <c r="F231" t="inlineStr">
        <is>
          <t>10000541</t>
        </is>
      </c>
      <c r="H231" t="inlineStr"/>
      <c r="J231" t="n">
        <v>268.32</v>
      </c>
      <c r="K231" t="inlineStr"/>
      <c r="M231" t="inlineStr">
        <is>
          <t>TN</t>
        </is>
      </c>
      <c r="N231" t="inlineStr"/>
      <c r="P231" t="inlineStr">
        <is>
          <t>20241030</t>
        </is>
      </c>
      <c r="Q231" t="inlineStr">
        <is>
          <t>99991231</t>
        </is>
      </c>
    </row>
    <row r="232">
      <c r="A232" t="inlineStr">
        <is>
          <t>900008972DW55D30910000541</t>
        </is>
      </c>
      <c r="B232" t="inlineStr">
        <is>
          <t>900008972</t>
        </is>
      </c>
      <c r="C232" t="inlineStr">
        <is>
          <t>DW55</t>
        </is>
      </c>
      <c r="D232" t="inlineStr">
        <is>
          <t>D309</t>
        </is>
      </c>
      <c r="E232" t="inlineStr">
        <is>
          <t>4</t>
        </is>
      </c>
      <c r="F232" t="inlineStr">
        <is>
          <t>10000541</t>
        </is>
      </c>
      <c r="H232" t="inlineStr"/>
      <c r="J232" t="n">
        <v>268.32</v>
      </c>
      <c r="K232" t="inlineStr"/>
      <c r="M232" t="inlineStr">
        <is>
          <t>TN</t>
        </is>
      </c>
      <c r="N232" t="inlineStr"/>
      <c r="P232" t="inlineStr">
        <is>
          <t>20241030</t>
        </is>
      </c>
      <c r="Q232" t="inlineStr">
        <is>
          <t>99991231</t>
        </is>
      </c>
    </row>
    <row r="233">
      <c r="A233" t="inlineStr">
        <is>
          <t>900008972DW55D32510000541</t>
        </is>
      </c>
      <c r="B233" t="inlineStr">
        <is>
          <t>900008972</t>
        </is>
      </c>
      <c r="C233" t="inlineStr">
        <is>
          <t>DW55</t>
        </is>
      </c>
      <c r="D233" t="inlineStr">
        <is>
          <t>D325</t>
        </is>
      </c>
      <c r="E233" t="inlineStr">
        <is>
          <t>4</t>
        </is>
      </c>
      <c r="F233" t="inlineStr">
        <is>
          <t>10000541</t>
        </is>
      </c>
      <c r="H233" t="inlineStr"/>
      <c r="J233" t="n">
        <v>428.66</v>
      </c>
      <c r="K233" t="inlineStr"/>
      <c r="M233" t="inlineStr">
        <is>
          <t>TN</t>
        </is>
      </c>
      <c r="N233" t="inlineStr"/>
      <c r="P233" t="inlineStr">
        <is>
          <t>20241030</t>
        </is>
      </c>
      <c r="Q233" t="inlineStr">
        <is>
          <t>99991231</t>
        </is>
      </c>
    </row>
    <row r="234">
      <c r="A234" t="inlineStr">
        <is>
          <t>900009308DW55D28410000372</t>
        </is>
      </c>
      <c r="B234" t="inlineStr">
        <is>
          <t>900009308</t>
        </is>
      </c>
      <c r="C234" t="inlineStr">
        <is>
          <t>DW55</t>
        </is>
      </c>
      <c r="D234" t="inlineStr">
        <is>
          <t>D284</t>
        </is>
      </c>
      <c r="E234" t="inlineStr">
        <is>
          <t>1</t>
        </is>
      </c>
      <c r="F234" t="inlineStr">
        <is>
          <t>10000372</t>
        </is>
      </c>
      <c r="H234" t="inlineStr"/>
      <c r="J234" t="n">
        <v>123.45</v>
      </c>
      <c r="K234" t="inlineStr"/>
      <c r="M234" t="inlineStr">
        <is>
          <t>TN</t>
        </is>
      </c>
      <c r="N234" t="inlineStr"/>
      <c r="P234" t="inlineStr">
        <is>
          <t>20260625</t>
        </is>
      </c>
      <c r="Q234" t="inlineStr">
        <is>
          <t>99991231</t>
        </is>
      </c>
    </row>
    <row r="235">
      <c r="A235" t="inlineStr">
        <is>
          <t>900009308DW55D28410000623</t>
        </is>
      </c>
      <c r="B235" t="inlineStr">
        <is>
          <t>900009308</t>
        </is>
      </c>
      <c r="C235" t="inlineStr">
        <is>
          <t>DW55</t>
        </is>
      </c>
      <c r="D235" t="inlineStr">
        <is>
          <t>D284</t>
        </is>
      </c>
      <c r="E235" t="inlineStr">
        <is>
          <t>1</t>
        </is>
      </c>
      <c r="F235" t="inlineStr">
        <is>
          <t>10000623</t>
        </is>
      </c>
      <c r="H235" t="inlineStr"/>
      <c r="J235" t="n">
        <v>126.77</v>
      </c>
      <c r="K235" t="inlineStr"/>
      <c r="M235" t="inlineStr">
        <is>
          <t>TN</t>
        </is>
      </c>
      <c r="N235" t="inlineStr"/>
      <c r="P235" t="inlineStr">
        <is>
          <t>20260625</t>
        </is>
      </c>
      <c r="Q235" t="inlineStr">
        <is>
          <t>99991231</t>
        </is>
      </c>
    </row>
    <row r="236">
      <c r="A236" t="inlineStr">
        <is>
          <t>900009308DW55D28410123034</t>
        </is>
      </c>
      <c r="B236" t="inlineStr">
        <is>
          <t>900009308</t>
        </is>
      </c>
      <c r="C236" t="inlineStr">
        <is>
          <t>DW55</t>
        </is>
      </c>
      <c r="D236" t="inlineStr">
        <is>
          <t>D284</t>
        </is>
      </c>
      <c r="E236" t="inlineStr">
        <is>
          <t>1</t>
        </is>
      </c>
      <c r="F236" t="inlineStr">
        <is>
          <t>10123034</t>
        </is>
      </c>
      <c r="H236" t="inlineStr"/>
      <c r="J236" t="n">
        <v>116.98</v>
      </c>
      <c r="K236" t="inlineStr"/>
      <c r="M236" t="inlineStr">
        <is>
          <t>TN</t>
        </is>
      </c>
      <c r="N236" t="inlineStr"/>
      <c r="P236" t="inlineStr">
        <is>
          <t>20260625</t>
        </is>
      </c>
      <c r="Q236" t="inlineStr">
        <is>
          <t>99991231</t>
        </is>
      </c>
    </row>
    <row r="237">
      <c r="A237" t="inlineStr">
        <is>
          <t>900009308DW55D30410000372</t>
        </is>
      </c>
      <c r="B237" t="inlineStr">
        <is>
          <t>900009308</t>
        </is>
      </c>
      <c r="C237" t="inlineStr">
        <is>
          <t>DW55</t>
        </is>
      </c>
      <c r="D237" t="inlineStr">
        <is>
          <t>D304</t>
        </is>
      </c>
      <c r="E237" t="inlineStr">
        <is>
          <t>1</t>
        </is>
      </c>
      <c r="F237" t="inlineStr">
        <is>
          <t>10000372</t>
        </is>
      </c>
      <c r="H237" t="inlineStr"/>
      <c r="J237" t="n">
        <v>76.66</v>
      </c>
      <c r="K237" t="inlineStr"/>
      <c r="M237" t="inlineStr">
        <is>
          <t>TN</t>
        </is>
      </c>
      <c r="N237" t="inlineStr"/>
      <c r="P237" t="inlineStr">
        <is>
          <t>20260107</t>
        </is>
      </c>
      <c r="Q237" t="inlineStr">
        <is>
          <t>99991231</t>
        </is>
      </c>
    </row>
    <row r="238">
      <c r="A238" t="inlineStr">
        <is>
          <t>900009308DW55D30410000623</t>
        </is>
      </c>
      <c r="B238" t="inlineStr">
        <is>
          <t>900009308</t>
        </is>
      </c>
      <c r="C238" t="inlineStr">
        <is>
          <t>DW55</t>
        </is>
      </c>
      <c r="D238" t="inlineStr">
        <is>
          <t>D304</t>
        </is>
      </c>
      <c r="E238" t="inlineStr">
        <is>
          <t>1</t>
        </is>
      </c>
      <c r="F238" t="inlineStr">
        <is>
          <t>10000623</t>
        </is>
      </c>
      <c r="H238" t="inlineStr"/>
      <c r="J238" t="n">
        <v>78.72</v>
      </c>
      <c r="K238" t="inlineStr"/>
      <c r="M238" t="inlineStr">
        <is>
          <t>TN</t>
        </is>
      </c>
      <c r="N238" t="inlineStr"/>
      <c r="P238" t="inlineStr">
        <is>
          <t>20260107</t>
        </is>
      </c>
      <c r="Q238" t="inlineStr">
        <is>
          <t>99991231</t>
        </is>
      </c>
    </row>
    <row r="239">
      <c r="A239" t="inlineStr">
        <is>
          <t>900009308DW55D30410123034</t>
        </is>
      </c>
      <c r="B239" t="inlineStr">
        <is>
          <t>900009308</t>
        </is>
      </c>
      <c r="C239" t="inlineStr">
        <is>
          <t>DW55</t>
        </is>
      </c>
      <c r="D239" t="inlineStr">
        <is>
          <t>D304</t>
        </is>
      </c>
      <c r="E239" t="inlineStr">
        <is>
          <t>1</t>
        </is>
      </c>
      <c r="F239" t="inlineStr">
        <is>
          <t>10123034</t>
        </is>
      </c>
      <c r="H239" t="inlineStr"/>
      <c r="J239" t="n">
        <v>72.64</v>
      </c>
      <c r="K239" t="inlineStr"/>
      <c r="M239" t="inlineStr">
        <is>
          <t>TN</t>
        </is>
      </c>
      <c r="N239" t="inlineStr"/>
      <c r="P239" t="inlineStr">
        <is>
          <t>20260107</t>
        </is>
      </c>
      <c r="Q239" t="inlineStr">
        <is>
          <t>99991231</t>
        </is>
      </c>
    </row>
    <row r="240">
      <c r="A240" t="inlineStr">
        <is>
          <t>900009308DW55D30910000372</t>
        </is>
      </c>
      <c r="B240" t="inlineStr">
        <is>
          <t>900009308</t>
        </is>
      </c>
      <c r="C240" t="inlineStr">
        <is>
          <t>DW55</t>
        </is>
      </c>
      <c r="D240" t="inlineStr">
        <is>
          <t>D309</t>
        </is>
      </c>
      <c r="E240" t="inlineStr">
        <is>
          <t>1</t>
        </is>
      </c>
      <c r="F240" t="inlineStr">
        <is>
          <t>10000372</t>
        </is>
      </c>
      <c r="H240" t="inlineStr"/>
      <c r="J240" t="n">
        <v>179.56</v>
      </c>
      <c r="K240" t="inlineStr"/>
      <c r="M240" t="inlineStr">
        <is>
          <t>TN</t>
        </is>
      </c>
      <c r="N240" t="inlineStr"/>
      <c r="P240" t="inlineStr">
        <is>
          <t>20260625</t>
        </is>
      </c>
      <c r="Q240" t="inlineStr">
        <is>
          <t>99991231</t>
        </is>
      </c>
    </row>
    <row r="241">
      <c r="A241" t="inlineStr">
        <is>
          <t>900009308DW55D30910000623</t>
        </is>
      </c>
      <c r="B241" t="inlineStr">
        <is>
          <t>900009308</t>
        </is>
      </c>
      <c r="C241" t="inlineStr">
        <is>
          <t>DW55</t>
        </is>
      </c>
      <c r="D241" t="inlineStr">
        <is>
          <t>D309</t>
        </is>
      </c>
      <c r="E241" t="inlineStr">
        <is>
          <t>1</t>
        </is>
      </c>
      <c r="F241" t="inlineStr">
        <is>
          <t>10000623</t>
        </is>
      </c>
      <c r="H241" t="inlineStr"/>
      <c r="J241" t="n">
        <v>184.4</v>
      </c>
      <c r="K241" t="inlineStr"/>
      <c r="M241" t="inlineStr">
        <is>
          <t>TN</t>
        </is>
      </c>
      <c r="N241" t="inlineStr"/>
      <c r="P241" t="inlineStr">
        <is>
          <t>20260625</t>
        </is>
      </c>
      <c r="Q241" t="inlineStr">
        <is>
          <t>99991231</t>
        </is>
      </c>
    </row>
    <row r="242">
      <c r="A242" t="inlineStr">
        <is>
          <t>900009308DW55D30910123034</t>
        </is>
      </c>
      <c r="B242" t="inlineStr">
        <is>
          <t>900009308</t>
        </is>
      </c>
      <c r="C242" t="inlineStr">
        <is>
          <t>DW55</t>
        </is>
      </c>
      <c r="D242" t="inlineStr">
        <is>
          <t>D309</t>
        </is>
      </c>
      <c r="E242" t="inlineStr">
        <is>
          <t>1</t>
        </is>
      </c>
      <c r="F242" t="inlineStr">
        <is>
          <t>10123034</t>
        </is>
      </c>
      <c r="H242" t="inlineStr"/>
      <c r="J242" t="n">
        <v>170.16</v>
      </c>
      <c r="K242" t="inlineStr"/>
      <c r="M242" t="inlineStr">
        <is>
          <t>TN</t>
        </is>
      </c>
      <c r="N242" t="inlineStr"/>
      <c r="P242" t="inlineStr">
        <is>
          <t>20260625</t>
        </is>
      </c>
      <c r="Q242" t="inlineStr">
        <is>
          <t>99991231</t>
        </is>
      </c>
    </row>
    <row r="243">
      <c r="A243" t="inlineStr">
        <is>
          <t>900009308DW55D32510000372</t>
        </is>
      </c>
      <c r="B243" t="inlineStr">
        <is>
          <t>900009308</t>
        </is>
      </c>
      <c r="C243" t="inlineStr">
        <is>
          <t>DW55</t>
        </is>
      </c>
      <c r="D243" t="inlineStr">
        <is>
          <t>D325</t>
        </is>
      </c>
      <c r="E243" t="inlineStr">
        <is>
          <t>1</t>
        </is>
      </c>
      <c r="F243" t="inlineStr">
        <is>
          <t>10000372</t>
        </is>
      </c>
      <c r="H243" t="inlineStr"/>
      <c r="J243" t="n">
        <v>257.9</v>
      </c>
      <c r="K243" t="inlineStr"/>
      <c r="M243" t="inlineStr">
        <is>
          <t>TN</t>
        </is>
      </c>
      <c r="N243" t="inlineStr"/>
      <c r="P243" t="inlineStr">
        <is>
          <t>20250822</t>
        </is>
      </c>
      <c r="Q243" t="inlineStr">
        <is>
          <t>99991231</t>
        </is>
      </c>
    </row>
    <row r="244">
      <c r="A244" t="inlineStr">
        <is>
          <t>900009308DW55D32510000623</t>
        </is>
      </c>
      <c r="B244" t="inlineStr">
        <is>
          <t>900009308</t>
        </is>
      </c>
      <c r="C244" t="inlineStr">
        <is>
          <t>DW55</t>
        </is>
      </c>
      <c r="D244" t="inlineStr">
        <is>
          <t>D325</t>
        </is>
      </c>
      <c r="E244" t="inlineStr">
        <is>
          <t>1</t>
        </is>
      </c>
      <c r="F244" t="inlineStr">
        <is>
          <t>10000623</t>
        </is>
      </c>
      <c r="H244" t="inlineStr"/>
      <c r="J244" t="n">
        <v>264.85</v>
      </c>
      <c r="K244" t="inlineStr"/>
      <c r="M244" t="inlineStr">
        <is>
          <t>TN</t>
        </is>
      </c>
      <c r="N244" t="inlineStr"/>
      <c r="P244" t="inlineStr">
        <is>
          <t>20250822</t>
        </is>
      </c>
      <c r="Q244" t="inlineStr">
        <is>
          <t>99991231</t>
        </is>
      </c>
    </row>
    <row r="245">
      <c r="A245" t="inlineStr">
        <is>
          <t>900009308DW55D32510123034</t>
        </is>
      </c>
      <c r="B245" t="inlineStr">
        <is>
          <t>900009308</t>
        </is>
      </c>
      <c r="C245" t="inlineStr">
        <is>
          <t>DW55</t>
        </is>
      </c>
      <c r="D245" t="inlineStr">
        <is>
          <t>D325</t>
        </is>
      </c>
      <c r="E245" t="inlineStr">
        <is>
          <t>1</t>
        </is>
      </c>
      <c r="F245" t="inlineStr">
        <is>
          <t>10123034</t>
        </is>
      </c>
      <c r="H245" t="inlineStr"/>
      <c r="J245" t="n">
        <v>244.4</v>
      </c>
      <c r="K245" t="inlineStr"/>
      <c r="M245" t="inlineStr">
        <is>
          <t>TN</t>
        </is>
      </c>
      <c r="N245" t="inlineStr"/>
      <c r="P245" t="inlineStr">
        <is>
          <t>20250919</t>
        </is>
      </c>
      <c r="Q245" t="inlineStr">
        <is>
          <t>99991231</t>
        </is>
      </c>
    </row>
    <row r="246">
      <c r="A246" t="inlineStr">
        <is>
          <t>900009308DW55D34210000372</t>
        </is>
      </c>
      <c r="B246" t="inlineStr">
        <is>
          <t>900009308</t>
        </is>
      </c>
      <c r="C246" t="inlineStr">
        <is>
          <t>DW55</t>
        </is>
      </c>
      <c r="D246" t="inlineStr">
        <is>
          <t>D342</t>
        </is>
      </c>
      <c r="E246" t="inlineStr">
        <is>
          <t>1</t>
        </is>
      </c>
      <c r="F246" t="inlineStr">
        <is>
          <t>10000372</t>
        </is>
      </c>
      <c r="H246" t="inlineStr"/>
      <c r="J246" t="n">
        <v>211.11</v>
      </c>
      <c r="K246" t="inlineStr"/>
      <c r="M246" t="inlineStr">
        <is>
          <t>TN</t>
        </is>
      </c>
      <c r="N246" t="inlineStr"/>
      <c r="P246" t="inlineStr">
        <is>
          <t>20260625</t>
        </is>
      </c>
      <c r="Q246" t="inlineStr">
        <is>
          <t>99991231</t>
        </is>
      </c>
    </row>
    <row r="247">
      <c r="A247" t="inlineStr">
        <is>
          <t>900009308DW55D34210000623</t>
        </is>
      </c>
      <c r="B247" t="inlineStr">
        <is>
          <t>900009308</t>
        </is>
      </c>
      <c r="C247" t="inlineStr">
        <is>
          <t>DW55</t>
        </is>
      </c>
      <c r="D247" t="inlineStr">
        <is>
          <t>D342</t>
        </is>
      </c>
      <c r="E247" t="inlineStr">
        <is>
          <t>1</t>
        </is>
      </c>
      <c r="F247" t="inlineStr">
        <is>
          <t>10000623</t>
        </is>
      </c>
      <c r="H247" t="inlineStr"/>
      <c r="J247" t="n">
        <v>216.8</v>
      </c>
      <c r="K247" t="inlineStr"/>
      <c r="M247" t="inlineStr">
        <is>
          <t>TN</t>
        </is>
      </c>
      <c r="N247" t="inlineStr"/>
      <c r="P247" t="inlineStr">
        <is>
          <t>20260625</t>
        </is>
      </c>
      <c r="Q247" t="inlineStr">
        <is>
          <t>99991231</t>
        </is>
      </c>
    </row>
    <row r="248">
      <c r="A248" t="inlineStr">
        <is>
          <t>900009308DW55D34210123034</t>
        </is>
      </c>
      <c r="B248" t="inlineStr">
        <is>
          <t>900009308</t>
        </is>
      </c>
      <c r="C248" t="inlineStr">
        <is>
          <t>DW55</t>
        </is>
      </c>
      <c r="D248" t="inlineStr">
        <is>
          <t>D342</t>
        </is>
      </c>
      <c r="E248" t="inlineStr">
        <is>
          <t>1</t>
        </is>
      </c>
      <c r="F248" t="inlineStr">
        <is>
          <t>10123034</t>
        </is>
      </c>
      <c r="H248" t="inlineStr"/>
      <c r="J248" t="n">
        <v>200.06</v>
      </c>
      <c r="K248" t="inlineStr"/>
      <c r="M248" t="inlineStr">
        <is>
          <t>TN</t>
        </is>
      </c>
      <c r="N248" t="inlineStr"/>
      <c r="P248" t="inlineStr">
        <is>
          <t>20260625</t>
        </is>
      </c>
      <c r="Q248" t="inlineStr">
        <is>
          <t>99991231</t>
        </is>
      </c>
    </row>
    <row r="249">
      <c r="A249" t="inlineStr">
        <is>
          <t>900009523DW55D28410217663</t>
        </is>
      </c>
      <c r="B249" t="inlineStr">
        <is>
          <t>900009523</t>
        </is>
      </c>
      <c r="C249" t="inlineStr">
        <is>
          <t>DW55</t>
        </is>
      </c>
      <c r="D249" t="inlineStr">
        <is>
          <t>D284</t>
        </is>
      </c>
      <c r="E249" t="inlineStr">
        <is>
          <t>1</t>
        </is>
      </c>
      <c r="F249" t="inlineStr">
        <is>
          <t>10217663</t>
        </is>
      </c>
      <c r="H249" t="inlineStr"/>
      <c r="J249" t="n">
        <v>40.8</v>
      </c>
      <c r="K249" t="inlineStr"/>
      <c r="M249" t="inlineStr">
        <is>
          <t>TN</t>
        </is>
      </c>
      <c r="N249" t="inlineStr"/>
      <c r="P249" t="inlineStr">
        <is>
          <t>20260605</t>
        </is>
      </c>
      <c r="Q249" t="inlineStr">
        <is>
          <t>99991231</t>
        </is>
      </c>
    </row>
    <row r="250">
      <c r="A250" t="inlineStr">
        <is>
          <t>900009523DW55D30410217663</t>
        </is>
      </c>
      <c r="B250" t="inlineStr">
        <is>
          <t>900009523</t>
        </is>
      </c>
      <c r="C250" t="inlineStr">
        <is>
          <t>DW55</t>
        </is>
      </c>
      <c r="D250" t="inlineStr">
        <is>
          <t>D304</t>
        </is>
      </c>
      <c r="E250" t="inlineStr">
        <is>
          <t>1</t>
        </is>
      </c>
      <c r="F250" t="inlineStr">
        <is>
          <t>10217663</t>
        </is>
      </c>
      <c r="H250" t="inlineStr"/>
      <c r="J250" t="n">
        <v>92.86</v>
      </c>
      <c r="K250" t="inlineStr"/>
      <c r="M250" t="inlineStr">
        <is>
          <t>TN</t>
        </is>
      </c>
      <c r="N250" t="inlineStr"/>
      <c r="P250" t="inlineStr">
        <is>
          <t>20260605</t>
        </is>
      </c>
      <c r="Q250" t="inlineStr">
        <is>
          <t>99991231</t>
        </is>
      </c>
    </row>
    <row r="251">
      <c r="A251" t="inlineStr">
        <is>
          <t>900009523DW55D30910217663</t>
        </is>
      </c>
      <c r="B251" t="inlineStr">
        <is>
          <t>900009523</t>
        </is>
      </c>
      <c r="C251" t="inlineStr">
        <is>
          <t>DW55</t>
        </is>
      </c>
      <c r="D251" t="inlineStr">
        <is>
          <t>D309</t>
        </is>
      </c>
      <c r="E251" t="inlineStr">
        <is>
          <t>1</t>
        </is>
      </c>
      <c r="F251" t="inlineStr">
        <is>
          <t>10217663</t>
        </is>
      </c>
      <c r="H251" t="inlineStr"/>
      <c r="J251" t="n">
        <v>59.34</v>
      </c>
      <c r="K251" t="inlineStr"/>
      <c r="M251" t="inlineStr">
        <is>
          <t>TN</t>
        </is>
      </c>
      <c r="N251" t="inlineStr"/>
      <c r="P251" t="inlineStr">
        <is>
          <t>20260605</t>
        </is>
      </c>
      <c r="Q251" t="inlineStr">
        <is>
          <t>99991231</t>
        </is>
      </c>
    </row>
    <row r="252">
      <c r="A252" t="inlineStr">
        <is>
          <t>900009524DW55D28410217663</t>
        </is>
      </c>
      <c r="B252" t="inlineStr">
        <is>
          <t>900009524</t>
        </is>
      </c>
      <c r="C252" t="inlineStr">
        <is>
          <t>DW55</t>
        </is>
      </c>
      <c r="D252" t="inlineStr">
        <is>
          <t>D284</t>
        </is>
      </c>
      <c r="E252" t="inlineStr">
        <is>
          <t>4</t>
        </is>
      </c>
      <c r="F252" t="inlineStr">
        <is>
          <t>10217663</t>
        </is>
      </c>
      <c r="H252" t="inlineStr"/>
      <c r="J252" t="n">
        <v>54.95</v>
      </c>
      <c r="K252" t="inlineStr"/>
      <c r="M252" t="inlineStr">
        <is>
          <t>TN</t>
        </is>
      </c>
      <c r="N252" t="inlineStr"/>
      <c r="P252" t="inlineStr">
        <is>
          <t>20260707</t>
        </is>
      </c>
      <c r="Q252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8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900009596DW55D30910260169</t>
        </is>
      </c>
      <c r="B2" t="inlineStr">
        <is>
          <t>4600072551-10</t>
        </is>
      </c>
      <c r="C2" t="n">
        <v>4600072551</v>
      </c>
      <c r="D2" t="n">
        <v>10</v>
      </c>
      <c r="E2" t="inlineStr">
        <is>
          <t>MXPO</t>
        </is>
      </c>
      <c r="F2" t="inlineStr">
        <is>
          <t>MXL</t>
        </is>
      </c>
      <c r="G2" t="n">
        <v>900009596</v>
      </c>
      <c r="H2" t="inlineStr">
        <is>
          <t>SF TC-ED MARINA RAGA</t>
        </is>
      </c>
      <c r="I2" t="n">
        <v>5098523</v>
      </c>
      <c r="J2" t="inlineStr">
        <is>
          <t>CONSTRUCCIONES Y SERVICIOS RAGA SA</t>
        </is>
      </c>
      <c r="K2" t="inlineStr">
        <is>
          <t>Z09</t>
        </is>
      </c>
      <c r="L2" t="inlineStr">
        <is>
          <t>(AP) 90 Dias</t>
        </is>
      </c>
      <c r="M2" t="n">
        <v>10260169</v>
      </c>
      <c r="N2" t="inlineStr">
        <is>
          <t>ARENA DE RIO MALLA 4#</t>
        </is>
      </c>
      <c r="O2" t="inlineStr">
        <is>
          <t>DW55</t>
        </is>
      </c>
      <c r="P2" t="inlineStr">
        <is>
          <t>MX-CED. TABASCO</t>
        </is>
      </c>
      <c r="Q2" t="n">
        <v>20260819</v>
      </c>
      <c r="R2" t="n">
        <v>20301231</v>
      </c>
      <c r="S2" t="n">
        <v>20260819</v>
      </c>
      <c r="T2" t="n">
        <v>20301231</v>
      </c>
      <c r="U2" t="n">
        <v>150</v>
      </c>
      <c r="V2" t="inlineStr">
        <is>
          <t>MXN</t>
        </is>
      </c>
      <c r="W2" t="inlineStr">
        <is>
          <t>M3</t>
        </is>
      </c>
      <c r="X2" t="n">
        <v>75</v>
      </c>
      <c r="Y2" t="inlineStr">
        <is>
          <t>MXN</t>
        </is>
      </c>
      <c r="Z2" t="inlineStr">
        <is>
          <t>M3</t>
        </is>
      </c>
      <c r="AA2" t="inlineStr">
        <is>
          <t>D309</t>
        </is>
      </c>
      <c r="AB2" t="inlineStr">
        <is>
          <t>PD0477 CARDENAS</t>
        </is>
      </c>
      <c r="AC2" t="n">
        <v>56103638</v>
      </c>
      <c r="AD2" t="n">
        <v>6644041540</v>
      </c>
      <c r="AE2" t="n">
        <v>4</v>
      </c>
      <c r="AF2" t="inlineStr">
        <is>
          <t>ENTREGA DIRECTA</t>
        </is>
      </c>
      <c r="AG2" t="n">
        <v>1.555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20260825</v>
      </c>
      <c r="AM2" t="inlineStr">
        <is>
          <t>DW55-900009596-D309-10260169-4</t>
        </is>
      </c>
    </row>
    <row r="3">
      <c r="A3" t="inlineStr">
        <is>
          <t>900009580DW55D30910217663</t>
        </is>
      </c>
      <c r="B3" t="inlineStr">
        <is>
          <t>4600072526-20</t>
        </is>
      </c>
      <c r="C3" t="n">
        <v>4600072526</v>
      </c>
      <c r="D3" t="n">
        <v>20</v>
      </c>
      <c r="E3" t="inlineStr">
        <is>
          <t>MXPO</t>
        </is>
      </c>
      <c r="F3" t="inlineStr">
        <is>
          <t>MXL</t>
        </is>
      </c>
      <c r="G3" t="n">
        <v>900009580</v>
      </c>
      <c r="H3" t="inlineStr">
        <is>
          <t>SF TC-ED HABANERO</t>
        </is>
      </c>
      <c r="I3" t="n">
        <v>5066828</v>
      </c>
      <c r="J3" t="inlineStr">
        <is>
          <t>DE LA CRUZ GARCIA FREDDY</t>
        </is>
      </c>
      <c r="K3" t="inlineStr">
        <is>
          <t>N90</t>
        </is>
      </c>
      <c r="L3" t="inlineStr">
        <is>
          <t>(AP) NAFIN 90 Dias</t>
        </is>
      </c>
      <c r="M3" t="n">
        <v>10217663</v>
      </c>
      <c r="N3" t="inlineStr">
        <is>
          <t>ARENA CLASIFICADA RÍO MALLA 4 -TABASCO</t>
        </is>
      </c>
      <c r="O3" t="inlineStr">
        <is>
          <t>DW55</t>
        </is>
      </c>
      <c r="P3" t="inlineStr">
        <is>
          <t>MX-CED. TABASCO</t>
        </is>
      </c>
      <c r="Q3" t="n">
        <v>20260806</v>
      </c>
      <c r="R3" t="n">
        <v>20301231</v>
      </c>
      <c r="S3" t="n">
        <v>20260806</v>
      </c>
      <c r="T3" t="n">
        <v>20301231</v>
      </c>
      <c r="U3" t="n">
        <v>155</v>
      </c>
      <c r="V3" t="inlineStr">
        <is>
          <t>MXN</t>
        </is>
      </c>
      <c r="W3" t="inlineStr">
        <is>
          <t>M3</t>
        </is>
      </c>
      <c r="X3" t="n">
        <v>35</v>
      </c>
      <c r="Y3" t="inlineStr">
        <is>
          <t>MXN</t>
        </is>
      </c>
      <c r="Z3" t="inlineStr">
        <is>
          <t>M3</t>
        </is>
      </c>
      <c r="AA3" t="inlineStr">
        <is>
          <t>D309</t>
        </is>
      </c>
      <c r="AB3" t="inlineStr">
        <is>
          <t>PD0477 CARDENAS</t>
        </is>
      </c>
      <c r="AC3" t="n">
        <v>56103638</v>
      </c>
      <c r="AD3" t="n">
        <v>6644041540</v>
      </c>
      <c r="AE3" t="n">
        <v>4</v>
      </c>
      <c r="AF3" t="inlineStr">
        <is>
          <t>ENTREGA DIRECTA</t>
        </is>
      </c>
      <c r="AG3" t="n">
        <v>1.456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20260811</v>
      </c>
      <c r="AM3" t="inlineStr">
        <is>
          <t>DW55-900009580-D309-10217663-4</t>
        </is>
      </c>
    </row>
    <row r="4">
      <c r="A4" t="inlineStr">
        <is>
          <t>900000000DW55D28410000541</t>
        </is>
      </c>
      <c r="B4" t="inlineStr">
        <is>
          <t>4600050874-60</t>
        </is>
      </c>
      <c r="C4" t="n">
        <v>4600050874</v>
      </c>
      <c r="D4" t="n">
        <v>60</v>
      </c>
      <c r="E4" t="inlineStr">
        <is>
          <t>MXPO</t>
        </is>
      </c>
      <c r="F4" t="inlineStr">
        <is>
          <t>MXL</t>
        </is>
      </c>
      <c r="G4" t="n">
        <v>900000000</v>
      </c>
      <c r="H4" t="inlineStr">
        <is>
          <t>TC-ED-LAZCANO HUERTA</t>
        </is>
      </c>
      <c r="I4" t="n">
        <v>5000326</v>
      </c>
      <c r="J4" t="inlineStr">
        <is>
          <t>LAZCANO HUERTA ROCIO NANCY</t>
        </is>
      </c>
      <c r="K4" t="inlineStr">
        <is>
          <t>N90</t>
        </is>
      </c>
      <c r="L4" t="inlineStr">
        <is>
          <t>(AP) NAFIN 90 Dias</t>
        </is>
      </c>
      <c r="M4" t="n">
        <v>10000541</v>
      </c>
      <c r="N4" t="inlineStr">
        <is>
          <t>Grava Clasificada Río 10 mm - 3/8"</t>
        </is>
      </c>
      <c r="O4" t="inlineStr">
        <is>
          <t>DW55</t>
        </is>
      </c>
      <c r="P4" t="inlineStr">
        <is>
          <t>MX-CED. TABASCO</t>
        </is>
      </c>
      <c r="Q4" t="n">
        <v>20210712</v>
      </c>
      <c r="R4" t="n">
        <v>20291231</v>
      </c>
      <c r="S4" t="n">
        <v>20260804</v>
      </c>
      <c r="T4" t="n">
        <v>20301231</v>
      </c>
      <c r="U4" t="n">
        <v>900</v>
      </c>
      <c r="V4" t="inlineStr">
        <is>
          <t>MXN</t>
        </is>
      </c>
      <c r="W4" t="inlineStr">
        <is>
          <t>M3</t>
        </is>
      </c>
      <c r="X4" t="n">
        <v>550</v>
      </c>
      <c r="Y4" t="inlineStr">
        <is>
          <t>MXN</t>
        </is>
      </c>
      <c r="Z4" t="inlineStr">
        <is>
          <t>M3</t>
        </is>
      </c>
      <c r="AA4" t="inlineStr">
        <is>
          <t>D284</t>
        </is>
      </c>
      <c r="AB4" t="inlineStr">
        <is>
          <t>PD0183 VILLAHERMOSA</t>
        </is>
      </c>
      <c r="AC4" t="n">
        <v>56103637</v>
      </c>
      <c r="AD4" t="n">
        <v>6644041540</v>
      </c>
      <c r="AE4" t="n">
        <v>4</v>
      </c>
      <c r="AF4" t="inlineStr">
        <is>
          <t>ENTREGA DIRECTA</t>
        </is>
      </c>
      <c r="AG4" t="n">
        <v>1.528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20260806</v>
      </c>
      <c r="AM4" t="inlineStr">
        <is>
          <t>DW55-900000000-D284-10000541-4</t>
        </is>
      </c>
    </row>
    <row r="5">
      <c r="A5" t="inlineStr">
        <is>
          <t>900009577DW5510217663</t>
        </is>
      </c>
      <c r="B5" t="inlineStr">
        <is>
          <t>4600072536-10</t>
        </is>
      </c>
      <c r="C5" t="n">
        <v>4600072536</v>
      </c>
      <c r="D5" t="n">
        <v>10</v>
      </c>
      <c r="E5" t="inlineStr">
        <is>
          <t>MXPO</t>
        </is>
      </c>
      <c r="F5" t="inlineStr">
        <is>
          <t>MXL</t>
        </is>
      </c>
      <c r="G5" t="n">
        <v>900009577</v>
      </c>
      <c r="H5" t="inlineStr">
        <is>
          <t>SF TC-JPM GARRAPATA</t>
        </is>
      </c>
      <c r="I5" t="n">
        <v>5098111</v>
      </c>
      <c r="J5" t="inlineStr">
        <is>
          <t>PEREZ MORALES JONAS</t>
        </is>
      </c>
      <c r="K5" t="inlineStr">
        <is>
          <t>N90</t>
        </is>
      </c>
      <c r="L5" t="inlineStr">
        <is>
          <t>(AP) NAFIN 90 Dias</t>
        </is>
      </c>
      <c r="M5" t="n">
        <v>10217663</v>
      </c>
      <c r="N5" t="inlineStr">
        <is>
          <t>ARENA CLASIFICADA RÍO MALLA 4 -TABASCO</t>
        </is>
      </c>
      <c r="O5" t="inlineStr">
        <is>
          <t>DW55</t>
        </is>
      </c>
      <c r="P5" t="inlineStr">
        <is>
          <t>MX-CED. TABASCO</t>
        </is>
      </c>
      <c r="Q5" t="n">
        <v>20260812</v>
      </c>
      <c r="R5" t="n">
        <v>20301231</v>
      </c>
      <c r="S5" t="n">
        <v>20260812</v>
      </c>
      <c r="T5" t="n">
        <v>20301231</v>
      </c>
      <c r="U5" t="n">
        <v>75</v>
      </c>
      <c r="V5" t="inlineStr">
        <is>
          <t>MXN</t>
        </is>
      </c>
      <c r="W5" t="inlineStr">
        <is>
          <t>M3</t>
        </is>
      </c>
      <c r="X5" t="n">
        <v>0</v>
      </c>
      <c r="Y5" t="inlineStr">
        <is>
          <t>MXN</t>
        </is>
      </c>
      <c r="Z5" t="inlineStr">
        <is>
          <t>M3</t>
        </is>
      </c>
      <c r="AC5" t="n">
        <v>56103638</v>
      </c>
      <c r="AD5" t="n">
        <v>6644041540</v>
      </c>
      <c r="AE5" t="n">
        <v>1</v>
      </c>
      <c r="AF5" t="inlineStr">
        <is>
          <t>ENTREGADO</t>
        </is>
      </c>
      <c r="AG5" t="n">
        <v>1.456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20260814</v>
      </c>
      <c r="AM5" t="inlineStr">
        <is>
          <t>DW55-900009577-10217663</t>
        </is>
      </c>
    </row>
    <row r="6">
      <c r="A6" t="inlineStr">
        <is>
          <t>900009580DW55D28410217663</t>
        </is>
      </c>
      <c r="B6" t="inlineStr">
        <is>
          <t>4600072526-10</t>
        </is>
      </c>
      <c r="C6" t="n">
        <v>4600072526</v>
      </c>
      <c r="D6" t="n">
        <v>10</v>
      </c>
      <c r="E6" t="inlineStr">
        <is>
          <t>MXPO</t>
        </is>
      </c>
      <c r="F6" t="inlineStr">
        <is>
          <t>MXL</t>
        </is>
      </c>
      <c r="G6" t="n">
        <v>900009580</v>
      </c>
      <c r="H6" t="inlineStr">
        <is>
          <t>SF TC-ED HABANERO</t>
        </is>
      </c>
      <c r="I6" t="n">
        <v>5066828</v>
      </c>
      <c r="J6" t="inlineStr">
        <is>
          <t>DE LA CRUZ GARCIA FREDDY</t>
        </is>
      </c>
      <c r="K6" t="inlineStr">
        <is>
          <t>N90</t>
        </is>
      </c>
      <c r="L6" t="inlineStr">
        <is>
          <t>(AP) NAFIN 90 Dias</t>
        </is>
      </c>
      <c r="M6" t="n">
        <v>10217663</v>
      </c>
      <c r="N6" t="inlineStr">
        <is>
          <t>ARENA CLASIFICADA RÍO MALLA 4 -TABASCO</t>
        </is>
      </c>
      <c r="O6" t="inlineStr">
        <is>
          <t>DW55</t>
        </is>
      </c>
      <c r="P6" t="inlineStr">
        <is>
          <t>MX-CED. TABASCO</t>
        </is>
      </c>
      <c r="Q6" t="n">
        <v>20260806</v>
      </c>
      <c r="R6" t="n">
        <v>20301231</v>
      </c>
      <c r="S6" t="n">
        <v>20260806</v>
      </c>
      <c r="T6" t="n">
        <v>20301231</v>
      </c>
      <c r="U6" t="n">
        <v>190</v>
      </c>
      <c r="V6" t="inlineStr">
        <is>
          <t>MXN</t>
        </is>
      </c>
      <c r="W6" t="inlineStr">
        <is>
          <t>M3</t>
        </is>
      </c>
      <c r="X6" t="n">
        <v>70</v>
      </c>
      <c r="Y6" t="inlineStr">
        <is>
          <t>MXN</t>
        </is>
      </c>
      <c r="Z6" t="inlineStr">
        <is>
          <t>M3</t>
        </is>
      </c>
      <c r="AA6" t="inlineStr">
        <is>
          <t>D284</t>
        </is>
      </c>
      <c r="AB6" t="inlineStr">
        <is>
          <t>PD0183 VILLAHERMOSA</t>
        </is>
      </c>
      <c r="AC6" t="n">
        <v>56103638</v>
      </c>
      <c r="AD6" t="n">
        <v>6644041540</v>
      </c>
      <c r="AE6" t="n">
        <v>4</v>
      </c>
      <c r="AF6" t="inlineStr">
        <is>
          <t>ENTREGA DIRECTA</t>
        </is>
      </c>
      <c r="AG6" t="n">
        <v>1.456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20260811</v>
      </c>
      <c r="AM6" t="inlineStr">
        <is>
          <t>DW55-900009580-D284-10217663-4</t>
        </is>
      </c>
    </row>
    <row r="7">
      <c r="A7" t="inlineStr">
        <is>
          <t>900007931DW5510000372</t>
        </is>
      </c>
      <c r="B7" t="inlineStr">
        <is>
          <t>4600072359-20</t>
        </is>
      </c>
      <c r="C7" t="n">
        <v>4600072359</v>
      </c>
      <c r="D7" t="n">
        <v>20</v>
      </c>
      <c r="E7" t="inlineStr">
        <is>
          <t>MXPO</t>
        </is>
      </c>
      <c r="F7" t="inlineStr">
        <is>
          <t>MXL</t>
        </is>
      </c>
      <c r="G7" t="n">
        <v>900007931</v>
      </c>
      <c r="H7" t="inlineStr">
        <is>
          <t>SF TC-TRAPA</t>
        </is>
      </c>
      <c r="I7" t="n">
        <v>5087333</v>
      </c>
      <c r="J7" t="inlineStr">
        <is>
          <t>GARCIA MONTILLA VICTOR DAVID</t>
        </is>
      </c>
      <c r="K7" t="inlineStr">
        <is>
          <t>Z09</t>
        </is>
      </c>
      <c r="L7" t="inlineStr">
        <is>
          <t>(AP) 90 Dias</t>
        </is>
      </c>
      <c r="M7" t="n">
        <v>10000372</v>
      </c>
      <c r="N7" t="inlineStr">
        <is>
          <t>Grava Triturada Caliza 20 mm - 3/4"</t>
        </is>
      </c>
      <c r="O7" t="inlineStr">
        <is>
          <t>DW55</t>
        </is>
      </c>
      <c r="P7" t="inlineStr">
        <is>
          <t>MX-CED. TABASCO</t>
        </is>
      </c>
      <c r="Q7" t="n">
        <v>20260707</v>
      </c>
      <c r="R7" t="n">
        <v>20301231</v>
      </c>
      <c r="S7" t="n">
        <v>20260707</v>
      </c>
      <c r="T7" t="n">
        <v>20301231</v>
      </c>
      <c r="U7" t="n">
        <v>340</v>
      </c>
      <c r="V7" t="inlineStr">
        <is>
          <t>MXN</t>
        </is>
      </c>
      <c r="W7" t="inlineStr">
        <is>
          <t>M3</t>
        </is>
      </c>
      <c r="X7" t="n">
        <v>0</v>
      </c>
      <c r="Y7" t="inlineStr">
        <is>
          <t>MXN</t>
        </is>
      </c>
      <c r="Z7" t="inlineStr">
        <is>
          <t>M3</t>
        </is>
      </c>
      <c r="AC7" t="n">
        <v>56103637</v>
      </c>
      <c r="AD7" t="n">
        <v>6644041540</v>
      </c>
      <c r="AE7" t="n">
        <v>1</v>
      </c>
      <c r="AF7" t="inlineStr">
        <is>
          <t>ENTREGADO</t>
        </is>
      </c>
      <c r="AG7" t="n">
        <v>1.448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20260709</v>
      </c>
      <c r="AM7" t="inlineStr">
        <is>
          <t>DW55-900007931-10000372</t>
        </is>
      </c>
    </row>
    <row r="8">
      <c r="A8" t="inlineStr">
        <is>
          <t>900007931DW5510000623</t>
        </is>
      </c>
      <c r="B8" t="inlineStr">
        <is>
          <t>4600072359-30</t>
        </is>
      </c>
      <c r="C8" t="n">
        <v>4600072359</v>
      </c>
      <c r="D8" t="n">
        <v>30</v>
      </c>
      <c r="E8" t="inlineStr">
        <is>
          <t>MXPO</t>
        </is>
      </c>
      <c r="F8" t="inlineStr">
        <is>
          <t>MXL</t>
        </is>
      </c>
      <c r="G8" t="n">
        <v>900007931</v>
      </c>
      <c r="H8" t="inlineStr">
        <is>
          <t>SF TC-TRAPA</t>
        </is>
      </c>
      <c r="I8" t="n">
        <v>5087333</v>
      </c>
      <c r="J8" t="inlineStr">
        <is>
          <t>GARCIA MONTILLA VICTOR DAVID</t>
        </is>
      </c>
      <c r="K8" t="inlineStr">
        <is>
          <t>Z09</t>
        </is>
      </c>
      <c r="L8" t="inlineStr">
        <is>
          <t>(AP) 90 Dias</t>
        </is>
      </c>
      <c r="M8" t="n">
        <v>10000623</v>
      </c>
      <c r="N8" t="inlineStr">
        <is>
          <t>Grava Triturada Caliza 10 mm - 3/8"</t>
        </is>
      </c>
      <c r="O8" t="inlineStr">
        <is>
          <t>DW55</t>
        </is>
      </c>
      <c r="P8" t="inlineStr">
        <is>
          <t>MX-CED. TABASCO</t>
        </is>
      </c>
      <c r="Q8" t="n">
        <v>20260707</v>
      </c>
      <c r="R8" t="n">
        <v>20301231</v>
      </c>
      <c r="S8" t="n">
        <v>20260716</v>
      </c>
      <c r="T8" t="n">
        <v>20301231</v>
      </c>
      <c r="U8" t="n">
        <v>420</v>
      </c>
      <c r="V8" t="inlineStr">
        <is>
          <t>MXN</t>
        </is>
      </c>
      <c r="W8" t="inlineStr">
        <is>
          <t>M3</t>
        </is>
      </c>
      <c r="X8" t="n">
        <v>0</v>
      </c>
      <c r="Y8" t="inlineStr">
        <is>
          <t>MXN</t>
        </is>
      </c>
      <c r="Z8" t="inlineStr">
        <is>
          <t>M3</t>
        </is>
      </c>
      <c r="AC8" t="n">
        <v>56103637</v>
      </c>
      <c r="AD8" t="n">
        <v>6644041540</v>
      </c>
      <c r="AE8" t="n">
        <v>1</v>
      </c>
      <c r="AF8" t="inlineStr">
        <is>
          <t>ENTREGADO</t>
        </is>
      </c>
      <c r="AG8" t="n">
        <v>1.41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20260720</v>
      </c>
      <c r="AM8" t="inlineStr">
        <is>
          <t>DW55-900007931-10000623</t>
        </is>
      </c>
    </row>
    <row r="9">
      <c r="A9" t="inlineStr">
        <is>
          <t>900003903DW5510217663</t>
        </is>
      </c>
      <c r="B9" t="inlineStr">
        <is>
          <t>4600050910-30</t>
        </is>
      </c>
      <c r="C9" t="n">
        <v>4600050910</v>
      </c>
      <c r="D9" t="n">
        <v>30</v>
      </c>
      <c r="E9" t="inlineStr">
        <is>
          <t>MXPO</t>
        </is>
      </c>
      <c r="F9" t="inlineStr">
        <is>
          <t>MXL</t>
        </is>
      </c>
      <c r="G9" t="n">
        <v>900003903</v>
      </c>
      <c r="H9" t="inlineStr">
        <is>
          <t>TC ESCUDERO AGUILAR</t>
        </is>
      </c>
      <c r="I9" t="n">
        <v>5014480</v>
      </c>
      <c r="J9" t="inlineStr">
        <is>
          <t>ESCUDERO AGUILAR ANDRES</t>
        </is>
      </c>
      <c r="K9" t="inlineStr">
        <is>
          <t>N90</t>
        </is>
      </c>
      <c r="L9" t="inlineStr">
        <is>
          <t>(AP) NAFIN 90 Dias</t>
        </is>
      </c>
      <c r="M9" t="n">
        <v>10217663</v>
      </c>
      <c r="N9" t="inlineStr">
        <is>
          <t>ARENA CLASIFICADA RÍO MALLA 4 -TABASCO</t>
        </is>
      </c>
      <c r="O9" t="inlineStr">
        <is>
          <t>DW55</t>
        </is>
      </c>
      <c r="P9" t="inlineStr">
        <is>
          <t>MX-CED. TABASCO</t>
        </is>
      </c>
      <c r="Q9" t="n">
        <v>20210712</v>
      </c>
      <c r="R9" t="n">
        <v>20281231</v>
      </c>
      <c r="S9" t="n">
        <v>20260701</v>
      </c>
      <c r="T9" t="n">
        <v>20301231</v>
      </c>
      <c r="U9" t="n">
        <v>75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56103638</v>
      </c>
      <c r="AD9" t="n">
        <v>6644041540</v>
      </c>
      <c r="AE9" t="n">
        <v>1</v>
      </c>
      <c r="AF9" t="inlineStr">
        <is>
          <t>ENTREGADO</t>
        </is>
      </c>
      <c r="AG9" t="n">
        <v>1.456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20260707</v>
      </c>
      <c r="AM9" t="inlineStr">
        <is>
          <t>DW55-900003903-10217663</t>
        </is>
      </c>
    </row>
    <row r="10">
      <c r="A10" t="inlineStr">
        <is>
          <t>900009524DW55D28410217663</t>
        </is>
      </c>
      <c r="B10" t="inlineStr">
        <is>
          <t>4600072360-10</t>
        </is>
      </c>
      <c r="C10" t="n">
        <v>4600072360</v>
      </c>
      <c r="D10" t="n">
        <v>10</v>
      </c>
      <c r="E10" t="inlineStr">
        <is>
          <t>MXPO</t>
        </is>
      </c>
      <c r="F10" t="inlineStr">
        <is>
          <t>MXL</t>
        </is>
      </c>
      <c r="G10" t="n">
        <v>900009524</v>
      </c>
      <c r="H10" t="inlineStr">
        <is>
          <t>SF TC-ED  JPM EVELIO</t>
        </is>
      </c>
      <c r="I10" t="n">
        <v>5098111</v>
      </c>
      <c r="J10" t="inlineStr">
        <is>
          <t>PEREZ MORALES JONAS</t>
        </is>
      </c>
      <c r="K10" t="inlineStr">
        <is>
          <t>N90</t>
        </is>
      </c>
      <c r="L10" t="inlineStr">
        <is>
          <t>(AP) NAFIN 90 Dias</t>
        </is>
      </c>
      <c r="M10" t="n">
        <v>10217663</v>
      </c>
      <c r="N10" t="inlineStr">
        <is>
          <t>ARENA CLASIFICADA RÍO MALLA 4 -TABASCO</t>
        </is>
      </c>
      <c r="O10" t="inlineStr">
        <is>
          <t>DW55</t>
        </is>
      </c>
      <c r="P10" t="inlineStr">
        <is>
          <t>MX-CED. TABASCO</t>
        </is>
      </c>
      <c r="Q10" t="n">
        <v>20260707</v>
      </c>
      <c r="R10" t="n">
        <v>20301231</v>
      </c>
      <c r="S10" t="n">
        <v>20260707</v>
      </c>
      <c r="T10" t="n">
        <v>20301231</v>
      </c>
      <c r="U10" t="n">
        <v>155</v>
      </c>
      <c r="V10" t="inlineStr">
        <is>
          <t>MXN</t>
        </is>
      </c>
      <c r="W10" t="inlineStr">
        <is>
          <t>M3</t>
        </is>
      </c>
      <c r="X10" t="n">
        <v>80</v>
      </c>
      <c r="Y10" t="inlineStr">
        <is>
          <t>MXN</t>
        </is>
      </c>
      <c r="Z10" t="inlineStr">
        <is>
          <t>M3</t>
        </is>
      </c>
      <c r="AA10" t="inlineStr">
        <is>
          <t>D284</t>
        </is>
      </c>
      <c r="AB10" t="inlineStr">
        <is>
          <t>PD0183 VILLAHERMOSA</t>
        </is>
      </c>
      <c r="AC10" t="n">
        <v>56103638</v>
      </c>
      <c r="AD10" t="n">
        <v>6644041540</v>
      </c>
      <c r="AE10" t="n">
        <v>4</v>
      </c>
      <c r="AF10" t="inlineStr">
        <is>
          <t>ENTREGA DIRECTA</t>
        </is>
      </c>
      <c r="AG10" t="n">
        <v>1.456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20260709</v>
      </c>
      <c r="AM10" t="inlineStr">
        <is>
          <t>DW55-900009524-D284-10217663-4</t>
        </is>
      </c>
    </row>
    <row r="11">
      <c r="A11" t="inlineStr">
        <is>
          <t>900007932DW55D30910000372</t>
        </is>
      </c>
      <c r="B11" t="inlineStr">
        <is>
          <t>4600055937-70</t>
        </is>
      </c>
      <c r="C11" t="n">
        <v>4600055937</v>
      </c>
      <c r="D11" t="n">
        <v>70</v>
      </c>
      <c r="E11" t="inlineStr">
        <is>
          <t>MXPO</t>
        </is>
      </c>
      <c r="F11" t="inlineStr">
        <is>
          <t>MXL</t>
        </is>
      </c>
      <c r="G11" t="n">
        <v>900007932</v>
      </c>
      <c r="H11" t="inlineStr">
        <is>
          <t>SF TC-ED-TRAPA</t>
        </is>
      </c>
      <c r="I11" t="n">
        <v>5087333</v>
      </c>
      <c r="J11" t="inlineStr">
        <is>
          <t>GARCIA MONTILLA VICTOR DAVID</t>
        </is>
      </c>
      <c r="K11" t="inlineStr">
        <is>
          <t>Z09</t>
        </is>
      </c>
      <c r="L11" t="inlineStr">
        <is>
          <t>(AP) 90 Dias</t>
        </is>
      </c>
      <c r="M11" t="n">
        <v>10000372</v>
      </c>
      <c r="N11" t="inlineStr">
        <is>
          <t>Grava Triturada Caliza 20 mm - 3/4"</t>
        </is>
      </c>
      <c r="O11" t="inlineStr">
        <is>
          <t>DW55</t>
        </is>
      </c>
      <c r="P11" t="inlineStr">
        <is>
          <t>MX-CED. TABASCO</t>
        </is>
      </c>
      <c r="Q11" t="n">
        <v>20221209</v>
      </c>
      <c r="R11" t="n">
        <v>20281231</v>
      </c>
      <c r="S11" t="n">
        <v>20260707</v>
      </c>
      <c r="T11" t="n">
        <v>20301231</v>
      </c>
      <c r="U11" t="n">
        <v>590</v>
      </c>
      <c r="V11" t="inlineStr">
        <is>
          <t>MXN</t>
        </is>
      </c>
      <c r="W11" t="inlineStr">
        <is>
          <t>M3</t>
        </is>
      </c>
      <c r="X11" t="n">
        <v>250</v>
      </c>
      <c r="Y11" t="inlineStr">
        <is>
          <t>MXN</t>
        </is>
      </c>
      <c r="Z11" t="inlineStr">
        <is>
          <t>M3</t>
        </is>
      </c>
      <c r="AA11" t="inlineStr">
        <is>
          <t>D309</t>
        </is>
      </c>
      <c r="AB11" t="inlineStr">
        <is>
          <t>PD0477 CARDENAS</t>
        </is>
      </c>
      <c r="AC11" t="n">
        <v>56103637</v>
      </c>
      <c r="AD11" t="n">
        <v>6644041540</v>
      </c>
      <c r="AE11" t="n">
        <v>4</v>
      </c>
      <c r="AF11" t="inlineStr">
        <is>
          <t>ENTREGA DIRECTA</t>
        </is>
      </c>
      <c r="AG11" t="n">
        <v>1.448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20260709</v>
      </c>
      <c r="AM11" t="inlineStr">
        <is>
          <t>DW55-900007932-D309-10000372-4</t>
        </is>
      </c>
    </row>
    <row r="12">
      <c r="A12" t="inlineStr">
        <is>
          <t>900007304DW55D34210000373</t>
        </is>
      </c>
      <c r="B12" t="inlineStr">
        <is>
          <t>4600053181-120</t>
        </is>
      </c>
      <c r="C12" t="n">
        <v>4600053181</v>
      </c>
      <c r="D12" t="n">
        <v>120</v>
      </c>
      <c r="E12" t="inlineStr">
        <is>
          <t>MXPO</t>
        </is>
      </c>
      <c r="F12" t="inlineStr">
        <is>
          <t>MXL</t>
        </is>
      </c>
      <c r="G12" t="n">
        <v>900007304</v>
      </c>
      <c r="H12" t="inlineStr">
        <is>
          <t>SF TC-ED-ALFONSO ESPADAS</t>
        </is>
      </c>
      <c r="I12" t="n">
        <v>5079231</v>
      </c>
      <c r="J12" t="inlineStr">
        <is>
          <t>ESPADAS HERNANDEZ ALFONSO</t>
        </is>
      </c>
      <c r="K12" t="inlineStr">
        <is>
          <t>N90</t>
        </is>
      </c>
      <c r="L12" t="inlineStr">
        <is>
          <t>(AP) NAFIN 90 Dias</t>
        </is>
      </c>
      <c r="M12" t="n">
        <v>10000373</v>
      </c>
      <c r="N12" t="inlineStr">
        <is>
          <t>Grava Triturada Caliza 13 mm - 1/2"</t>
        </is>
      </c>
      <c r="O12" t="inlineStr">
        <is>
          <t>DW55</t>
        </is>
      </c>
      <c r="P12" t="inlineStr">
        <is>
          <t>MX-CED. TABASCO</t>
        </is>
      </c>
      <c r="Q12" t="n">
        <v>20220214</v>
      </c>
      <c r="R12" t="n">
        <v>20281231</v>
      </c>
      <c r="S12" t="n">
        <v>20230307</v>
      </c>
      <c r="T12" t="n">
        <v>20281231</v>
      </c>
      <c r="U12" t="n">
        <v>750</v>
      </c>
      <c r="V12" t="inlineStr">
        <is>
          <t>MXN</t>
        </is>
      </c>
      <c r="W12" t="inlineStr">
        <is>
          <t>M3</t>
        </is>
      </c>
      <c r="X12" t="n">
        <v>350</v>
      </c>
      <c r="Y12" t="inlineStr">
        <is>
          <t>MXN</t>
        </is>
      </c>
      <c r="Z12" t="inlineStr">
        <is>
          <t>M3</t>
        </is>
      </c>
      <c r="AA12" t="inlineStr">
        <is>
          <t>D342</t>
        </is>
      </c>
      <c r="AB12" t="inlineStr">
        <is>
          <t>PD0268 SAMARIA II -PLANTA 2</t>
        </is>
      </c>
      <c r="AC12" t="n">
        <v>56103637</v>
      </c>
      <c r="AD12" t="n">
        <v>6644041540</v>
      </c>
      <c r="AE12" t="n">
        <v>4</v>
      </c>
      <c r="AF12" t="inlineStr">
        <is>
          <t>ENTREGA DIRECTA</t>
        </is>
      </c>
      <c r="AG12" t="n">
        <v>1.395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20230920</v>
      </c>
      <c r="AM12" t="inlineStr">
        <is>
          <t>DW55-900007304-D342-10000373-4</t>
        </is>
      </c>
    </row>
    <row r="13">
      <c r="A13" t="inlineStr">
        <is>
          <t>900007304DW55D32510000373</t>
        </is>
      </c>
      <c r="B13" t="inlineStr">
        <is>
          <t>4600053181-140</t>
        </is>
      </c>
      <c r="C13" t="n">
        <v>4600053181</v>
      </c>
      <c r="D13" t="n">
        <v>140</v>
      </c>
      <c r="E13" t="inlineStr">
        <is>
          <t>MXPO</t>
        </is>
      </c>
      <c r="F13" t="inlineStr">
        <is>
          <t>MXL</t>
        </is>
      </c>
      <c r="G13" t="n">
        <v>900007304</v>
      </c>
      <c r="H13" t="inlineStr">
        <is>
          <t>SF TC-ED-ALFONSO ESPADAS</t>
        </is>
      </c>
      <c r="I13" t="n">
        <v>5079231</v>
      </c>
      <c r="J13" t="inlineStr">
        <is>
          <t>ESPADAS HERNANDEZ ALFONSO</t>
        </is>
      </c>
      <c r="K13" t="inlineStr">
        <is>
          <t>N90</t>
        </is>
      </c>
      <c r="L13" t="inlineStr">
        <is>
          <t>(AP) NAFIN 90 Dias</t>
        </is>
      </c>
      <c r="M13" t="n">
        <v>10000373</v>
      </c>
      <c r="N13" t="inlineStr">
        <is>
          <t>Grava Triturada Caliza 13 mm - 1/2"</t>
        </is>
      </c>
      <c r="O13" t="inlineStr">
        <is>
          <t>DW55</t>
        </is>
      </c>
      <c r="P13" t="inlineStr">
        <is>
          <t>MX-CED. TABASCO</t>
        </is>
      </c>
      <c r="Q13" t="n">
        <v>20220214</v>
      </c>
      <c r="R13" t="n">
        <v>20281231</v>
      </c>
      <c r="S13" t="n">
        <v>20230419</v>
      </c>
      <c r="T13" t="n">
        <v>20281231</v>
      </c>
      <c r="U13" t="n">
        <v>1000</v>
      </c>
      <c r="V13" t="inlineStr">
        <is>
          <t>MXN</t>
        </is>
      </c>
      <c r="W13" t="inlineStr">
        <is>
          <t>M3</t>
        </is>
      </c>
      <c r="X13" t="n">
        <v>500</v>
      </c>
      <c r="Y13" t="inlineStr">
        <is>
          <t>MXN</t>
        </is>
      </c>
      <c r="Z13" t="inlineStr">
        <is>
          <t>M3</t>
        </is>
      </c>
      <c r="AA13" t="inlineStr">
        <is>
          <t>D325</t>
        </is>
      </c>
      <c r="AB13" t="inlineStr">
        <is>
          <t>PD0402 PALENQUE II</t>
        </is>
      </c>
      <c r="AC13" t="n">
        <v>56103637</v>
      </c>
      <c r="AD13" t="n">
        <v>6644041540</v>
      </c>
      <c r="AE13" t="n">
        <v>4</v>
      </c>
      <c r="AF13" t="inlineStr">
        <is>
          <t>ENTREGA DIRECTA</t>
        </is>
      </c>
      <c r="AG13" t="n">
        <v>1.395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20230920</v>
      </c>
      <c r="AM13" t="inlineStr">
        <is>
          <t>DW55-900007304-D325-10000373-4</t>
        </is>
      </c>
    </row>
    <row r="14">
      <c r="A14" t="inlineStr">
        <is>
          <t>900007484DW55D34810000373</t>
        </is>
      </c>
      <c r="B14" t="inlineStr">
        <is>
          <t>4600053253-50</t>
        </is>
      </c>
      <c r="C14" t="n">
        <v>4600053253</v>
      </c>
      <c r="D14" t="n">
        <v>50</v>
      </c>
      <c r="E14" t="inlineStr">
        <is>
          <t>MXPO</t>
        </is>
      </c>
      <c r="F14" t="inlineStr">
        <is>
          <t>MXL</t>
        </is>
      </c>
      <c r="G14" t="n">
        <v>900007484</v>
      </c>
      <c r="H14" t="inlineStr">
        <is>
          <t>SF-TC-ED-AURELIO CABRERA</t>
        </is>
      </c>
      <c r="I14" t="n">
        <v>5082823</v>
      </c>
      <c r="J14" t="inlineStr">
        <is>
          <t>CABRERA MARIN AURELIO ANTONIO</t>
        </is>
      </c>
      <c r="K14" t="inlineStr">
        <is>
          <t>Z09</t>
        </is>
      </c>
      <c r="L14" t="inlineStr">
        <is>
          <t>(AP) 90 Dias</t>
        </is>
      </c>
      <c r="M14" t="n">
        <v>10000373</v>
      </c>
      <c r="N14" t="inlineStr">
        <is>
          <t>Grava Triturada Caliza 13 mm - 1/2"</t>
        </is>
      </c>
      <c r="O14" t="inlineStr">
        <is>
          <t>DW55</t>
        </is>
      </c>
      <c r="P14" t="inlineStr">
        <is>
          <t>MX-CED. TABASCO</t>
        </is>
      </c>
      <c r="Q14" t="n">
        <v>20220222</v>
      </c>
      <c r="R14" t="n">
        <v>20281231</v>
      </c>
      <c r="S14" t="n">
        <v>20230426</v>
      </c>
      <c r="T14" t="n">
        <v>20281231</v>
      </c>
      <c r="U14" t="n">
        <v>1000</v>
      </c>
      <c r="V14" t="inlineStr">
        <is>
          <t>MXN</t>
        </is>
      </c>
      <c r="W14" t="inlineStr">
        <is>
          <t>M3</t>
        </is>
      </c>
      <c r="X14" t="n">
        <v>500</v>
      </c>
      <c r="Y14" t="inlineStr">
        <is>
          <t>MXN</t>
        </is>
      </c>
      <c r="Z14" t="inlineStr">
        <is>
          <t>M3</t>
        </is>
      </c>
      <c r="AA14" t="inlineStr">
        <is>
          <t>D348</t>
        </is>
      </c>
      <c r="AB14" t="inlineStr">
        <is>
          <t>PD0294 LAGUNA VERDE 2</t>
        </is>
      </c>
      <c r="AC14" t="n">
        <v>56103637</v>
      </c>
      <c r="AD14" t="n">
        <v>6644041540</v>
      </c>
      <c r="AE14" t="n">
        <v>4</v>
      </c>
      <c r="AF14" t="inlineStr">
        <is>
          <t>ENTREGA DIRECTA</t>
        </is>
      </c>
      <c r="AG14" t="n">
        <v>1.395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20230920</v>
      </c>
      <c r="AM14" t="inlineStr">
        <is>
          <t>DW55-900007484-D348-10000373-4</t>
        </is>
      </c>
    </row>
    <row r="15">
      <c r="A15" t="inlineStr">
        <is>
          <t>900007304DW55D34810000373</t>
        </is>
      </c>
      <c r="B15" t="inlineStr">
        <is>
          <t>4600053181-130</t>
        </is>
      </c>
      <c r="C15" t="n">
        <v>4600053181</v>
      </c>
      <c r="D15" t="n">
        <v>130</v>
      </c>
      <c r="E15" t="inlineStr">
        <is>
          <t>MXPO</t>
        </is>
      </c>
      <c r="F15" t="inlineStr">
        <is>
          <t>MXL</t>
        </is>
      </c>
      <c r="G15" t="n">
        <v>900007304</v>
      </c>
      <c r="H15" t="inlineStr">
        <is>
          <t>SF TC-ED-ALFONSO ESPADAS</t>
        </is>
      </c>
      <c r="I15" t="n">
        <v>5079231</v>
      </c>
      <c r="J15" t="inlineStr">
        <is>
          <t>ESPADAS HERNANDEZ ALFONSO</t>
        </is>
      </c>
      <c r="K15" t="inlineStr">
        <is>
          <t>N90</t>
        </is>
      </c>
      <c r="L15" t="inlineStr">
        <is>
          <t>(AP) NAFIN 90 Dias</t>
        </is>
      </c>
      <c r="M15" t="n">
        <v>10000373</v>
      </c>
      <c r="N15" t="inlineStr">
        <is>
          <t>Grava Triturada Caliza 13 mm - 1/2"</t>
        </is>
      </c>
      <c r="O15" t="inlineStr">
        <is>
          <t>DW55</t>
        </is>
      </c>
      <c r="P15" t="inlineStr">
        <is>
          <t>MX-CED. TABASCO</t>
        </is>
      </c>
      <c r="Q15" t="n">
        <v>20220214</v>
      </c>
      <c r="R15" t="n">
        <v>20281231</v>
      </c>
      <c r="S15" t="n">
        <v>20230419</v>
      </c>
      <c r="T15" t="n">
        <v>20281231</v>
      </c>
      <c r="U15" t="n">
        <v>1000</v>
      </c>
      <c r="V15" t="inlineStr">
        <is>
          <t>MXN</t>
        </is>
      </c>
      <c r="W15" t="inlineStr">
        <is>
          <t>M3</t>
        </is>
      </c>
      <c r="X15" t="n">
        <v>500</v>
      </c>
      <c r="Y15" t="inlineStr">
        <is>
          <t>MXN</t>
        </is>
      </c>
      <c r="Z15" t="inlineStr">
        <is>
          <t>M3</t>
        </is>
      </c>
      <c r="AA15" t="inlineStr">
        <is>
          <t>D348</t>
        </is>
      </c>
      <c r="AB15" t="inlineStr">
        <is>
          <t>PD0294 LAGUNA VERDE 2</t>
        </is>
      </c>
      <c r="AC15" t="n">
        <v>56103637</v>
      </c>
      <c r="AD15" t="n">
        <v>6644041540</v>
      </c>
      <c r="AE15" t="n">
        <v>4</v>
      </c>
      <c r="AF15" t="inlineStr">
        <is>
          <t>ENTREGA DIRECTA</t>
        </is>
      </c>
      <c r="AG15" t="n">
        <v>1.395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20230920</v>
      </c>
      <c r="AM15" t="inlineStr">
        <is>
          <t>DW55-900007304-D348-10000373-4</t>
        </is>
      </c>
    </row>
    <row r="16">
      <c r="A16" t="inlineStr">
        <is>
          <t>900007484DW55D32510217663</t>
        </is>
      </c>
      <c r="B16" t="inlineStr">
        <is>
          <t>4600053253-70</t>
        </is>
      </c>
      <c r="C16" t="n">
        <v>4600053253</v>
      </c>
      <c r="D16" t="n">
        <v>70</v>
      </c>
      <c r="E16" t="inlineStr">
        <is>
          <t>MXPO</t>
        </is>
      </c>
      <c r="F16" t="inlineStr">
        <is>
          <t>MXL</t>
        </is>
      </c>
      <c r="G16" t="n">
        <v>900007484</v>
      </c>
      <c r="H16" t="inlineStr">
        <is>
          <t>SF-TC-ED-AURELIO CABRERA</t>
        </is>
      </c>
      <c r="I16" t="n">
        <v>5082823</v>
      </c>
      <c r="J16" t="inlineStr">
        <is>
          <t>CABRERA MARIN AURELIO ANTONIO</t>
        </is>
      </c>
      <c r="K16" t="inlineStr">
        <is>
          <t>Z09</t>
        </is>
      </c>
      <c r="L16" t="inlineStr">
        <is>
          <t>(AP) 90 Dias</t>
        </is>
      </c>
      <c r="M16" t="n">
        <v>10217663</v>
      </c>
      <c r="N16" t="inlineStr">
        <is>
          <t>ARENA CLASIFICADA RÍO MALLA 4 -TABASCO</t>
        </is>
      </c>
      <c r="O16" t="inlineStr">
        <is>
          <t>DW55</t>
        </is>
      </c>
      <c r="P16" t="inlineStr">
        <is>
          <t>MX-CED. TABASCO</t>
        </is>
      </c>
      <c r="Q16" t="n">
        <v>20220222</v>
      </c>
      <c r="R16" t="n">
        <v>20281231</v>
      </c>
      <c r="S16" t="n">
        <v>20231218</v>
      </c>
      <c r="T16" t="n">
        <v>20281231</v>
      </c>
      <c r="U16" t="n">
        <v>400</v>
      </c>
      <c r="V16" t="inlineStr">
        <is>
          <t>MXN</t>
        </is>
      </c>
      <c r="W16" t="inlineStr">
        <is>
          <t>M3</t>
        </is>
      </c>
      <c r="X16" t="n">
        <v>320</v>
      </c>
      <c r="Y16" t="inlineStr">
        <is>
          <t>MXN</t>
        </is>
      </c>
      <c r="Z16" t="inlineStr">
        <is>
          <t>M3</t>
        </is>
      </c>
      <c r="AA16" t="inlineStr">
        <is>
          <t>D325</t>
        </is>
      </c>
      <c r="AB16" t="inlineStr">
        <is>
          <t>PD0402 PALENQUE II</t>
        </is>
      </c>
      <c r="AC16" t="n">
        <v>56103638</v>
      </c>
      <c r="AD16" t="n">
        <v>6644041540</v>
      </c>
      <c r="AE16" t="n">
        <v>4</v>
      </c>
      <c r="AF16" t="inlineStr">
        <is>
          <t>ENTREGA DIRECTA</t>
        </is>
      </c>
      <c r="AG16" t="n">
        <v>1.456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20231219</v>
      </c>
      <c r="AM16" t="inlineStr">
        <is>
          <t>DW55-900007484-D325-10217663-4</t>
        </is>
      </c>
    </row>
    <row r="17">
      <c r="A17" t="inlineStr">
        <is>
          <t>900007604DW55D30910123034</t>
        </is>
      </c>
      <c r="B17" t="inlineStr">
        <is>
          <t>4600054544-90</t>
        </is>
      </c>
      <c r="C17" t="n">
        <v>4600054544</v>
      </c>
      <c r="D17" t="n">
        <v>90</v>
      </c>
      <c r="E17" t="inlineStr">
        <is>
          <t>MXPO</t>
        </is>
      </c>
      <c r="F17" t="inlineStr">
        <is>
          <t>MXL</t>
        </is>
      </c>
      <c r="G17" t="n">
        <v>900007604</v>
      </c>
      <c r="H17" t="inlineStr">
        <is>
          <t>SF TC-ED-FRISO CONSMIN TAB</t>
        </is>
      </c>
      <c r="I17" t="n">
        <v>5083592</v>
      </c>
      <c r="J17" t="inlineStr">
        <is>
          <t>FRISO CONSMIN SA DE CV</t>
        </is>
      </c>
      <c r="K17" t="inlineStr">
        <is>
          <t>N45</t>
        </is>
      </c>
      <c r="L17" t="inlineStr">
        <is>
          <t>(AP) NAFIN 45 Dias</t>
        </is>
      </c>
      <c r="M17" t="n">
        <v>10123034</v>
      </c>
      <c r="N17" t="inlineStr">
        <is>
          <t>ARENA TRITURADA CALIZA MALLA 4</t>
        </is>
      </c>
      <c r="O17" t="inlineStr">
        <is>
          <t>DW55</t>
        </is>
      </c>
      <c r="P17" t="inlineStr">
        <is>
          <t>MX-CED. TABASCO</t>
        </is>
      </c>
      <c r="Q17" t="n">
        <v>20220715</v>
      </c>
      <c r="R17" t="n">
        <v>20271231</v>
      </c>
      <c r="U17" t="n">
        <v>0</v>
      </c>
      <c r="V17" t="inlineStr">
        <is>
          <t>MXN</t>
        </is>
      </c>
      <c r="W17" t="inlineStr">
        <is>
          <t>M3</t>
        </is>
      </c>
      <c r="AA17" t="inlineStr">
        <is>
          <t>D309</t>
        </is>
      </c>
      <c r="AB17" t="inlineStr">
        <is>
          <t>PD0477 CARDENAS</t>
        </is>
      </c>
      <c r="AC17" t="n">
        <v>56103638</v>
      </c>
      <c r="AD17" t="n">
        <v>6644041540</v>
      </c>
      <c r="AE17" t="n">
        <v>4</v>
      </c>
      <c r="AF17" t="inlineStr">
        <is>
          <t>ENTREGA DIRECTA</t>
        </is>
      </c>
      <c r="AG17" t="n">
        <v>1.528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20260422</v>
      </c>
      <c r="AM17" t="inlineStr">
        <is>
          <t>DW55-900007604-D309-10123034-4</t>
        </is>
      </c>
    </row>
    <row r="18">
      <c r="A18" t="inlineStr">
        <is>
          <t>900007604DW55D28410000372</t>
        </is>
      </c>
      <c r="B18" t="inlineStr">
        <is>
          <t>4600054544-60</t>
        </is>
      </c>
      <c r="C18" t="n">
        <v>4600054544</v>
      </c>
      <c r="D18" t="n">
        <v>60</v>
      </c>
      <c r="E18" t="inlineStr">
        <is>
          <t>MXPO</t>
        </is>
      </c>
      <c r="F18" t="inlineStr">
        <is>
          <t>MXL</t>
        </is>
      </c>
      <c r="G18" t="n">
        <v>900007604</v>
      </c>
      <c r="H18" t="inlineStr">
        <is>
          <t>SF TC-ED-FRISO CONSMIN TAB</t>
        </is>
      </c>
      <c r="I18" t="n">
        <v>5083592</v>
      </c>
      <c r="J18" t="inlineStr">
        <is>
          <t>FRISO CONSMIN SA DE CV</t>
        </is>
      </c>
      <c r="K18" t="inlineStr">
        <is>
          <t>N45</t>
        </is>
      </c>
      <c r="L18" t="inlineStr">
        <is>
          <t>(AP) NAFIN 45 Dias</t>
        </is>
      </c>
      <c r="M18" t="n">
        <v>10000372</v>
      </c>
      <c r="N18" t="inlineStr">
        <is>
          <t>Grava Triturada Caliza 20 mm - 3/4"</t>
        </is>
      </c>
      <c r="O18" t="inlineStr">
        <is>
          <t>DW55</t>
        </is>
      </c>
      <c r="P18" t="inlineStr">
        <is>
          <t>MX-CED. TABASCO</t>
        </is>
      </c>
      <c r="Q18" t="n">
        <v>20220715</v>
      </c>
      <c r="R18" t="n">
        <v>20271231</v>
      </c>
      <c r="U18" t="n">
        <v>0</v>
      </c>
      <c r="V18" t="inlineStr">
        <is>
          <t>MXN</t>
        </is>
      </c>
      <c r="W18" t="inlineStr">
        <is>
          <t>M3</t>
        </is>
      </c>
      <c r="AA18" t="inlineStr">
        <is>
          <t>D284</t>
        </is>
      </c>
      <c r="AB18" t="inlineStr">
        <is>
          <t>PD0183 VILLAHERMOSA</t>
        </is>
      </c>
      <c r="AC18" t="n">
        <v>56103637</v>
      </c>
      <c r="AD18" t="n">
        <v>6644041540</v>
      </c>
      <c r="AE18" t="n">
        <v>4</v>
      </c>
      <c r="AF18" t="inlineStr">
        <is>
          <t>ENTREGA DIRECTA</t>
        </is>
      </c>
      <c r="AG18" t="n">
        <v>1.448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20260422</v>
      </c>
      <c r="AM18" t="inlineStr">
        <is>
          <t>DW55-900007604-D284-10000372-4</t>
        </is>
      </c>
    </row>
    <row r="19">
      <c r="A19" t="inlineStr">
        <is>
          <t>900007580DW5510217663</t>
        </is>
      </c>
      <c r="B19" t="inlineStr">
        <is>
          <t>4600071713-10</t>
        </is>
      </c>
      <c r="C19" t="n">
        <v>4600071713</v>
      </c>
      <c r="D19" t="n">
        <v>10</v>
      </c>
      <c r="E19" t="inlineStr">
        <is>
          <t>MXPO</t>
        </is>
      </c>
      <c r="F19" t="inlineStr">
        <is>
          <t>MXL</t>
        </is>
      </c>
      <c r="G19" t="n">
        <v>900007580</v>
      </c>
      <c r="H19" t="inlineStr">
        <is>
          <t>SF-TC-FREDDY DE LA CRUZ</t>
        </is>
      </c>
      <c r="I19" t="n">
        <v>5066828</v>
      </c>
      <c r="J19" t="inlineStr">
        <is>
          <t>DE LA CRUZ GARCIA FREDDY</t>
        </is>
      </c>
      <c r="K19" t="inlineStr">
        <is>
          <t>N90</t>
        </is>
      </c>
      <c r="L19" t="inlineStr">
        <is>
          <t>(AP) NAFIN 90 Dias</t>
        </is>
      </c>
      <c r="M19" t="n">
        <v>10217663</v>
      </c>
      <c r="N19" t="inlineStr">
        <is>
          <t>ARENA CLASIFICADA RÍO MALLA 4 -TABASCO</t>
        </is>
      </c>
      <c r="O19" t="inlineStr">
        <is>
          <t>DW55</t>
        </is>
      </c>
      <c r="P19" t="inlineStr">
        <is>
          <t>MX-CED. TABASCO</t>
        </is>
      </c>
      <c r="Q19" t="n">
        <v>20251021</v>
      </c>
      <c r="R19" t="n">
        <v>20301231</v>
      </c>
      <c r="S19" t="n">
        <v>20260501</v>
      </c>
      <c r="T19" t="n">
        <v>20301231</v>
      </c>
      <c r="U19" t="n">
        <v>75</v>
      </c>
      <c r="V19" t="inlineStr">
        <is>
          <t>MXN</t>
        </is>
      </c>
      <c r="W19" t="inlineStr">
        <is>
          <t>M3</t>
        </is>
      </c>
      <c r="X19" t="n">
        <v>0</v>
      </c>
      <c r="Y19" t="inlineStr">
        <is>
          <t>MXN</t>
        </is>
      </c>
      <c r="Z19" t="inlineStr">
        <is>
          <t>M3</t>
        </is>
      </c>
      <c r="AC19" t="n">
        <v>56103638</v>
      </c>
      <c r="AD19" t="n">
        <v>6644041540</v>
      </c>
      <c r="AE19" t="n">
        <v>1</v>
      </c>
      <c r="AF19" t="inlineStr">
        <is>
          <t>ENTREGADO</t>
        </is>
      </c>
      <c r="AG19" t="n">
        <v>1.456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20260513</v>
      </c>
      <c r="AM19" t="inlineStr">
        <is>
          <t>DW55-900007580-10217663</t>
        </is>
      </c>
    </row>
    <row r="20">
      <c r="A20" t="inlineStr">
        <is>
          <t>900007581DW55D34210217663</t>
        </is>
      </c>
      <c r="B20" t="inlineStr">
        <is>
          <t>4600071458-30</t>
        </is>
      </c>
      <c r="C20" t="n">
        <v>4600071458</v>
      </c>
      <c r="D20" t="n">
        <v>30</v>
      </c>
      <c r="E20" t="inlineStr">
        <is>
          <t>MXPO</t>
        </is>
      </c>
      <c r="F20" t="inlineStr">
        <is>
          <t>MXL</t>
        </is>
      </c>
      <c r="G20" t="n">
        <v>900007581</v>
      </c>
      <c r="H20" t="inlineStr">
        <is>
          <t>SF-TC-ED-FREDDY DE LA CRUZ</t>
        </is>
      </c>
      <c r="I20" t="n">
        <v>5066828</v>
      </c>
      <c r="J20" t="inlineStr">
        <is>
          <t>DE LA CRUZ GARCIA FREDDY</t>
        </is>
      </c>
      <c r="K20" t="inlineStr">
        <is>
          <t>N90</t>
        </is>
      </c>
      <c r="L20" t="inlineStr">
        <is>
          <t>(AP) NAFIN 90 Dias</t>
        </is>
      </c>
      <c r="M20" t="n">
        <v>10217663</v>
      </c>
      <c r="N20" t="inlineStr">
        <is>
          <t>ARENA CLASIFICADA RÍO MALLA 4 -TABASCO</t>
        </is>
      </c>
      <c r="O20" t="inlineStr">
        <is>
          <t>DW55</t>
        </is>
      </c>
      <c r="P20" t="inlineStr">
        <is>
          <t>MX-CED. TABASCO</t>
        </is>
      </c>
      <c r="Q20" t="n">
        <v>20250717</v>
      </c>
      <c r="R20" t="n">
        <v>20301231</v>
      </c>
      <c r="S20" t="n">
        <v>20260501</v>
      </c>
      <c r="T20" t="n">
        <v>20301231</v>
      </c>
      <c r="U20" t="n">
        <v>217.5</v>
      </c>
      <c r="V20" t="inlineStr">
        <is>
          <t>MXN</t>
        </is>
      </c>
      <c r="W20" t="inlineStr">
        <is>
          <t>M3</t>
        </is>
      </c>
      <c r="X20" t="n">
        <v>142.5</v>
      </c>
      <c r="Y20" t="inlineStr">
        <is>
          <t>MXN</t>
        </is>
      </c>
      <c r="Z20" t="inlineStr">
        <is>
          <t>M3</t>
        </is>
      </c>
      <c r="AA20" t="inlineStr">
        <is>
          <t>D342</t>
        </is>
      </c>
      <c r="AB20" t="inlineStr">
        <is>
          <t>PD0268 SAMARIA II -PLANTA 2</t>
        </is>
      </c>
      <c r="AC20" t="n">
        <v>56103638</v>
      </c>
      <c r="AD20" t="n">
        <v>6644041540</v>
      </c>
      <c r="AE20" t="n">
        <v>4</v>
      </c>
      <c r="AF20" t="inlineStr">
        <is>
          <t>ENTREGA DIRECTA</t>
        </is>
      </c>
      <c r="AG20" t="n">
        <v>1.456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20260513</v>
      </c>
      <c r="AM20" t="inlineStr">
        <is>
          <t>DW55-900007581-D342-10217663-4</t>
        </is>
      </c>
    </row>
    <row r="21">
      <c r="A21" t="inlineStr">
        <is>
          <t>900007581DW55D30910217663</t>
        </is>
      </c>
      <c r="B21" t="inlineStr">
        <is>
          <t>4600071458-20</t>
        </is>
      </c>
      <c r="C21" t="n">
        <v>4600071458</v>
      </c>
      <c r="D21" t="n">
        <v>20</v>
      </c>
      <c r="E21" t="inlineStr">
        <is>
          <t>MXPO</t>
        </is>
      </c>
      <c r="F21" t="inlineStr">
        <is>
          <t>MXL</t>
        </is>
      </c>
      <c r="G21" t="n">
        <v>900007581</v>
      </c>
      <c r="H21" t="inlineStr">
        <is>
          <t>SF-TC-ED-FREDDY DE LA CRUZ</t>
        </is>
      </c>
      <c r="I21" t="n">
        <v>5066828</v>
      </c>
      <c r="J21" t="inlineStr">
        <is>
          <t>DE LA CRUZ GARCIA FREDDY</t>
        </is>
      </c>
      <c r="K21" t="inlineStr">
        <is>
          <t>N90</t>
        </is>
      </c>
      <c r="L21" t="inlineStr">
        <is>
          <t>(AP) NAFIN 90 Dias</t>
        </is>
      </c>
      <c r="M21" t="n">
        <v>10217663</v>
      </c>
      <c r="N21" t="inlineStr">
        <is>
          <t>ARENA CLASIFICADA RÍO MALLA 4 -TABASCO</t>
        </is>
      </c>
      <c r="O21" t="inlineStr">
        <is>
          <t>DW55</t>
        </is>
      </c>
      <c r="P21" t="inlineStr">
        <is>
          <t>MX-CED. TABASCO</t>
        </is>
      </c>
      <c r="Q21" t="n">
        <v>20250717</v>
      </c>
      <c r="R21" t="n">
        <v>20301231</v>
      </c>
      <c r="S21" t="n">
        <v>20260501</v>
      </c>
      <c r="T21" t="n">
        <v>20301231</v>
      </c>
      <c r="U21" t="n">
        <v>127</v>
      </c>
      <c r="V21" t="inlineStr">
        <is>
          <t>MXN</t>
        </is>
      </c>
      <c r="W21" t="inlineStr">
        <is>
          <t>M3</t>
        </is>
      </c>
      <c r="X21" t="n">
        <v>52</v>
      </c>
      <c r="Y21" t="inlineStr">
        <is>
          <t>MXN</t>
        </is>
      </c>
      <c r="Z21" t="inlineStr">
        <is>
          <t>M3</t>
        </is>
      </c>
      <c r="AA21" t="inlineStr">
        <is>
          <t>D309</t>
        </is>
      </c>
      <c r="AB21" t="inlineStr">
        <is>
          <t>PD0477 CARDENAS</t>
        </is>
      </c>
      <c r="AC21" t="n">
        <v>56103638</v>
      </c>
      <c r="AD21" t="n">
        <v>6644041540</v>
      </c>
      <c r="AE21" t="n">
        <v>4</v>
      </c>
      <c r="AF21" t="inlineStr">
        <is>
          <t>ENTREGA DIRECTA</t>
        </is>
      </c>
      <c r="AG21" t="n">
        <v>1.456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20260513</v>
      </c>
      <c r="AM21" t="inlineStr">
        <is>
          <t>DW55-900007581-D309-10217663-4</t>
        </is>
      </c>
    </row>
    <row r="22">
      <c r="A22" t="inlineStr">
        <is>
          <t>900007581DW55D28410217663</t>
        </is>
      </c>
      <c r="B22" t="inlineStr">
        <is>
          <t>4600071458-10</t>
        </is>
      </c>
      <c r="C22" t="n">
        <v>4600071458</v>
      </c>
      <c r="D22" t="n">
        <v>10</v>
      </c>
      <c r="E22" t="inlineStr">
        <is>
          <t>MXPO</t>
        </is>
      </c>
      <c r="F22" t="inlineStr">
        <is>
          <t>MXL</t>
        </is>
      </c>
      <c r="G22" t="n">
        <v>900007581</v>
      </c>
      <c r="H22" t="inlineStr">
        <is>
          <t>SF-TC-ED-FREDDY DE LA CRUZ</t>
        </is>
      </c>
      <c r="I22" t="n">
        <v>5066828</v>
      </c>
      <c r="J22" t="inlineStr">
        <is>
          <t>DE LA CRUZ GARCIA FREDDY</t>
        </is>
      </c>
      <c r="K22" t="inlineStr">
        <is>
          <t>N90</t>
        </is>
      </c>
      <c r="L22" t="inlineStr">
        <is>
          <t>(AP) NAFIN 90 Dias</t>
        </is>
      </c>
      <c r="M22" t="n">
        <v>10217663</v>
      </c>
      <c r="N22" t="inlineStr">
        <is>
          <t>ARENA CLASIFICADA RÍO MALLA 4 -TABASCO</t>
        </is>
      </c>
      <c r="O22" t="inlineStr">
        <is>
          <t>DW55</t>
        </is>
      </c>
      <c r="P22" t="inlineStr">
        <is>
          <t>MX-CED. TABASCO</t>
        </is>
      </c>
      <c r="Q22" t="n">
        <v>20250717</v>
      </c>
      <c r="R22" t="n">
        <v>20301231</v>
      </c>
      <c r="S22" t="n">
        <v>20260501</v>
      </c>
      <c r="T22" t="n">
        <v>20301231</v>
      </c>
      <c r="U22" t="n">
        <v>147</v>
      </c>
      <c r="V22" t="inlineStr">
        <is>
          <t>MXN</t>
        </is>
      </c>
      <c r="W22" t="inlineStr">
        <is>
          <t>M3</t>
        </is>
      </c>
      <c r="X22" t="n">
        <v>72</v>
      </c>
      <c r="Y22" t="inlineStr">
        <is>
          <t>MXN</t>
        </is>
      </c>
      <c r="Z22" t="inlineStr">
        <is>
          <t>M3</t>
        </is>
      </c>
      <c r="AA22" t="inlineStr">
        <is>
          <t>D284</t>
        </is>
      </c>
      <c r="AB22" t="inlineStr">
        <is>
          <t>PD0183 VILLAHERMOSA</t>
        </is>
      </c>
      <c r="AC22" t="n">
        <v>56103638</v>
      </c>
      <c r="AD22" t="n">
        <v>6644041540</v>
      </c>
      <c r="AE22" t="n">
        <v>4</v>
      </c>
      <c r="AF22" t="inlineStr">
        <is>
          <t>ENTREGA DIRECTA</t>
        </is>
      </c>
      <c r="AG22" t="n">
        <v>1.456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20260513</v>
      </c>
      <c r="AM22" t="inlineStr">
        <is>
          <t>DW55-900007581-D284-10217663-4</t>
        </is>
      </c>
    </row>
    <row r="23">
      <c r="A23" t="inlineStr">
        <is>
          <t>900009523DW5510217663</t>
        </is>
      </c>
      <c r="B23" t="inlineStr">
        <is>
          <t>4600072293-10</t>
        </is>
      </c>
      <c r="C23" t="n">
        <v>4600072293</v>
      </c>
      <c r="D23" t="n">
        <v>10</v>
      </c>
      <c r="E23" t="inlineStr">
        <is>
          <t>MXPO</t>
        </is>
      </c>
      <c r="F23" t="inlineStr">
        <is>
          <t>MXL</t>
        </is>
      </c>
      <c r="G23" t="n">
        <v>900009523</v>
      </c>
      <c r="H23" t="inlineStr">
        <is>
          <t>SF TC-JPM EVELIO</t>
        </is>
      </c>
      <c r="I23" t="n">
        <v>5098111</v>
      </c>
      <c r="J23" t="inlineStr">
        <is>
          <t>PEREZ MORALES JONAS</t>
        </is>
      </c>
      <c r="K23" t="inlineStr">
        <is>
          <t>N90</t>
        </is>
      </c>
      <c r="L23" t="inlineStr">
        <is>
          <t>(AP) NAFIN 90 Dias</t>
        </is>
      </c>
      <c r="M23" t="n">
        <v>10217663</v>
      </c>
      <c r="N23" t="inlineStr">
        <is>
          <t>ARENA CLASIFICADA RÍO MALLA 4 -TABASCO</t>
        </is>
      </c>
      <c r="O23" t="inlineStr">
        <is>
          <t>DW55</t>
        </is>
      </c>
      <c r="P23" t="inlineStr">
        <is>
          <t>MX-CED. TABASCO</t>
        </is>
      </c>
      <c r="Q23" t="n">
        <v>20260605</v>
      </c>
      <c r="R23" t="n">
        <v>20301231</v>
      </c>
      <c r="S23" t="n">
        <v>20260605</v>
      </c>
      <c r="T23" t="n">
        <v>20301231</v>
      </c>
      <c r="U23" t="n">
        <v>75</v>
      </c>
      <c r="V23" t="inlineStr">
        <is>
          <t>MXN</t>
        </is>
      </c>
      <c r="W23" t="inlineStr">
        <is>
          <t>M3</t>
        </is>
      </c>
      <c r="X23" t="n">
        <v>0</v>
      </c>
      <c r="Y23" t="inlineStr">
        <is>
          <t>MXN</t>
        </is>
      </c>
      <c r="Z23" t="inlineStr">
        <is>
          <t>M3</t>
        </is>
      </c>
      <c r="AC23" t="n">
        <v>56103638</v>
      </c>
      <c r="AD23" t="n">
        <v>6644041540</v>
      </c>
      <c r="AE23" t="n">
        <v>1</v>
      </c>
      <c r="AF23" t="inlineStr">
        <is>
          <t>ENTREGADO</t>
        </is>
      </c>
      <c r="AG23" t="n">
        <v>1.456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20260611</v>
      </c>
      <c r="AM23" t="inlineStr">
        <is>
          <t>DW55-900009523-10217663</t>
        </is>
      </c>
    </row>
    <row r="24">
      <c r="A24" t="inlineStr">
        <is>
          <t>900007304DW55D34210000372</t>
        </is>
      </c>
      <c r="B24" t="inlineStr">
        <is>
          <t>4600053181-180</t>
        </is>
      </c>
      <c r="C24" t="n">
        <v>4600053181</v>
      </c>
      <c r="D24" t="n">
        <v>180</v>
      </c>
      <c r="E24" t="inlineStr">
        <is>
          <t>MXPO</t>
        </is>
      </c>
      <c r="F24" t="inlineStr">
        <is>
          <t>MXL</t>
        </is>
      </c>
      <c r="G24" t="n">
        <v>900007304</v>
      </c>
      <c r="H24" t="inlineStr">
        <is>
          <t>SF TC-ED-ALFONSO ESPADAS</t>
        </is>
      </c>
      <c r="I24" t="n">
        <v>5079231</v>
      </c>
      <c r="J24" t="inlineStr">
        <is>
          <t>ESPADAS HERNANDEZ ALFONSO</t>
        </is>
      </c>
      <c r="K24" t="inlineStr">
        <is>
          <t>N90</t>
        </is>
      </c>
      <c r="L24" t="inlineStr">
        <is>
          <t>(AP) NAFIN 90 Dias</t>
        </is>
      </c>
      <c r="M24" t="n">
        <v>10000372</v>
      </c>
      <c r="N24" t="inlineStr">
        <is>
          <t>Grava Triturada Caliza 20 mm - 3/4"</t>
        </is>
      </c>
      <c r="O24" t="inlineStr">
        <is>
          <t>DW55</t>
        </is>
      </c>
      <c r="P24" t="inlineStr">
        <is>
          <t>MX-CED. TABASCO</t>
        </is>
      </c>
      <c r="Q24" t="n">
        <v>20220214</v>
      </c>
      <c r="R24" t="n">
        <v>20281231</v>
      </c>
      <c r="S24" t="n">
        <v>20250212</v>
      </c>
      <c r="T24" t="n">
        <v>20301231</v>
      </c>
      <c r="U24" t="n">
        <v>580</v>
      </c>
      <c r="V24" t="inlineStr">
        <is>
          <t>MXN</t>
        </is>
      </c>
      <c r="W24" t="inlineStr">
        <is>
          <t>M3</t>
        </is>
      </c>
      <c r="X24" t="n">
        <v>290</v>
      </c>
      <c r="Y24" t="inlineStr">
        <is>
          <t>MXN</t>
        </is>
      </c>
      <c r="Z24" t="inlineStr">
        <is>
          <t>M3</t>
        </is>
      </c>
      <c r="AA24" t="inlineStr">
        <is>
          <t>D342</t>
        </is>
      </c>
      <c r="AB24" t="inlineStr">
        <is>
          <t>PD0268 SAMARIA II -PLANTA 2</t>
        </is>
      </c>
      <c r="AC24" t="n">
        <v>56103637</v>
      </c>
      <c r="AD24" t="n">
        <v>6644041540</v>
      </c>
      <c r="AE24" t="n">
        <v>4</v>
      </c>
      <c r="AF24" t="inlineStr">
        <is>
          <t>ENTREGA DIRECTA</t>
        </is>
      </c>
      <c r="AG24" t="n">
        <v>1.448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20250213</v>
      </c>
      <c r="AM24" t="inlineStr">
        <is>
          <t>DW55-900007304-D342-10000372-4</t>
        </is>
      </c>
    </row>
    <row r="25">
      <c r="A25" t="inlineStr">
        <is>
          <t>900007304DW55D30910000372</t>
        </is>
      </c>
      <c r="B25" t="inlineStr">
        <is>
          <t>4600053181-190</t>
        </is>
      </c>
      <c r="C25" t="n">
        <v>4600053181</v>
      </c>
      <c r="D25" t="n">
        <v>190</v>
      </c>
      <c r="E25" t="inlineStr">
        <is>
          <t>MXPO</t>
        </is>
      </c>
      <c r="F25" t="inlineStr">
        <is>
          <t>MXL</t>
        </is>
      </c>
      <c r="G25" t="n">
        <v>900007304</v>
      </c>
      <c r="H25" t="inlineStr">
        <is>
          <t>SF TC-ED-ALFONSO ESPADAS</t>
        </is>
      </c>
      <c r="I25" t="n">
        <v>5079231</v>
      </c>
      <c r="J25" t="inlineStr">
        <is>
          <t>ESPADAS HERNANDEZ ALFONSO</t>
        </is>
      </c>
      <c r="K25" t="inlineStr">
        <is>
          <t>N90</t>
        </is>
      </c>
      <c r="L25" t="inlineStr">
        <is>
          <t>(AP) NAFIN 90 Dias</t>
        </is>
      </c>
      <c r="M25" t="n">
        <v>10000372</v>
      </c>
      <c r="N25" t="inlineStr">
        <is>
          <t>Grava Triturada Caliza 20 mm - 3/4"</t>
        </is>
      </c>
      <c r="O25" t="inlineStr">
        <is>
          <t>DW55</t>
        </is>
      </c>
      <c r="P25" t="inlineStr">
        <is>
          <t>MX-CED. TABASCO</t>
        </is>
      </c>
      <c r="Q25" t="n">
        <v>20220214</v>
      </c>
      <c r="R25" t="n">
        <v>20281231</v>
      </c>
      <c r="S25" t="n">
        <v>20250212</v>
      </c>
      <c r="T25" t="n">
        <v>20301231</v>
      </c>
      <c r="U25" t="n">
        <v>533</v>
      </c>
      <c r="V25" t="inlineStr">
        <is>
          <t>MXN</t>
        </is>
      </c>
      <c r="W25" t="inlineStr">
        <is>
          <t>M3</t>
        </is>
      </c>
      <c r="X25" t="n">
        <v>243</v>
      </c>
      <c r="Y25" t="inlineStr">
        <is>
          <t>MXN</t>
        </is>
      </c>
      <c r="Z25" t="inlineStr">
        <is>
          <t>M3</t>
        </is>
      </c>
      <c r="AA25" t="inlineStr">
        <is>
          <t>D309</t>
        </is>
      </c>
      <c r="AB25" t="inlineStr">
        <is>
          <t>PD0477 CARDENAS</t>
        </is>
      </c>
      <c r="AC25" t="n">
        <v>56103637</v>
      </c>
      <c r="AD25" t="n">
        <v>6644041540</v>
      </c>
      <c r="AE25" t="n">
        <v>4</v>
      </c>
      <c r="AF25" t="inlineStr">
        <is>
          <t>ENTREGA DIRECTA</t>
        </is>
      </c>
      <c r="AG25" t="n">
        <v>1.448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20250213</v>
      </c>
      <c r="AM25" t="inlineStr">
        <is>
          <t>DW55-900007304-D309-10000372-4</t>
        </is>
      </c>
    </row>
    <row r="26">
      <c r="A26" t="inlineStr">
        <is>
          <t>900007303DW5510213318</t>
        </is>
      </c>
      <c r="B26" t="inlineStr">
        <is>
          <t>4600053579-10</t>
        </is>
      </c>
      <c r="C26" t="n">
        <v>4600053579</v>
      </c>
      <c r="D26" t="n">
        <v>10</v>
      </c>
      <c r="E26" t="inlineStr">
        <is>
          <t>MXPO</t>
        </is>
      </c>
      <c r="F26" t="inlineStr">
        <is>
          <t>MXL</t>
        </is>
      </c>
      <c r="G26" t="n">
        <v>900007303</v>
      </c>
      <c r="H26" t="inlineStr">
        <is>
          <t>SF TC-ALFONSO ESPADAS</t>
        </is>
      </c>
      <c r="I26" t="n">
        <v>5079231</v>
      </c>
      <c r="J26" t="inlineStr">
        <is>
          <t>ESPADAS HERNANDEZ ALFONSO</t>
        </is>
      </c>
      <c r="K26" t="inlineStr">
        <is>
          <t>N90</t>
        </is>
      </c>
      <c r="L26" t="inlineStr">
        <is>
          <t>(AP) NAFIN 90 Dias</t>
        </is>
      </c>
      <c r="M26" t="n">
        <v>10213318</v>
      </c>
      <c r="N26" t="inlineStr">
        <is>
          <t>GRAVA TRITURADA RÍO 10 MM - 3/8"</t>
        </is>
      </c>
      <c r="O26" t="inlineStr">
        <is>
          <t>DW55</t>
        </is>
      </c>
      <c r="P26" t="inlineStr">
        <is>
          <t>MX-CED. TABASCO</t>
        </is>
      </c>
      <c r="Q26" t="n">
        <v>20220331</v>
      </c>
      <c r="R26" t="n">
        <v>20271231</v>
      </c>
      <c r="S26" t="n">
        <v>20220331</v>
      </c>
      <c r="T26" t="n">
        <v>20271231</v>
      </c>
      <c r="U26" t="n">
        <v>660</v>
      </c>
      <c r="V26" t="inlineStr">
        <is>
          <t>MXN</t>
        </is>
      </c>
      <c r="W26" t="inlineStr">
        <is>
          <t>M3</t>
        </is>
      </c>
      <c r="X26" t="n">
        <v>0</v>
      </c>
      <c r="Y26" t="inlineStr">
        <is>
          <t>MXN</t>
        </is>
      </c>
      <c r="Z26" t="inlineStr">
        <is>
          <t>M3</t>
        </is>
      </c>
      <c r="AC26" t="n">
        <v>56103637</v>
      </c>
      <c r="AD26" t="n">
        <v>6644041540</v>
      </c>
      <c r="AE26" t="n">
        <v>1</v>
      </c>
      <c r="AF26" t="inlineStr">
        <is>
          <t>ENTREGADO</t>
        </is>
      </c>
      <c r="AG26" t="n">
        <v>1.433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20230920</v>
      </c>
      <c r="AM26" t="inlineStr">
        <is>
          <t>DW55-900007303-10213318</t>
        </is>
      </c>
    </row>
    <row r="27">
      <c r="A27" t="inlineStr">
        <is>
          <t>900007932DW55D34810000372</t>
        </is>
      </c>
      <c r="B27" t="inlineStr">
        <is>
          <t>4600055937-10</t>
        </is>
      </c>
      <c r="C27" t="n">
        <v>4600055937</v>
      </c>
      <c r="D27" t="n">
        <v>10</v>
      </c>
      <c r="E27" t="inlineStr">
        <is>
          <t>MXPO</t>
        </is>
      </c>
      <c r="F27" t="inlineStr">
        <is>
          <t>MXL</t>
        </is>
      </c>
      <c r="G27" t="n">
        <v>900007932</v>
      </c>
      <c r="H27" t="inlineStr">
        <is>
          <t>SF TC-ED-TRAPA</t>
        </is>
      </c>
      <c r="I27" t="n">
        <v>5087333</v>
      </c>
      <c r="J27" t="inlineStr">
        <is>
          <t>GARCIA MONTILLA VICTOR DAVID</t>
        </is>
      </c>
      <c r="K27" t="inlineStr">
        <is>
          <t>Z09</t>
        </is>
      </c>
      <c r="L27" t="inlineStr">
        <is>
          <t>(AP) 90 Dias</t>
        </is>
      </c>
      <c r="M27" t="n">
        <v>10000372</v>
      </c>
      <c r="N27" t="inlineStr">
        <is>
          <t>Grava Triturada Caliza 20 mm - 3/4"</t>
        </is>
      </c>
      <c r="O27" t="inlineStr">
        <is>
          <t>DW55</t>
        </is>
      </c>
      <c r="P27" t="inlineStr">
        <is>
          <t>MX-CED. TABASCO</t>
        </is>
      </c>
      <c r="Q27" t="n">
        <v>20221209</v>
      </c>
      <c r="R27" t="n">
        <v>20281231</v>
      </c>
      <c r="S27" t="n">
        <v>20221209</v>
      </c>
      <c r="T27" t="n">
        <v>20271231</v>
      </c>
      <c r="U27" t="n">
        <v>630</v>
      </c>
      <c r="V27" t="inlineStr">
        <is>
          <t>MXN</t>
        </is>
      </c>
      <c r="W27" t="inlineStr">
        <is>
          <t>M3</t>
        </is>
      </c>
      <c r="X27" t="n">
        <v>410</v>
      </c>
      <c r="Y27" t="inlineStr">
        <is>
          <t>MXN</t>
        </is>
      </c>
      <c r="Z27" t="inlineStr">
        <is>
          <t>M3</t>
        </is>
      </c>
      <c r="AA27" t="inlineStr">
        <is>
          <t>D348</t>
        </is>
      </c>
      <c r="AB27" t="inlineStr">
        <is>
          <t>PD0294 LAGUNA VERDE 2</t>
        </is>
      </c>
      <c r="AC27" t="n">
        <v>56103637</v>
      </c>
      <c r="AD27" t="n">
        <v>6644041540</v>
      </c>
      <c r="AE27" t="n">
        <v>4</v>
      </c>
      <c r="AF27" t="inlineStr">
        <is>
          <t>ENTREGA DIRECTA</t>
        </is>
      </c>
      <c r="AG27" t="n">
        <v>1.448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20230920</v>
      </c>
      <c r="AM27" t="inlineStr">
        <is>
          <t>DW55-900007932-D348-10000372-4</t>
        </is>
      </c>
    </row>
    <row r="28">
      <c r="A28" t="inlineStr">
        <is>
          <t>900007932DW55D34810000834</t>
        </is>
      </c>
      <c r="B28" t="inlineStr">
        <is>
          <t>4600055937-30</t>
        </is>
      </c>
      <c r="C28" t="n">
        <v>4600055937</v>
      </c>
      <c r="D28" t="n">
        <v>30</v>
      </c>
      <c r="E28" t="inlineStr">
        <is>
          <t>MXPO</t>
        </is>
      </c>
      <c r="F28" t="inlineStr">
        <is>
          <t>MXL</t>
        </is>
      </c>
      <c r="G28" t="n">
        <v>900007932</v>
      </c>
      <c r="H28" t="inlineStr">
        <is>
          <t>SF TC-ED-TRAPA</t>
        </is>
      </c>
      <c r="I28" t="n">
        <v>5087333</v>
      </c>
      <c r="J28" t="inlineStr">
        <is>
          <t>GARCIA MONTILLA VICTOR DAVID</t>
        </is>
      </c>
      <c r="K28" t="inlineStr">
        <is>
          <t>Z09</t>
        </is>
      </c>
      <c r="L28" t="inlineStr">
        <is>
          <t>(AP) 90 Dias</t>
        </is>
      </c>
      <c r="M28" t="n">
        <v>10000834</v>
      </c>
      <c r="N28" t="inlineStr">
        <is>
          <t>Arena Clasificada Río Malla 4</t>
        </is>
      </c>
      <c r="O28" t="inlineStr">
        <is>
          <t>DW55</t>
        </is>
      </c>
      <c r="P28" t="inlineStr">
        <is>
          <t>MX-CED. TABASCO</t>
        </is>
      </c>
      <c r="Q28" t="n">
        <v>20221209</v>
      </c>
      <c r="R28" t="n">
        <v>20281231</v>
      </c>
      <c r="S28" t="n">
        <v>20230627</v>
      </c>
      <c r="T28" t="n">
        <v>20281231</v>
      </c>
      <c r="U28" t="n">
        <v>620</v>
      </c>
      <c r="V28" t="inlineStr">
        <is>
          <t>MXN</t>
        </is>
      </c>
      <c r="W28" t="inlineStr">
        <is>
          <t>M3</t>
        </is>
      </c>
      <c r="X28" t="n">
        <v>520</v>
      </c>
      <c r="Y28" t="inlineStr">
        <is>
          <t>MXN</t>
        </is>
      </c>
      <c r="Z28" t="inlineStr">
        <is>
          <t>M3</t>
        </is>
      </c>
      <c r="AA28" t="inlineStr">
        <is>
          <t>D348</t>
        </is>
      </c>
      <c r="AB28" t="inlineStr">
        <is>
          <t>PD0294 LAGUNA VERDE 2</t>
        </is>
      </c>
      <c r="AC28" t="n">
        <v>56103638</v>
      </c>
      <c r="AD28" t="n">
        <v>6644041540</v>
      </c>
      <c r="AE28" t="n">
        <v>4</v>
      </c>
      <c r="AF28" t="inlineStr">
        <is>
          <t>ENTREGA DIRECTA</t>
        </is>
      </c>
      <c r="AG28" t="n">
        <v>1.273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20230920</v>
      </c>
      <c r="AM28" t="inlineStr">
        <is>
          <t>DW55-900007932-D348-10000834-4</t>
        </is>
      </c>
    </row>
    <row r="29">
      <c r="A29" t="inlineStr">
        <is>
          <t>900006948DW55D32510000372</t>
        </is>
      </c>
      <c r="B29" t="inlineStr">
        <is>
          <t>4600050995-10</t>
        </is>
      </c>
      <c r="C29" t="n">
        <v>4600050995</v>
      </c>
      <c r="D29" t="n">
        <v>10</v>
      </c>
      <c r="E29" t="inlineStr">
        <is>
          <t>MXPO</t>
        </is>
      </c>
      <c r="F29" t="inlineStr">
        <is>
          <t>MXL</t>
        </is>
      </c>
      <c r="G29" t="n">
        <v>900006948</v>
      </c>
      <c r="H29" t="inlineStr">
        <is>
          <t>SF TC- ED -OTONIEL PALENQUE</t>
        </is>
      </c>
      <c r="I29" t="n">
        <v>5079933</v>
      </c>
      <c r="J29" t="inlineStr">
        <is>
          <t>MEDINA CORNELIO OTONIEL</t>
        </is>
      </c>
      <c r="K29" t="inlineStr">
        <is>
          <t>Z09</t>
        </is>
      </c>
      <c r="L29" t="inlineStr">
        <is>
          <t>(AP) 90 Dias</t>
        </is>
      </c>
      <c r="M29" t="n">
        <v>10000372</v>
      </c>
      <c r="N29" t="inlineStr">
        <is>
          <t>Grava Triturada Caliza 20 mm - 3/4"</t>
        </is>
      </c>
      <c r="O29" t="inlineStr">
        <is>
          <t>DW55</t>
        </is>
      </c>
      <c r="P29" t="inlineStr">
        <is>
          <t>MX-CED. TABASCO</t>
        </is>
      </c>
      <c r="Q29" t="n">
        <v>20210712</v>
      </c>
      <c r="R29" t="n">
        <v>20281231</v>
      </c>
      <c r="S29" t="n">
        <v>20230522</v>
      </c>
      <c r="T29" t="n">
        <v>20281231</v>
      </c>
      <c r="U29" t="n">
        <v>400</v>
      </c>
      <c r="V29" t="inlineStr">
        <is>
          <t>MXN</t>
        </is>
      </c>
      <c r="W29" t="inlineStr">
        <is>
          <t>M3</t>
        </is>
      </c>
      <c r="X29" t="n">
        <v>195</v>
      </c>
      <c r="Y29" t="inlineStr">
        <is>
          <t>MXN</t>
        </is>
      </c>
      <c r="Z29" t="inlineStr">
        <is>
          <t>M3</t>
        </is>
      </c>
      <c r="AA29" t="inlineStr">
        <is>
          <t>D325</t>
        </is>
      </c>
      <c r="AB29" t="inlineStr">
        <is>
          <t>PD0402 PALENQUE II</t>
        </is>
      </c>
      <c r="AC29" t="n">
        <v>56103637</v>
      </c>
      <c r="AD29" t="n">
        <v>6644041540</v>
      </c>
      <c r="AE29" t="n">
        <v>4</v>
      </c>
      <c r="AF29" t="inlineStr">
        <is>
          <t>ENTREGA DIRECTA</t>
        </is>
      </c>
      <c r="AG29" t="n">
        <v>1.448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20230920</v>
      </c>
      <c r="AM29" t="inlineStr">
        <is>
          <t>DW55-900006948-D325-10000372-4</t>
        </is>
      </c>
    </row>
    <row r="30">
      <c r="A30" t="inlineStr">
        <is>
          <t>900007052DW55D34810213318</t>
        </is>
      </c>
      <c r="B30" t="inlineStr">
        <is>
          <t>4600050996-160</t>
        </is>
      </c>
      <c r="C30" t="n">
        <v>4600050996</v>
      </c>
      <c r="D30" t="n">
        <v>160</v>
      </c>
      <c r="E30" t="inlineStr">
        <is>
          <t>MXPO</t>
        </is>
      </c>
      <c r="F30" t="inlineStr">
        <is>
          <t>MXL</t>
        </is>
      </c>
      <c r="G30" t="n">
        <v>900007052</v>
      </c>
      <c r="H30" t="inlineStr">
        <is>
          <t>SF TC-ED-SAMUEL CARRASCO</t>
        </is>
      </c>
      <c r="I30" t="n">
        <v>5080454</v>
      </c>
      <c r="J30" t="inlineStr">
        <is>
          <t>CARRASCO ALCUDIA SAMUEL</t>
        </is>
      </c>
      <c r="K30" t="inlineStr">
        <is>
          <t>N90</t>
        </is>
      </c>
      <c r="L30" t="inlineStr">
        <is>
          <t>(AP) NAFIN 90 Dias</t>
        </is>
      </c>
      <c r="M30" t="n">
        <v>10213318</v>
      </c>
      <c r="N30" t="inlineStr">
        <is>
          <t>GRAVA TRITURADA RÍO 10 MM - 3/8"</t>
        </is>
      </c>
      <c r="O30" t="inlineStr">
        <is>
          <t>DW55</t>
        </is>
      </c>
      <c r="P30" t="inlineStr">
        <is>
          <t>MX-CED. TABASCO</t>
        </is>
      </c>
      <c r="Q30" t="n">
        <v>20210712</v>
      </c>
      <c r="R30" t="n">
        <v>20281231</v>
      </c>
      <c r="S30" t="n">
        <v>20230524</v>
      </c>
      <c r="T30" t="n">
        <v>20281231</v>
      </c>
      <c r="U30" t="n">
        <v>1300</v>
      </c>
      <c r="V30" t="inlineStr">
        <is>
          <t>MXN</t>
        </is>
      </c>
      <c r="W30" t="inlineStr">
        <is>
          <t>M3</t>
        </is>
      </c>
      <c r="X30" t="n">
        <v>450</v>
      </c>
      <c r="Y30" t="inlineStr">
        <is>
          <t>MXN</t>
        </is>
      </c>
      <c r="Z30" t="inlineStr">
        <is>
          <t>M3</t>
        </is>
      </c>
      <c r="AA30" t="inlineStr">
        <is>
          <t>D348</t>
        </is>
      </c>
      <c r="AB30" t="inlineStr">
        <is>
          <t>PD0294 LAGUNA VERDE 2</t>
        </is>
      </c>
      <c r="AC30" t="n">
        <v>56103637</v>
      </c>
      <c r="AD30" t="n">
        <v>6644041540</v>
      </c>
      <c r="AE30" t="n">
        <v>4</v>
      </c>
      <c r="AF30" t="inlineStr">
        <is>
          <t>ENTREGA DIRECTA</t>
        </is>
      </c>
      <c r="AG30" t="n">
        <v>1.433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20230920</v>
      </c>
      <c r="AM30" t="inlineStr">
        <is>
          <t>DW55-900007052-D348-10213318-4</t>
        </is>
      </c>
    </row>
    <row r="31">
      <c r="A31" t="inlineStr">
        <is>
          <t>900007304DW55D30910000373</t>
        </is>
      </c>
      <c r="B31" t="inlineStr">
        <is>
          <t>4600053181-110</t>
        </is>
      </c>
      <c r="C31" t="n">
        <v>4600053181</v>
      </c>
      <c r="D31" t="n">
        <v>110</v>
      </c>
      <c r="E31" t="inlineStr">
        <is>
          <t>MXPO</t>
        </is>
      </c>
      <c r="F31" t="inlineStr">
        <is>
          <t>MXL</t>
        </is>
      </c>
      <c r="G31" t="n">
        <v>900007304</v>
      </c>
      <c r="H31" t="inlineStr">
        <is>
          <t>SF TC-ED-ALFONSO ESPADAS</t>
        </is>
      </c>
      <c r="I31" t="n">
        <v>5079231</v>
      </c>
      <c r="J31" t="inlineStr">
        <is>
          <t>ESPADAS HERNANDEZ ALFONSO</t>
        </is>
      </c>
      <c r="K31" t="inlineStr">
        <is>
          <t>N90</t>
        </is>
      </c>
      <c r="L31" t="inlineStr">
        <is>
          <t>(AP) NAFIN 90 Dias</t>
        </is>
      </c>
      <c r="M31" t="n">
        <v>10000373</v>
      </c>
      <c r="N31" t="inlineStr">
        <is>
          <t>Grava Triturada Caliza 13 mm - 1/2"</t>
        </is>
      </c>
      <c r="O31" t="inlineStr">
        <is>
          <t>DW55</t>
        </is>
      </c>
      <c r="P31" t="inlineStr">
        <is>
          <t>MX-CED. TABASCO</t>
        </is>
      </c>
      <c r="Q31" t="n">
        <v>20220214</v>
      </c>
      <c r="R31" t="n">
        <v>20281231</v>
      </c>
      <c r="S31" t="n">
        <v>20230307</v>
      </c>
      <c r="T31" t="n">
        <v>20281231</v>
      </c>
      <c r="U31" t="n">
        <v>710</v>
      </c>
      <c r="V31" t="inlineStr">
        <is>
          <t>MXN</t>
        </is>
      </c>
      <c r="W31" t="inlineStr">
        <is>
          <t>M3</t>
        </is>
      </c>
      <c r="X31" t="n">
        <v>310</v>
      </c>
      <c r="Y31" t="inlineStr">
        <is>
          <t>MXN</t>
        </is>
      </c>
      <c r="Z31" t="inlineStr">
        <is>
          <t>M3</t>
        </is>
      </c>
      <c r="AA31" t="inlineStr">
        <is>
          <t>D309</t>
        </is>
      </c>
      <c r="AB31" t="inlineStr">
        <is>
          <t>PD0477 CARDENAS</t>
        </is>
      </c>
      <c r="AC31" t="n">
        <v>56103637</v>
      </c>
      <c r="AD31" t="n">
        <v>6644041540</v>
      </c>
      <c r="AE31" t="n">
        <v>4</v>
      </c>
      <c r="AF31" t="inlineStr">
        <is>
          <t>ENTREGA DIRECTA</t>
        </is>
      </c>
      <c r="AG31" t="n">
        <v>1.395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20230920</v>
      </c>
      <c r="AM31" t="inlineStr">
        <is>
          <t>DW55-900007304-D309-10000373-4</t>
        </is>
      </c>
    </row>
    <row r="32">
      <c r="A32" t="inlineStr">
        <is>
          <t>900006948DW55D32510023592</t>
        </is>
      </c>
      <c r="B32" t="inlineStr">
        <is>
          <t>4600050995-20</t>
        </is>
      </c>
      <c r="C32" t="n">
        <v>4600050995</v>
      </c>
      <c r="D32" t="n">
        <v>20</v>
      </c>
      <c r="E32" t="inlineStr">
        <is>
          <t>MXPO</t>
        </is>
      </c>
      <c r="F32" t="inlineStr">
        <is>
          <t>MXL</t>
        </is>
      </c>
      <c r="G32" t="n">
        <v>900006948</v>
      </c>
      <c r="H32" t="inlineStr">
        <is>
          <t>SF TC- ED -OTONIEL PALENQUE</t>
        </is>
      </c>
      <c r="I32" t="n">
        <v>5079933</v>
      </c>
      <c r="J32" t="inlineStr">
        <is>
          <t>MEDINA CORNELIO OTONIEL</t>
        </is>
      </c>
      <c r="K32" t="inlineStr">
        <is>
          <t>Z09</t>
        </is>
      </c>
      <c r="L32" t="inlineStr">
        <is>
          <t>(AP) 90 Dias</t>
        </is>
      </c>
      <c r="M32" t="n">
        <v>10023592</v>
      </c>
      <c r="N32" t="inlineStr">
        <is>
          <t>Arena Triturada Caliza Malla 4</t>
        </is>
      </c>
      <c r="O32" t="inlineStr">
        <is>
          <t>DW55</t>
        </is>
      </c>
      <c r="P32" t="inlineStr">
        <is>
          <t>MX-CED. TABASCO</t>
        </is>
      </c>
      <c r="Q32" t="n">
        <v>20210712</v>
      </c>
      <c r="R32" t="n">
        <v>20281231</v>
      </c>
      <c r="S32" t="n">
        <v>20220606</v>
      </c>
      <c r="T32" t="n">
        <v>20271231</v>
      </c>
      <c r="U32" t="n">
        <v>335</v>
      </c>
      <c r="V32" t="inlineStr">
        <is>
          <t>MXN</t>
        </is>
      </c>
      <c r="W32" t="inlineStr">
        <is>
          <t>M3</t>
        </is>
      </c>
      <c r="X32" t="n">
        <v>185</v>
      </c>
      <c r="Y32" t="inlineStr">
        <is>
          <t>MXN</t>
        </is>
      </c>
      <c r="Z32" t="inlineStr">
        <is>
          <t>M3</t>
        </is>
      </c>
      <c r="AA32" t="inlineStr">
        <is>
          <t>D325</t>
        </is>
      </c>
      <c r="AB32" t="inlineStr">
        <is>
          <t>PD0402 PALENQUE II</t>
        </is>
      </c>
      <c r="AC32" t="n">
        <v>56103638</v>
      </c>
      <c r="AD32" t="n">
        <v>6644041540</v>
      </c>
      <c r="AE32" t="n">
        <v>4</v>
      </c>
      <c r="AF32" t="inlineStr">
        <is>
          <t>ENTREGA DIRECTA</t>
        </is>
      </c>
      <c r="AG32" t="n">
        <v>1.356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20230920</v>
      </c>
      <c r="AM32" t="inlineStr">
        <is>
          <t>DW55-900006948-D325-10023592-4</t>
        </is>
      </c>
    </row>
    <row r="33">
      <c r="A33" t="inlineStr">
        <is>
          <t>900007484DW55D34810000372</t>
        </is>
      </c>
      <c r="B33" t="inlineStr">
        <is>
          <t>4600053253-10</t>
        </is>
      </c>
      <c r="C33" t="n">
        <v>4600053253</v>
      </c>
      <c r="D33" t="n">
        <v>10</v>
      </c>
      <c r="E33" t="inlineStr">
        <is>
          <t>MXPO</t>
        </is>
      </c>
      <c r="F33" t="inlineStr">
        <is>
          <t>MXL</t>
        </is>
      </c>
      <c r="G33" t="n">
        <v>900007484</v>
      </c>
      <c r="H33" t="inlineStr">
        <is>
          <t>SF-TC-ED-AURELIO CABRERA</t>
        </is>
      </c>
      <c r="I33" t="n">
        <v>5082823</v>
      </c>
      <c r="J33" t="inlineStr">
        <is>
          <t>CABRERA MARIN AURELIO ANTONIO</t>
        </is>
      </c>
      <c r="K33" t="inlineStr">
        <is>
          <t>Z09</t>
        </is>
      </c>
      <c r="L33" t="inlineStr">
        <is>
          <t>(AP) 90 Dias</t>
        </is>
      </c>
      <c r="M33" t="n">
        <v>10000372</v>
      </c>
      <c r="N33" t="inlineStr">
        <is>
          <t>Grava Triturada Caliza 20 mm - 3/4"</t>
        </is>
      </c>
      <c r="O33" t="inlineStr">
        <is>
          <t>DW55</t>
        </is>
      </c>
      <c r="P33" t="inlineStr">
        <is>
          <t>MX-CED. TABASCO</t>
        </is>
      </c>
      <c r="Q33" t="n">
        <v>20220222</v>
      </c>
      <c r="R33" t="n">
        <v>20281231</v>
      </c>
      <c r="S33" t="n">
        <v>20230111</v>
      </c>
      <c r="T33" t="n">
        <v>20271231</v>
      </c>
      <c r="U33" t="n">
        <v>495</v>
      </c>
      <c r="V33" t="inlineStr">
        <is>
          <t>MXN</t>
        </is>
      </c>
      <c r="W33" t="inlineStr">
        <is>
          <t>M3</t>
        </is>
      </c>
      <c r="X33" t="n">
        <v>265</v>
      </c>
      <c r="Y33" t="inlineStr">
        <is>
          <t>MXN</t>
        </is>
      </c>
      <c r="Z33" t="inlineStr">
        <is>
          <t>M3</t>
        </is>
      </c>
      <c r="AA33" t="inlineStr">
        <is>
          <t>D348</t>
        </is>
      </c>
      <c r="AB33" t="inlineStr">
        <is>
          <t>PD0294 LAGUNA VERDE 2</t>
        </is>
      </c>
      <c r="AC33" t="n">
        <v>56103637</v>
      </c>
      <c r="AD33" t="n">
        <v>6644041540</v>
      </c>
      <c r="AE33" t="n">
        <v>4</v>
      </c>
      <c r="AF33" t="inlineStr">
        <is>
          <t>ENTREGA DIRECTA</t>
        </is>
      </c>
      <c r="AG33" t="n">
        <v>1.448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20230920</v>
      </c>
      <c r="AM33" t="inlineStr">
        <is>
          <t>DW55-900007484-D348-10000372-4</t>
        </is>
      </c>
    </row>
    <row r="34">
      <c r="A34" t="inlineStr">
        <is>
          <t>900007484DW55D34210000372</t>
        </is>
      </c>
      <c r="B34" t="inlineStr">
        <is>
          <t>4600053253-100</t>
        </is>
      </c>
      <c r="C34" t="n">
        <v>4600053253</v>
      </c>
      <c r="D34" t="n">
        <v>100</v>
      </c>
      <c r="E34" t="inlineStr">
        <is>
          <t>MXPO</t>
        </is>
      </c>
      <c r="F34" t="inlineStr">
        <is>
          <t>MXL</t>
        </is>
      </c>
      <c r="G34" t="n">
        <v>900007484</v>
      </c>
      <c r="H34" t="inlineStr">
        <is>
          <t>SF-TC-ED-AURELIO CABRERA</t>
        </is>
      </c>
      <c r="I34" t="n">
        <v>5082823</v>
      </c>
      <c r="J34" t="inlineStr">
        <is>
          <t>CABRERA MARIN AURELIO ANTONIO</t>
        </is>
      </c>
      <c r="K34" t="inlineStr">
        <is>
          <t>Z09</t>
        </is>
      </c>
      <c r="L34" t="inlineStr">
        <is>
          <t>(AP) 90 Dias</t>
        </is>
      </c>
      <c r="M34" t="n">
        <v>10000372</v>
      </c>
      <c r="N34" t="inlineStr">
        <is>
          <t>Grava Triturada Caliza 20 mm - 3/4"</t>
        </is>
      </c>
      <c r="O34" t="inlineStr">
        <is>
          <t>DW55</t>
        </is>
      </c>
      <c r="P34" t="inlineStr">
        <is>
          <t>MX-CED. TABASCO</t>
        </is>
      </c>
      <c r="Q34" t="n">
        <v>20220222</v>
      </c>
      <c r="R34" t="n">
        <v>20281231</v>
      </c>
      <c r="S34" t="n">
        <v>20251107</v>
      </c>
      <c r="T34" t="n">
        <v>20301231</v>
      </c>
      <c r="U34" t="n">
        <v>600</v>
      </c>
      <c r="V34" t="inlineStr">
        <is>
          <t>MXN</t>
        </is>
      </c>
      <c r="W34" t="inlineStr">
        <is>
          <t>M3</t>
        </is>
      </c>
      <c r="X34" t="n">
        <v>400</v>
      </c>
      <c r="Y34" t="inlineStr">
        <is>
          <t>MXN</t>
        </is>
      </c>
      <c r="Z34" t="inlineStr">
        <is>
          <t>M3</t>
        </is>
      </c>
      <c r="AA34" t="inlineStr">
        <is>
          <t>D342</t>
        </is>
      </c>
      <c r="AB34" t="inlineStr">
        <is>
          <t>PD0268 SAMARIA II -PLANTA 2</t>
        </is>
      </c>
      <c r="AC34" t="n">
        <v>56103637</v>
      </c>
      <c r="AD34" t="n">
        <v>6644041540</v>
      </c>
      <c r="AE34" t="n">
        <v>4</v>
      </c>
      <c r="AF34" t="inlineStr">
        <is>
          <t>ENTREGA DIRECTA</t>
        </is>
      </c>
      <c r="AG34" t="n">
        <v>1.448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20251111</v>
      </c>
      <c r="AM34" t="inlineStr">
        <is>
          <t>DW55-900007484-D342-10000372-4</t>
        </is>
      </c>
    </row>
    <row r="35">
      <c r="A35" t="inlineStr">
        <is>
          <t>900007484DW55D28410000372</t>
        </is>
      </c>
      <c r="B35" t="inlineStr">
        <is>
          <t>4600053253-60</t>
        </is>
      </c>
      <c r="C35" t="n">
        <v>4600053253</v>
      </c>
      <c r="D35" t="n">
        <v>60</v>
      </c>
      <c r="E35" t="inlineStr">
        <is>
          <t>MXPO</t>
        </is>
      </c>
      <c r="F35" t="inlineStr">
        <is>
          <t>MXL</t>
        </is>
      </c>
      <c r="G35" t="n">
        <v>900007484</v>
      </c>
      <c r="H35" t="inlineStr">
        <is>
          <t>SF-TC-ED-AURELIO CABRERA</t>
        </is>
      </c>
      <c r="I35" t="n">
        <v>5082823</v>
      </c>
      <c r="J35" t="inlineStr">
        <is>
          <t>CABRERA MARIN AURELIO ANTONIO</t>
        </is>
      </c>
      <c r="K35" t="inlineStr">
        <is>
          <t>Z09</t>
        </is>
      </c>
      <c r="L35" t="inlineStr">
        <is>
          <t>(AP) 90 Dias</t>
        </is>
      </c>
      <c r="M35" t="n">
        <v>10000372</v>
      </c>
      <c r="N35" t="inlineStr">
        <is>
          <t>Grava Triturada Caliza 20 mm - 3/4"</t>
        </is>
      </c>
      <c r="O35" t="inlineStr">
        <is>
          <t>DW55</t>
        </is>
      </c>
      <c r="P35" t="inlineStr">
        <is>
          <t>MX-CED. TABASCO</t>
        </is>
      </c>
      <c r="Q35" t="n">
        <v>20220222</v>
      </c>
      <c r="R35" t="n">
        <v>20281231</v>
      </c>
      <c r="S35" t="n">
        <v>20251107</v>
      </c>
      <c r="T35" t="n">
        <v>20301231</v>
      </c>
      <c r="U35" t="n">
        <v>480</v>
      </c>
      <c r="V35" t="inlineStr">
        <is>
          <t>MXN</t>
        </is>
      </c>
      <c r="W35" t="inlineStr">
        <is>
          <t>M3</t>
        </is>
      </c>
      <c r="X35" t="n">
        <v>280</v>
      </c>
      <c r="Y35" t="inlineStr">
        <is>
          <t>MXN</t>
        </is>
      </c>
      <c r="Z35" t="inlineStr">
        <is>
          <t>M3</t>
        </is>
      </c>
      <c r="AA35" t="inlineStr">
        <is>
          <t>D284</t>
        </is>
      </c>
      <c r="AB35" t="inlineStr">
        <is>
          <t>PD0183 VILLAHERMOSA</t>
        </is>
      </c>
      <c r="AC35" t="n">
        <v>56103637</v>
      </c>
      <c r="AD35" t="n">
        <v>6644041540</v>
      </c>
      <c r="AE35" t="n">
        <v>4</v>
      </c>
      <c r="AF35" t="inlineStr">
        <is>
          <t>ENTREGA DIRECTA</t>
        </is>
      </c>
      <c r="AG35" t="n">
        <v>1.448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20251111</v>
      </c>
      <c r="AM35" t="inlineStr">
        <is>
          <t>DW55-900007484-D284-10000372-4</t>
        </is>
      </c>
    </row>
    <row r="36">
      <c r="A36" t="inlineStr">
        <is>
          <t>900007484DW55D30910000372</t>
        </is>
      </c>
      <c r="B36" t="inlineStr">
        <is>
          <t>4600053253-80</t>
        </is>
      </c>
      <c r="C36" t="n">
        <v>4600053253</v>
      </c>
      <c r="D36" t="n">
        <v>80</v>
      </c>
      <c r="E36" t="inlineStr">
        <is>
          <t>MXPO</t>
        </is>
      </c>
      <c r="F36" t="inlineStr">
        <is>
          <t>MXL</t>
        </is>
      </c>
      <c r="G36" t="n">
        <v>900007484</v>
      </c>
      <c r="H36" t="inlineStr">
        <is>
          <t>SF-TC-ED-AURELIO CABRERA</t>
        </is>
      </c>
      <c r="I36" t="n">
        <v>5082823</v>
      </c>
      <c r="J36" t="inlineStr">
        <is>
          <t>CABRERA MARIN AURELIO ANTONIO</t>
        </is>
      </c>
      <c r="K36" t="inlineStr">
        <is>
          <t>Z09</t>
        </is>
      </c>
      <c r="L36" t="inlineStr">
        <is>
          <t>(AP) 90 Dias</t>
        </is>
      </c>
      <c r="M36" t="n">
        <v>10000372</v>
      </c>
      <c r="N36" t="inlineStr">
        <is>
          <t>Grava Triturada Caliza 20 mm - 3/4"</t>
        </is>
      </c>
      <c r="O36" t="inlineStr">
        <is>
          <t>DW55</t>
        </is>
      </c>
      <c r="P36" t="inlineStr">
        <is>
          <t>MX-CED. TABASCO</t>
        </is>
      </c>
      <c r="Q36" t="n">
        <v>20220222</v>
      </c>
      <c r="R36" t="n">
        <v>20281231</v>
      </c>
      <c r="S36" t="n">
        <v>20251107</v>
      </c>
      <c r="T36" t="n">
        <v>20301231</v>
      </c>
      <c r="U36" t="n">
        <v>550</v>
      </c>
      <c r="V36" t="inlineStr">
        <is>
          <t>MXN</t>
        </is>
      </c>
      <c r="W36" t="inlineStr">
        <is>
          <t>M3</t>
        </is>
      </c>
      <c r="X36" t="n">
        <v>350</v>
      </c>
      <c r="Y36" t="inlineStr">
        <is>
          <t>MXN</t>
        </is>
      </c>
      <c r="Z36" t="inlineStr">
        <is>
          <t>M3</t>
        </is>
      </c>
      <c r="AA36" t="inlineStr">
        <is>
          <t>D309</t>
        </is>
      </c>
      <c r="AB36" t="inlineStr">
        <is>
          <t>PD0477 CARDENAS</t>
        </is>
      </c>
      <c r="AC36" t="n">
        <v>56103637</v>
      </c>
      <c r="AD36" t="n">
        <v>6644041540</v>
      </c>
      <c r="AE36" t="n">
        <v>4</v>
      </c>
      <c r="AF36" t="inlineStr">
        <is>
          <t>ENTREGA DIRECTA</t>
        </is>
      </c>
      <c r="AG36" t="n">
        <v>1.448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20251111</v>
      </c>
      <c r="AM36" t="inlineStr">
        <is>
          <t>DW55-900007484-D309-10000372-4</t>
        </is>
      </c>
    </row>
    <row r="37">
      <c r="A37" t="inlineStr">
        <is>
          <t>900007604DW55D34210000372</t>
        </is>
      </c>
      <c r="B37" t="inlineStr">
        <is>
          <t>4600054544-50</t>
        </is>
      </c>
      <c r="C37" t="n">
        <v>4600054544</v>
      </c>
      <c r="D37" t="n">
        <v>50</v>
      </c>
      <c r="E37" t="inlineStr">
        <is>
          <t>MXPO</t>
        </is>
      </c>
      <c r="F37" t="inlineStr">
        <is>
          <t>MXL</t>
        </is>
      </c>
      <c r="G37" t="n">
        <v>900007604</v>
      </c>
      <c r="H37" t="inlineStr">
        <is>
          <t>SF TC-ED-FRISO CONSMIN TAB</t>
        </is>
      </c>
      <c r="I37" t="n">
        <v>5083592</v>
      </c>
      <c r="J37" t="inlineStr">
        <is>
          <t>FRISO CONSMIN SA DE CV</t>
        </is>
      </c>
      <c r="K37" t="inlineStr">
        <is>
          <t>N45</t>
        </is>
      </c>
      <c r="L37" t="inlineStr">
        <is>
          <t>(AP) NAFIN 45 Dias</t>
        </is>
      </c>
      <c r="M37" t="n">
        <v>10000372</v>
      </c>
      <c r="N37" t="inlineStr">
        <is>
          <t>Grava Triturada Caliza 20 mm - 3/4"</t>
        </is>
      </c>
      <c r="O37" t="inlineStr">
        <is>
          <t>DW55</t>
        </is>
      </c>
      <c r="P37" t="inlineStr">
        <is>
          <t>MX-CED. TABASCO</t>
        </is>
      </c>
      <c r="Q37" t="n">
        <v>20220715</v>
      </c>
      <c r="R37" t="n">
        <v>20271231</v>
      </c>
      <c r="U37" t="n">
        <v>0</v>
      </c>
      <c r="V37" t="inlineStr">
        <is>
          <t>MXN</t>
        </is>
      </c>
      <c r="W37" t="inlineStr">
        <is>
          <t>M3</t>
        </is>
      </c>
      <c r="AA37" t="inlineStr">
        <is>
          <t>D342</t>
        </is>
      </c>
      <c r="AB37" t="inlineStr">
        <is>
          <t>PD0268 SAMARIA II -PLANTA 2</t>
        </is>
      </c>
      <c r="AC37" t="n">
        <v>56103637</v>
      </c>
      <c r="AD37" t="n">
        <v>6644041540</v>
      </c>
      <c r="AE37" t="n">
        <v>4</v>
      </c>
      <c r="AF37" t="inlineStr">
        <is>
          <t>ENTREGA DIRECTA</t>
        </is>
      </c>
      <c r="AG37" t="n">
        <v>1.448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20260422</v>
      </c>
      <c r="AM37" t="inlineStr">
        <is>
          <t>DW55-900007604-D342-10000372-4</t>
        </is>
      </c>
    </row>
    <row r="38">
      <c r="A38" t="inlineStr">
        <is>
          <t>900007604DW55D34210123034</t>
        </is>
      </c>
      <c r="B38" t="inlineStr">
        <is>
          <t>4600054544-80</t>
        </is>
      </c>
      <c r="C38" t="n">
        <v>4600054544</v>
      </c>
      <c r="D38" t="n">
        <v>80</v>
      </c>
      <c r="E38" t="inlineStr">
        <is>
          <t>MXPO</t>
        </is>
      </c>
      <c r="F38" t="inlineStr">
        <is>
          <t>MXL</t>
        </is>
      </c>
      <c r="G38" t="n">
        <v>900007604</v>
      </c>
      <c r="H38" t="inlineStr">
        <is>
          <t>SF TC-ED-FRISO CONSMIN TAB</t>
        </is>
      </c>
      <c r="I38" t="n">
        <v>5083592</v>
      </c>
      <c r="J38" t="inlineStr">
        <is>
          <t>FRISO CONSMIN SA DE CV</t>
        </is>
      </c>
      <c r="K38" t="inlineStr">
        <is>
          <t>N45</t>
        </is>
      </c>
      <c r="L38" t="inlineStr">
        <is>
          <t>(AP) NAFIN 45 Dias</t>
        </is>
      </c>
      <c r="M38" t="n">
        <v>10123034</v>
      </c>
      <c r="N38" t="inlineStr">
        <is>
          <t>ARENA TRITURADA CALIZA MALLA 4</t>
        </is>
      </c>
      <c r="O38" t="inlineStr">
        <is>
          <t>DW55</t>
        </is>
      </c>
      <c r="P38" t="inlineStr">
        <is>
          <t>MX-CED. TABASCO</t>
        </is>
      </c>
      <c r="Q38" t="n">
        <v>20220715</v>
      </c>
      <c r="R38" t="n">
        <v>20271231</v>
      </c>
      <c r="U38" t="n">
        <v>0</v>
      </c>
      <c r="V38" t="inlineStr">
        <is>
          <t>MXN</t>
        </is>
      </c>
      <c r="W38" t="inlineStr">
        <is>
          <t>M3</t>
        </is>
      </c>
      <c r="AA38" t="inlineStr">
        <is>
          <t>D342</t>
        </is>
      </c>
      <c r="AB38" t="inlineStr">
        <is>
          <t>PD0268 SAMARIA II -PLANTA 2</t>
        </is>
      </c>
      <c r="AC38" t="n">
        <v>56103638</v>
      </c>
      <c r="AD38" t="n">
        <v>6644041540</v>
      </c>
      <c r="AE38" t="n">
        <v>4</v>
      </c>
      <c r="AF38" t="inlineStr">
        <is>
          <t>ENTREGA DIRECTA</t>
        </is>
      </c>
      <c r="AG38" t="n">
        <v>1.528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20260422</v>
      </c>
      <c r="AM38" t="inlineStr">
        <is>
          <t>DW55-900007604-D342-10123034-4</t>
        </is>
      </c>
    </row>
    <row r="39">
      <c r="A39" t="inlineStr">
        <is>
          <t>900007932DW55D32510000834</t>
        </is>
      </c>
      <c r="B39" t="inlineStr">
        <is>
          <t>4600055937-20</t>
        </is>
      </c>
      <c r="C39" t="n">
        <v>4600055937</v>
      </c>
      <c r="D39" t="n">
        <v>20</v>
      </c>
      <c r="E39" t="inlineStr">
        <is>
          <t>MXPO</t>
        </is>
      </c>
      <c r="F39" t="inlineStr">
        <is>
          <t>MXL</t>
        </is>
      </c>
      <c r="G39" t="n">
        <v>900007932</v>
      </c>
      <c r="H39" t="inlineStr">
        <is>
          <t>SF TC-ED-TRAPA</t>
        </is>
      </c>
      <c r="I39" t="n">
        <v>5087333</v>
      </c>
      <c r="J39" t="inlineStr">
        <is>
          <t>GARCIA MONTILLA VICTOR DAVID</t>
        </is>
      </c>
      <c r="K39" t="inlineStr">
        <is>
          <t>Z09</t>
        </is>
      </c>
      <c r="L39" t="inlineStr">
        <is>
          <t>(AP) 90 Dias</t>
        </is>
      </c>
      <c r="M39" t="n">
        <v>10000834</v>
      </c>
      <c r="N39" t="inlineStr">
        <is>
          <t>Arena Clasificada Río Malla 4</t>
        </is>
      </c>
      <c r="O39" t="inlineStr">
        <is>
          <t>DW55</t>
        </is>
      </c>
      <c r="P39" t="inlineStr">
        <is>
          <t>MX-CED. TABASCO</t>
        </is>
      </c>
      <c r="Q39" t="n">
        <v>20221209</v>
      </c>
      <c r="R39" t="n">
        <v>20281231</v>
      </c>
      <c r="S39" t="n">
        <v>20240814</v>
      </c>
      <c r="T39" t="n">
        <v>20291231</v>
      </c>
      <c r="U39" t="n">
        <v>435</v>
      </c>
      <c r="V39" t="inlineStr">
        <is>
          <t>MXN</t>
        </is>
      </c>
      <c r="W39" t="inlineStr">
        <is>
          <t>M3</t>
        </is>
      </c>
      <c r="X39" t="n">
        <v>200</v>
      </c>
      <c r="Y39" t="inlineStr">
        <is>
          <t>MXN</t>
        </is>
      </c>
      <c r="Z39" t="inlineStr">
        <is>
          <t>M3</t>
        </is>
      </c>
      <c r="AA39" t="inlineStr">
        <is>
          <t>D325</t>
        </is>
      </c>
      <c r="AB39" t="inlineStr">
        <is>
          <t>PD0402 PALENQUE II</t>
        </is>
      </c>
      <c r="AC39" t="n">
        <v>56103638</v>
      </c>
      <c r="AD39" t="n">
        <v>6644041540</v>
      </c>
      <c r="AE39" t="n">
        <v>4</v>
      </c>
      <c r="AF39" t="inlineStr">
        <is>
          <t>ENTREGA DIRECTA</t>
        </is>
      </c>
      <c r="AG39" t="n">
        <v>1.273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20240819</v>
      </c>
      <c r="AM39" t="inlineStr">
        <is>
          <t>DW55-900007932-D325-10000834-4</t>
        </is>
      </c>
    </row>
    <row r="40">
      <c r="A40" t="inlineStr">
        <is>
          <t>900000743DW5510000372</t>
        </is>
      </c>
      <c r="B40" t="inlineStr">
        <is>
          <t>4600050889-50</t>
        </is>
      </c>
      <c r="C40" t="n">
        <v>4600050889</v>
      </c>
      <c r="D40" t="n">
        <v>50</v>
      </c>
      <c r="E40" t="inlineStr">
        <is>
          <t>MXPO</t>
        </is>
      </c>
      <c r="F40" t="inlineStr">
        <is>
          <t>MXL</t>
        </is>
      </c>
      <c r="G40" t="n">
        <v>900000743</v>
      </c>
      <c r="H40" t="inlineStr">
        <is>
          <t>TC SIGSA</t>
        </is>
      </c>
      <c r="I40" t="n">
        <v>5021622</v>
      </c>
      <c r="J40" t="inlineStr">
        <is>
          <t>SERVICIOS DE INGENIERIA DEL GOLFO</t>
        </is>
      </c>
      <c r="K40" t="inlineStr">
        <is>
          <t>N60</t>
        </is>
      </c>
      <c r="L40" t="inlineStr">
        <is>
          <t>(AP) NAFIN 60 Dias</t>
        </is>
      </c>
      <c r="M40" t="n">
        <v>10000372</v>
      </c>
      <c r="N40" t="inlineStr">
        <is>
          <t>Grava Triturada Caliza 20 mm - 3/4"</t>
        </is>
      </c>
      <c r="O40" t="inlineStr">
        <is>
          <t>DW55</t>
        </is>
      </c>
      <c r="P40" t="inlineStr">
        <is>
          <t>MX-CED. TABASCO</t>
        </is>
      </c>
      <c r="Q40" t="n">
        <v>20210712</v>
      </c>
      <c r="R40" t="n">
        <v>20281231</v>
      </c>
      <c r="S40" t="n">
        <v>20260428</v>
      </c>
      <c r="T40" t="n">
        <v>20301231</v>
      </c>
      <c r="U40" t="n">
        <v>320</v>
      </c>
      <c r="V40" t="inlineStr">
        <is>
          <t>MXN</t>
        </is>
      </c>
      <c r="W40" t="inlineStr">
        <is>
          <t>M3</t>
        </is>
      </c>
      <c r="X40" t="n">
        <v>0</v>
      </c>
      <c r="Y40" t="inlineStr">
        <is>
          <t>MXN</t>
        </is>
      </c>
      <c r="Z40" t="inlineStr">
        <is>
          <t>M3</t>
        </is>
      </c>
      <c r="AC40" t="n">
        <v>56103637</v>
      </c>
      <c r="AD40" t="n">
        <v>6644041540</v>
      </c>
      <c r="AE40" t="n">
        <v>1</v>
      </c>
      <c r="AF40" t="inlineStr">
        <is>
          <t>ENTREGADO</t>
        </is>
      </c>
      <c r="AG40" t="n">
        <v>1.448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20260428</v>
      </c>
      <c r="AM40" t="inlineStr">
        <is>
          <t>DW55-900000743-10000372</t>
        </is>
      </c>
    </row>
    <row r="41">
      <c r="A41" t="inlineStr">
        <is>
          <t>900003437DW55D28410000541</t>
        </is>
      </c>
      <c r="B41" t="inlineStr">
        <is>
          <t>4600069827-20</t>
        </is>
      </c>
      <c r="C41" t="n">
        <v>4600069827</v>
      </c>
      <c r="D41" t="n">
        <v>20</v>
      </c>
      <c r="E41" t="inlineStr">
        <is>
          <t>MXPO</t>
        </is>
      </c>
      <c r="F41" t="inlineStr">
        <is>
          <t>MXL</t>
        </is>
      </c>
      <c r="G41" t="n">
        <v>900003437</v>
      </c>
      <c r="H41" t="inlineStr">
        <is>
          <t>TC-ED-RUIZ ROSET</t>
        </is>
      </c>
      <c r="I41" t="n">
        <v>5052648</v>
      </c>
      <c r="J41" t="inlineStr">
        <is>
          <t>RUIZ ROSET NICOLAS</t>
        </is>
      </c>
      <c r="K41" t="inlineStr">
        <is>
          <t>N90</t>
        </is>
      </c>
      <c r="L41" t="inlineStr">
        <is>
          <t>(AP) NAFIN 90 Dias</t>
        </is>
      </c>
      <c r="M41" t="n">
        <v>10000541</v>
      </c>
      <c r="N41" t="inlineStr">
        <is>
          <t>Grava Clasificada Río 10 mm - 3/8"</t>
        </is>
      </c>
      <c r="O41" t="inlineStr">
        <is>
          <t>DW55</t>
        </is>
      </c>
      <c r="P41" t="inlineStr">
        <is>
          <t>MX-CED. TABASCO</t>
        </is>
      </c>
      <c r="Q41" t="n">
        <v>20240702</v>
      </c>
      <c r="R41" t="n">
        <v>20291231</v>
      </c>
      <c r="S41" t="n">
        <v>20240702</v>
      </c>
      <c r="T41" t="n">
        <v>20291231</v>
      </c>
      <c r="U41" t="n">
        <v>749</v>
      </c>
      <c r="V41" t="inlineStr">
        <is>
          <t>MXN</t>
        </is>
      </c>
      <c r="W41" t="inlineStr">
        <is>
          <t>M3</t>
        </is>
      </c>
      <c r="X41" t="n">
        <v>449</v>
      </c>
      <c r="Y41" t="inlineStr">
        <is>
          <t>MXN</t>
        </is>
      </c>
      <c r="Z41" t="inlineStr">
        <is>
          <t>M3</t>
        </is>
      </c>
      <c r="AA41" t="inlineStr">
        <is>
          <t>D284</t>
        </is>
      </c>
      <c r="AB41" t="inlineStr">
        <is>
          <t>PD0183 VILLAHERMOSA</t>
        </is>
      </c>
      <c r="AC41" t="n">
        <v>56103637</v>
      </c>
      <c r="AD41" t="n">
        <v>6644041540</v>
      </c>
      <c r="AE41" t="n">
        <v>4</v>
      </c>
      <c r="AF41" t="inlineStr">
        <is>
          <t>ENTREGA DIRECTA</t>
        </is>
      </c>
      <c r="AG41" t="n">
        <v>1.528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20240708</v>
      </c>
      <c r="AM41" t="inlineStr">
        <is>
          <t>DW55-900003437-D284-10000541-4</t>
        </is>
      </c>
    </row>
    <row r="42">
      <c r="A42" t="inlineStr">
        <is>
          <t>900003437DW55D30910000541</t>
        </is>
      </c>
      <c r="B42" t="inlineStr">
        <is>
          <t>4600069827-10</t>
        </is>
      </c>
      <c r="C42" t="n">
        <v>4600069827</v>
      </c>
      <c r="D42" t="n">
        <v>10</v>
      </c>
      <c r="E42" t="inlineStr">
        <is>
          <t>MXPO</t>
        </is>
      </c>
      <c r="F42" t="inlineStr">
        <is>
          <t>MXL</t>
        </is>
      </c>
      <c r="G42" t="n">
        <v>900003437</v>
      </c>
      <c r="H42" t="inlineStr">
        <is>
          <t>TC-ED-RUIZ ROSET</t>
        </is>
      </c>
      <c r="I42" t="n">
        <v>5052648</v>
      </c>
      <c r="J42" t="inlineStr">
        <is>
          <t>RUIZ ROSET NICOLAS</t>
        </is>
      </c>
      <c r="K42" t="inlineStr">
        <is>
          <t>N90</t>
        </is>
      </c>
      <c r="L42" t="inlineStr">
        <is>
          <t>(AP) NAFIN 90 Dias</t>
        </is>
      </c>
      <c r="M42" t="n">
        <v>10000541</v>
      </c>
      <c r="N42" t="inlineStr">
        <is>
          <t>Grava Clasificada Río 10 mm - 3/8"</t>
        </is>
      </c>
      <c r="O42" t="inlineStr">
        <is>
          <t>DW55</t>
        </is>
      </c>
      <c r="P42" t="inlineStr">
        <is>
          <t>MX-CED. TABASCO</t>
        </is>
      </c>
      <c r="Q42" t="n">
        <v>20240702</v>
      </c>
      <c r="R42" t="n">
        <v>20291231</v>
      </c>
      <c r="S42" t="n">
        <v>20240702</v>
      </c>
      <c r="T42" t="n">
        <v>20291231</v>
      </c>
      <c r="U42" t="n">
        <v>749</v>
      </c>
      <c r="V42" t="inlineStr">
        <is>
          <t>MXN</t>
        </is>
      </c>
      <c r="W42" t="inlineStr">
        <is>
          <t>M3</t>
        </is>
      </c>
      <c r="X42" t="n">
        <v>449</v>
      </c>
      <c r="Y42" t="inlineStr">
        <is>
          <t>MXN</t>
        </is>
      </c>
      <c r="Z42" t="inlineStr">
        <is>
          <t>M3</t>
        </is>
      </c>
      <c r="AA42" t="inlineStr">
        <is>
          <t>D309</t>
        </is>
      </c>
      <c r="AB42" t="inlineStr">
        <is>
          <t>PD0477 CARDENAS</t>
        </is>
      </c>
      <c r="AC42" t="n">
        <v>56103637</v>
      </c>
      <c r="AD42" t="n">
        <v>6644041540</v>
      </c>
      <c r="AE42" t="n">
        <v>4</v>
      </c>
      <c r="AF42" t="inlineStr">
        <is>
          <t>ENTREGA DIRECTA</t>
        </is>
      </c>
      <c r="AG42" t="n">
        <v>1.528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20240708</v>
      </c>
      <c r="AM42" t="inlineStr">
        <is>
          <t>DW55-900003437-D309-10000541-4</t>
        </is>
      </c>
    </row>
    <row r="43">
      <c r="A43" t="inlineStr">
        <is>
          <t>900007304DW55D34810000673</t>
        </is>
      </c>
      <c r="B43" t="inlineStr">
        <is>
          <t>4600053181-150</t>
        </is>
      </c>
      <c r="C43" t="n">
        <v>4600053181</v>
      </c>
      <c r="D43" t="n">
        <v>150</v>
      </c>
      <c r="E43" t="inlineStr">
        <is>
          <t>MXPO</t>
        </is>
      </c>
      <c r="F43" t="inlineStr">
        <is>
          <t>MXL</t>
        </is>
      </c>
      <c r="G43" t="n">
        <v>900007304</v>
      </c>
      <c r="H43" t="inlineStr">
        <is>
          <t>SF TC-ED-ALFONSO ESPADAS</t>
        </is>
      </c>
      <c r="I43" t="n">
        <v>5079231</v>
      </c>
      <c r="J43" t="inlineStr">
        <is>
          <t>ESPADAS HERNANDEZ ALFONSO</t>
        </is>
      </c>
      <c r="K43" t="inlineStr">
        <is>
          <t>N90</t>
        </is>
      </c>
      <c r="L43" t="inlineStr">
        <is>
          <t>(AP) NAFIN 90 Dias</t>
        </is>
      </c>
      <c r="M43" t="n">
        <v>10000673</v>
      </c>
      <c r="N43" t="inlineStr">
        <is>
          <t>Grava Triturada Caliza 10 mm - 3/8"</t>
        </is>
      </c>
      <c r="O43" t="inlineStr">
        <is>
          <t>DW55</t>
        </is>
      </c>
      <c r="P43" t="inlineStr">
        <is>
          <t>MX-CED. TABASCO</t>
        </is>
      </c>
      <c r="Q43" t="n">
        <v>20220214</v>
      </c>
      <c r="R43" t="n">
        <v>20281231</v>
      </c>
      <c r="S43" t="n">
        <v>20230524</v>
      </c>
      <c r="T43" t="n">
        <v>20281231</v>
      </c>
      <c r="U43" t="n">
        <v>1280</v>
      </c>
      <c r="V43" t="inlineStr">
        <is>
          <t>MXN</t>
        </is>
      </c>
      <c r="W43" t="inlineStr">
        <is>
          <t>M3</t>
        </is>
      </c>
      <c r="X43" t="n">
        <v>630</v>
      </c>
      <c r="Y43" t="inlineStr">
        <is>
          <t>MXN</t>
        </is>
      </c>
      <c r="Z43" t="inlineStr">
        <is>
          <t>M3</t>
        </is>
      </c>
      <c r="AA43" t="inlineStr">
        <is>
          <t>D348</t>
        </is>
      </c>
      <c r="AB43" t="inlineStr">
        <is>
          <t>PD0294 LAGUNA VERDE 2</t>
        </is>
      </c>
      <c r="AC43" t="n">
        <v>56103637</v>
      </c>
      <c r="AD43" t="n">
        <v>6644041540</v>
      </c>
      <c r="AE43" t="n">
        <v>4</v>
      </c>
      <c r="AF43" t="inlineStr">
        <is>
          <t>ENTREGA DIRECTA</t>
        </is>
      </c>
      <c r="AG43" t="n">
        <v>1.375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20230920</v>
      </c>
      <c r="AM43" t="inlineStr">
        <is>
          <t>DW55-900007304-D348-10000673-4</t>
        </is>
      </c>
    </row>
    <row r="44">
      <c r="A44" t="inlineStr">
        <is>
          <t>900007052DW55D32510000541</t>
        </is>
      </c>
      <c r="B44" t="inlineStr">
        <is>
          <t>4600070487-10</t>
        </is>
      </c>
      <c r="C44" t="n">
        <v>4600070487</v>
      </c>
      <c r="D44" t="n">
        <v>10</v>
      </c>
      <c r="E44" t="inlineStr">
        <is>
          <t>MXPO</t>
        </is>
      </c>
      <c r="F44" t="inlineStr">
        <is>
          <t>MXL</t>
        </is>
      </c>
      <c r="G44" t="n">
        <v>900007052</v>
      </c>
      <c r="H44" t="inlineStr">
        <is>
          <t>SF TC-ED-SAMUEL CARRASCO</t>
        </is>
      </c>
      <c r="I44" t="n">
        <v>5080454</v>
      </c>
      <c r="J44" t="inlineStr">
        <is>
          <t>CARRASCO ALCUDIA SAMUEL</t>
        </is>
      </c>
      <c r="K44" t="inlineStr">
        <is>
          <t>N90</t>
        </is>
      </c>
      <c r="L44" t="inlineStr">
        <is>
          <t>(AP) NAFIN 90 Dias</t>
        </is>
      </c>
      <c r="M44" t="n">
        <v>10000541</v>
      </c>
      <c r="N44" t="inlineStr">
        <is>
          <t>Grava Clasificada Río 10 mm - 3/8"</t>
        </is>
      </c>
      <c r="O44" t="inlineStr">
        <is>
          <t>DW55</t>
        </is>
      </c>
      <c r="P44" t="inlineStr">
        <is>
          <t>MX-CED. TABASCO</t>
        </is>
      </c>
      <c r="Q44" t="n">
        <v>20241030</v>
      </c>
      <c r="R44" t="n">
        <v>20291231</v>
      </c>
      <c r="S44" t="n">
        <v>20241030</v>
      </c>
      <c r="T44" t="n">
        <v>20291231</v>
      </c>
      <c r="U44" t="n">
        <v>1127</v>
      </c>
      <c r="V44" t="inlineStr">
        <is>
          <t>MXN</t>
        </is>
      </c>
      <c r="W44" t="inlineStr">
        <is>
          <t>M3</t>
        </is>
      </c>
      <c r="X44" t="n">
        <v>827</v>
      </c>
      <c r="Y44" t="inlineStr">
        <is>
          <t>MXN</t>
        </is>
      </c>
      <c r="Z44" t="inlineStr">
        <is>
          <t>M3</t>
        </is>
      </c>
      <c r="AA44" t="inlineStr">
        <is>
          <t>D325</t>
        </is>
      </c>
      <c r="AB44" t="inlineStr">
        <is>
          <t>PD0402 PALENQUE II</t>
        </is>
      </c>
      <c r="AC44" t="n">
        <v>56103637</v>
      </c>
      <c r="AD44" t="n">
        <v>6644041540</v>
      </c>
      <c r="AE44" t="n">
        <v>4</v>
      </c>
      <c r="AF44" t="inlineStr">
        <is>
          <t>ENTREGA DIRECTA</t>
        </is>
      </c>
      <c r="AG44" t="n">
        <v>1.528</v>
      </c>
      <c r="AH44" t="inlineStr">
        <is>
          <t>M3</t>
        </is>
      </c>
      <c r="AJ44" t="n">
        <v>4</v>
      </c>
      <c r="AK44" t="inlineStr">
        <is>
          <t>V4</t>
        </is>
      </c>
      <c r="AL44" t="n">
        <v>20241101</v>
      </c>
      <c r="AM44" t="inlineStr">
        <is>
          <t>DW55-900007052-D325-10000541-4</t>
        </is>
      </c>
    </row>
    <row r="45">
      <c r="A45" t="inlineStr">
        <is>
          <t>900000000DW55D30910000541</t>
        </is>
      </c>
      <c r="B45" t="inlineStr">
        <is>
          <t>4600050874-40</t>
        </is>
      </c>
      <c r="C45" t="n">
        <v>4600050874</v>
      </c>
      <c r="D45" t="n">
        <v>40</v>
      </c>
      <c r="E45" t="inlineStr">
        <is>
          <t>MXPO</t>
        </is>
      </c>
      <c r="F45" t="inlineStr">
        <is>
          <t>MXL</t>
        </is>
      </c>
      <c r="G45" t="n">
        <v>900000000</v>
      </c>
      <c r="H45" t="inlineStr">
        <is>
          <t>TC-ED-LAZCANO HUERTA</t>
        </is>
      </c>
      <c r="I45" t="n">
        <v>5000326</v>
      </c>
      <c r="J45" t="inlineStr">
        <is>
          <t>LAZCANO HUERTA ROCIO NANCY</t>
        </is>
      </c>
      <c r="K45" t="inlineStr">
        <is>
          <t>N90</t>
        </is>
      </c>
      <c r="L45" t="inlineStr">
        <is>
          <t>(AP) NAFIN 90 Dias</t>
        </is>
      </c>
      <c r="M45" t="n">
        <v>10000541</v>
      </c>
      <c r="N45" t="inlineStr">
        <is>
          <t>Grava Clasificada Río 10 mm - 3/8"</t>
        </is>
      </c>
      <c r="O45" t="inlineStr">
        <is>
          <t>DW55</t>
        </is>
      </c>
      <c r="P45" t="inlineStr">
        <is>
          <t>MX-CED. TABASCO</t>
        </is>
      </c>
      <c r="Q45" t="n">
        <v>20210712</v>
      </c>
      <c r="R45" t="n">
        <v>20291231</v>
      </c>
      <c r="S45" t="n">
        <v>20240904</v>
      </c>
      <c r="T45" t="n">
        <v>20291231</v>
      </c>
      <c r="U45" t="n">
        <v>700</v>
      </c>
      <c r="V45" t="inlineStr">
        <is>
          <t>MXN</t>
        </is>
      </c>
      <c r="W45" t="inlineStr">
        <is>
          <t>M3</t>
        </is>
      </c>
      <c r="X45" t="n">
        <v>400</v>
      </c>
      <c r="Y45" t="inlineStr">
        <is>
          <t>MXN</t>
        </is>
      </c>
      <c r="Z45" t="inlineStr">
        <is>
          <t>M3</t>
        </is>
      </c>
      <c r="AA45" t="inlineStr">
        <is>
          <t>D309</t>
        </is>
      </c>
      <c r="AB45" t="inlineStr">
        <is>
          <t>PD0477 CARDENAS</t>
        </is>
      </c>
      <c r="AC45" t="n">
        <v>56103637</v>
      </c>
      <c r="AD45" t="n">
        <v>6644041540</v>
      </c>
      <c r="AE45" t="n">
        <v>4</v>
      </c>
      <c r="AF45" t="inlineStr">
        <is>
          <t>ENTREGA DIRECTA</t>
        </is>
      </c>
      <c r="AG45" t="n">
        <v>1.528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20240910</v>
      </c>
      <c r="AM45" t="inlineStr">
        <is>
          <t>DW55-900000000-D309-10000541-4</t>
        </is>
      </c>
    </row>
    <row r="46">
      <c r="A46" t="inlineStr">
        <is>
          <t>900007052DW55D34810036584</t>
        </is>
      </c>
      <c r="B46" t="inlineStr">
        <is>
          <t>4600050996-170</t>
        </is>
      </c>
      <c r="C46" t="n">
        <v>4600050996</v>
      </c>
      <c r="D46" t="n">
        <v>170</v>
      </c>
      <c r="E46" t="inlineStr">
        <is>
          <t>MXPO</t>
        </is>
      </c>
      <c r="F46" t="inlineStr">
        <is>
          <t>MXL</t>
        </is>
      </c>
      <c r="G46" t="n">
        <v>900007052</v>
      </c>
      <c r="H46" t="inlineStr">
        <is>
          <t>SF TC-ED-SAMUEL CARRASCO</t>
        </is>
      </c>
      <c r="I46" t="n">
        <v>5080454</v>
      </c>
      <c r="J46" t="inlineStr">
        <is>
          <t>CARRASCO ALCUDIA SAMUEL</t>
        </is>
      </c>
      <c r="K46" t="inlineStr">
        <is>
          <t>N90</t>
        </is>
      </c>
      <c r="L46" t="inlineStr">
        <is>
          <t>(AP) NAFIN 90 Dias</t>
        </is>
      </c>
      <c r="M46" t="n">
        <v>10036584</v>
      </c>
      <c r="N46" t="inlineStr">
        <is>
          <t>Grava Triturada Caliza 10 mm - 3/8"</t>
        </is>
      </c>
      <c r="O46" t="inlineStr">
        <is>
          <t>DW55</t>
        </is>
      </c>
      <c r="P46" t="inlineStr">
        <is>
          <t>MX-CED. TABASCO</t>
        </is>
      </c>
      <c r="Q46" t="n">
        <v>20210712</v>
      </c>
      <c r="R46" t="n">
        <v>20281231</v>
      </c>
      <c r="S46" t="n">
        <v>20231117</v>
      </c>
      <c r="T46" t="n">
        <v>20281231</v>
      </c>
      <c r="U46" t="n">
        <v>2500</v>
      </c>
      <c r="V46" t="inlineStr">
        <is>
          <t>MXN</t>
        </is>
      </c>
      <c r="W46" t="inlineStr">
        <is>
          <t>M3</t>
        </is>
      </c>
      <c r="X46" t="n">
        <v>2000</v>
      </c>
      <c r="Y46" t="inlineStr">
        <is>
          <t>MXN</t>
        </is>
      </c>
      <c r="Z46" t="inlineStr">
        <is>
          <t>M3</t>
        </is>
      </c>
      <c r="AA46" t="inlineStr">
        <is>
          <t>D348</t>
        </is>
      </c>
      <c r="AB46" t="inlineStr">
        <is>
          <t>PD0294 LAGUNA VERDE 2</t>
        </is>
      </c>
      <c r="AC46" t="n">
        <v>56103637</v>
      </c>
      <c r="AD46" t="n">
        <v>6644041540</v>
      </c>
      <c r="AE46" t="n">
        <v>4</v>
      </c>
      <c r="AF46" t="inlineStr">
        <is>
          <t>ENTREGA DIRECTA</t>
        </is>
      </c>
      <c r="AG46" t="n">
        <v>1.47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20231121</v>
      </c>
      <c r="AM46" t="inlineStr">
        <is>
          <t>DW55-900007052-D348-10036584-4</t>
        </is>
      </c>
    </row>
    <row r="47">
      <c r="A47" t="inlineStr">
        <is>
          <t>900007604DW55D30910000372</t>
        </is>
      </c>
      <c r="B47" t="inlineStr">
        <is>
          <t>4600054544-40</t>
        </is>
      </c>
      <c r="C47" t="n">
        <v>4600054544</v>
      </c>
      <c r="D47" t="n">
        <v>40</v>
      </c>
      <c r="E47" t="inlineStr">
        <is>
          <t>MXPO</t>
        </is>
      </c>
      <c r="F47" t="inlineStr">
        <is>
          <t>MXL</t>
        </is>
      </c>
      <c r="G47" t="n">
        <v>900007604</v>
      </c>
      <c r="H47" t="inlineStr">
        <is>
          <t>SF TC-ED-FRISO CONSMIN TAB</t>
        </is>
      </c>
      <c r="I47" t="n">
        <v>5083592</v>
      </c>
      <c r="J47" t="inlineStr">
        <is>
          <t>FRISO CONSMIN SA DE CV</t>
        </is>
      </c>
      <c r="K47" t="inlineStr">
        <is>
          <t>N45</t>
        </is>
      </c>
      <c r="L47" t="inlineStr">
        <is>
          <t>(AP) NAFIN 45 Dias</t>
        </is>
      </c>
      <c r="M47" t="n">
        <v>10000372</v>
      </c>
      <c r="N47" t="inlineStr">
        <is>
          <t>Grava Triturada Caliza 20 mm - 3/4"</t>
        </is>
      </c>
      <c r="O47" t="inlineStr">
        <is>
          <t>DW55</t>
        </is>
      </c>
      <c r="P47" t="inlineStr">
        <is>
          <t>MX-CED. TABASCO</t>
        </is>
      </c>
      <c r="Q47" t="n">
        <v>20220715</v>
      </c>
      <c r="R47" t="n">
        <v>20271231</v>
      </c>
      <c r="U47" t="n">
        <v>0</v>
      </c>
      <c r="V47" t="inlineStr">
        <is>
          <t>MXN</t>
        </is>
      </c>
      <c r="W47" t="inlineStr">
        <is>
          <t>M3</t>
        </is>
      </c>
      <c r="AA47" t="inlineStr">
        <is>
          <t>D309</t>
        </is>
      </c>
      <c r="AB47" t="inlineStr">
        <is>
          <t>PD0477 CARDENAS</t>
        </is>
      </c>
      <c r="AC47" t="n">
        <v>56103637</v>
      </c>
      <c r="AD47" t="n">
        <v>6644041540</v>
      </c>
      <c r="AE47" t="n">
        <v>4</v>
      </c>
      <c r="AF47" t="inlineStr">
        <is>
          <t>ENTREGA DIRECTA</t>
        </is>
      </c>
      <c r="AG47" t="n">
        <v>1.448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20260422</v>
      </c>
      <c r="AM47" t="inlineStr">
        <is>
          <t>DW55-900007604-D309-10000372-4</t>
        </is>
      </c>
    </row>
    <row r="48">
      <c r="A48" t="inlineStr">
        <is>
          <t>900007052DW55D28410000541</t>
        </is>
      </c>
      <c r="B48" t="inlineStr">
        <is>
          <t>4600050996-180</t>
        </is>
      </c>
      <c r="C48" t="n">
        <v>4600050996</v>
      </c>
      <c r="D48" t="n">
        <v>180</v>
      </c>
      <c r="E48" t="inlineStr">
        <is>
          <t>MXPO</t>
        </is>
      </c>
      <c r="F48" t="inlineStr">
        <is>
          <t>MXL</t>
        </is>
      </c>
      <c r="G48" t="n">
        <v>900007052</v>
      </c>
      <c r="H48" t="inlineStr">
        <is>
          <t>SF TC-ED-SAMUEL CARRASCO</t>
        </is>
      </c>
      <c r="I48" t="n">
        <v>5080454</v>
      </c>
      <c r="J48" t="inlineStr">
        <is>
          <t>CARRASCO ALCUDIA SAMUEL</t>
        </is>
      </c>
      <c r="K48" t="inlineStr">
        <is>
          <t>N90</t>
        </is>
      </c>
      <c r="L48" t="inlineStr">
        <is>
          <t>(AP) NAFIN 90 Dias</t>
        </is>
      </c>
      <c r="M48" t="n">
        <v>10000541</v>
      </c>
      <c r="N48" t="inlineStr">
        <is>
          <t>Grava Clasificada Río 10 mm - 3/8"</t>
        </is>
      </c>
      <c r="O48" t="inlineStr">
        <is>
          <t>DW55</t>
        </is>
      </c>
      <c r="P48" t="inlineStr">
        <is>
          <t>MX-CED. TABASCO</t>
        </is>
      </c>
      <c r="Q48" t="n">
        <v>20210712</v>
      </c>
      <c r="R48" t="n">
        <v>20281231</v>
      </c>
      <c r="S48" t="n">
        <v>20250219</v>
      </c>
      <c r="T48" t="n">
        <v>20301231</v>
      </c>
      <c r="U48" t="n">
        <v>730</v>
      </c>
      <c r="V48" t="inlineStr">
        <is>
          <t>MXN</t>
        </is>
      </c>
      <c r="W48" t="inlineStr">
        <is>
          <t>M3</t>
        </is>
      </c>
      <c r="X48" t="n">
        <v>440</v>
      </c>
      <c r="Y48" t="inlineStr">
        <is>
          <t>MXN</t>
        </is>
      </c>
      <c r="Z48" t="inlineStr">
        <is>
          <t>M3</t>
        </is>
      </c>
      <c r="AA48" t="inlineStr">
        <is>
          <t>D284</t>
        </is>
      </c>
      <c r="AB48" t="inlineStr">
        <is>
          <t>PD0183 VILLAHERMOSA</t>
        </is>
      </c>
      <c r="AC48" t="n">
        <v>56103637</v>
      </c>
      <c r="AD48" t="n">
        <v>6644041540</v>
      </c>
      <c r="AE48" t="n">
        <v>4</v>
      </c>
      <c r="AF48" t="inlineStr">
        <is>
          <t>ENTREGA DIRECTA</t>
        </is>
      </c>
      <c r="AG48" t="n">
        <v>1.528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20250224</v>
      </c>
      <c r="AM48" t="inlineStr">
        <is>
          <t>DW55-900007052-D284-10000541-4</t>
        </is>
      </c>
    </row>
    <row r="49">
      <c r="A49" t="inlineStr">
        <is>
          <t>900007052DW55D30910000541</t>
        </is>
      </c>
      <c r="B49" t="inlineStr">
        <is>
          <t>4600050996-190</t>
        </is>
      </c>
      <c r="C49" t="n">
        <v>4600050996</v>
      </c>
      <c r="D49" t="n">
        <v>190</v>
      </c>
      <c r="E49" t="inlineStr">
        <is>
          <t>MXPO</t>
        </is>
      </c>
      <c r="F49" t="inlineStr">
        <is>
          <t>MXL</t>
        </is>
      </c>
      <c r="G49" t="n">
        <v>900007052</v>
      </c>
      <c r="H49" t="inlineStr">
        <is>
          <t>SF TC-ED-SAMUEL CARRASCO</t>
        </is>
      </c>
      <c r="I49" t="n">
        <v>5080454</v>
      </c>
      <c r="J49" t="inlineStr">
        <is>
          <t>CARRASCO ALCUDIA SAMUEL</t>
        </is>
      </c>
      <c r="K49" t="inlineStr">
        <is>
          <t>N90</t>
        </is>
      </c>
      <c r="L49" t="inlineStr">
        <is>
          <t>(AP) NAFIN 90 Dias</t>
        </is>
      </c>
      <c r="M49" t="n">
        <v>10000541</v>
      </c>
      <c r="N49" t="inlineStr">
        <is>
          <t>Grava Clasificada Río 10 mm - 3/8"</t>
        </is>
      </c>
      <c r="O49" t="inlineStr">
        <is>
          <t>DW55</t>
        </is>
      </c>
      <c r="P49" t="inlineStr">
        <is>
          <t>MX-CED. TABASCO</t>
        </is>
      </c>
      <c r="Q49" t="n">
        <v>20210712</v>
      </c>
      <c r="R49" t="n">
        <v>20281231</v>
      </c>
      <c r="S49" t="n">
        <v>20250219</v>
      </c>
      <c r="T49" t="n">
        <v>20301231</v>
      </c>
      <c r="U49" t="n">
        <v>730</v>
      </c>
      <c r="V49" t="inlineStr">
        <is>
          <t>MXN</t>
        </is>
      </c>
      <c r="W49" t="inlineStr">
        <is>
          <t>M3</t>
        </is>
      </c>
      <c r="X49" t="n">
        <v>440</v>
      </c>
      <c r="Y49" t="inlineStr">
        <is>
          <t>MXN</t>
        </is>
      </c>
      <c r="Z49" t="inlineStr">
        <is>
          <t>M3</t>
        </is>
      </c>
      <c r="AA49" t="inlineStr">
        <is>
          <t>D309</t>
        </is>
      </c>
      <c r="AB49" t="inlineStr">
        <is>
          <t>PD0477 CARDENAS</t>
        </is>
      </c>
      <c r="AC49" t="n">
        <v>56103637</v>
      </c>
      <c r="AD49" t="n">
        <v>6644041540</v>
      </c>
      <c r="AE49" t="n">
        <v>4</v>
      </c>
      <c r="AF49" t="inlineStr">
        <is>
          <t>ENTREGA DIRECTA</t>
        </is>
      </c>
      <c r="AG49" t="n">
        <v>1.528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20250224</v>
      </c>
      <c r="AM49" t="inlineStr">
        <is>
          <t>DW55-900007052-D309-10000541-4</t>
        </is>
      </c>
    </row>
    <row r="50">
      <c r="A50" t="inlineStr">
        <is>
          <t>900007484DW55D34810217663</t>
        </is>
      </c>
      <c r="B50" t="inlineStr">
        <is>
          <t>4600053253-90</t>
        </is>
      </c>
      <c r="C50" t="n">
        <v>4600053253</v>
      </c>
      <c r="D50" t="n">
        <v>90</v>
      </c>
      <c r="E50" t="inlineStr">
        <is>
          <t>MXPO</t>
        </is>
      </c>
      <c r="F50" t="inlineStr">
        <is>
          <t>MXL</t>
        </is>
      </c>
      <c r="G50" t="n">
        <v>900007484</v>
      </c>
      <c r="H50" t="inlineStr">
        <is>
          <t>SF-TC-ED-AURELIO CABRERA</t>
        </is>
      </c>
      <c r="I50" t="n">
        <v>5082823</v>
      </c>
      <c r="J50" t="inlineStr">
        <is>
          <t>CABRERA MARIN AURELIO ANTONIO</t>
        </is>
      </c>
      <c r="K50" t="inlineStr">
        <is>
          <t>Z09</t>
        </is>
      </c>
      <c r="L50" t="inlineStr">
        <is>
          <t>(AP) 90 Dias</t>
        </is>
      </c>
      <c r="M50" t="n">
        <v>10217663</v>
      </c>
      <c r="N50" t="inlineStr">
        <is>
          <t>ARENA CLASIFICADA RÍO MALLA 4 -TABASCO</t>
        </is>
      </c>
      <c r="O50" t="inlineStr">
        <is>
          <t>DW55</t>
        </is>
      </c>
      <c r="P50" t="inlineStr">
        <is>
          <t>MX-CED. TABASCO</t>
        </is>
      </c>
      <c r="Q50" t="n">
        <v>20220222</v>
      </c>
      <c r="R50" t="n">
        <v>20281231</v>
      </c>
      <c r="S50" t="n">
        <v>20240712</v>
      </c>
      <c r="T50" t="n">
        <v>20291231</v>
      </c>
      <c r="U50" t="n">
        <v>600</v>
      </c>
      <c r="V50" t="inlineStr">
        <is>
          <t>MXN</t>
        </is>
      </c>
      <c r="W50" t="inlineStr">
        <is>
          <t>M3</t>
        </is>
      </c>
      <c r="X50" t="n">
        <v>530</v>
      </c>
      <c r="Y50" t="inlineStr">
        <is>
          <t>MXN</t>
        </is>
      </c>
      <c r="Z50" t="inlineStr">
        <is>
          <t>M3</t>
        </is>
      </c>
      <c r="AA50" t="inlineStr">
        <is>
          <t>D348</t>
        </is>
      </c>
      <c r="AB50" t="inlineStr">
        <is>
          <t>PD0294 LAGUNA VERDE 2</t>
        </is>
      </c>
      <c r="AC50" t="n">
        <v>56103638</v>
      </c>
      <c r="AD50" t="n">
        <v>6644041540</v>
      </c>
      <c r="AE50" t="n">
        <v>4</v>
      </c>
      <c r="AF50" t="inlineStr">
        <is>
          <t>ENTREGA DIRECTA</t>
        </is>
      </c>
      <c r="AG50" t="n">
        <v>1.456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20240715</v>
      </c>
      <c r="AM50" t="inlineStr">
        <is>
          <t>DW55-900007484-D348-10217663-4</t>
        </is>
      </c>
    </row>
    <row r="51">
      <c r="A51" t="inlineStr">
        <is>
          <t>900007052DW55D28410000372</t>
        </is>
      </c>
      <c r="B51" t="inlineStr">
        <is>
          <t>4600050996-70</t>
        </is>
      </c>
      <c r="C51" t="n">
        <v>4600050996</v>
      </c>
      <c r="D51" t="n">
        <v>70</v>
      </c>
      <c r="E51" t="inlineStr">
        <is>
          <t>MXPO</t>
        </is>
      </c>
      <c r="F51" t="inlineStr">
        <is>
          <t>MXL</t>
        </is>
      </c>
      <c r="G51" t="n">
        <v>900007052</v>
      </c>
      <c r="H51" t="inlineStr">
        <is>
          <t>SF TC-ED-SAMUEL CARRASCO</t>
        </is>
      </c>
      <c r="I51" t="n">
        <v>5080454</v>
      </c>
      <c r="J51" t="inlineStr">
        <is>
          <t>CARRASCO ALCUDIA SAMUEL</t>
        </is>
      </c>
      <c r="K51" t="inlineStr">
        <is>
          <t>N90</t>
        </is>
      </c>
      <c r="L51" t="inlineStr">
        <is>
          <t>(AP) NAFIN 90 Dias</t>
        </is>
      </c>
      <c r="M51" t="n">
        <v>10000372</v>
      </c>
      <c r="N51" t="inlineStr">
        <is>
          <t>Grava Triturada Caliza 20 mm - 3/4"</t>
        </is>
      </c>
      <c r="O51" t="inlineStr">
        <is>
          <t>DW55</t>
        </is>
      </c>
      <c r="P51" t="inlineStr">
        <is>
          <t>MX-CED. TABASCO</t>
        </is>
      </c>
      <c r="Q51" t="n">
        <v>20210712</v>
      </c>
      <c r="R51" t="n">
        <v>20281231</v>
      </c>
      <c r="S51" t="n">
        <v>20251027</v>
      </c>
      <c r="T51" t="n">
        <v>20301231</v>
      </c>
      <c r="U51" t="n">
        <v>550</v>
      </c>
      <c r="V51" t="inlineStr">
        <is>
          <t>MXN</t>
        </is>
      </c>
      <c r="W51" t="inlineStr">
        <is>
          <t>M3</t>
        </is>
      </c>
      <c r="X51" t="n">
        <v>330</v>
      </c>
      <c r="Y51" t="inlineStr">
        <is>
          <t>MXN</t>
        </is>
      </c>
      <c r="Z51" t="inlineStr">
        <is>
          <t>M3</t>
        </is>
      </c>
      <c r="AA51" t="inlineStr">
        <is>
          <t>D284</t>
        </is>
      </c>
      <c r="AB51" t="inlineStr">
        <is>
          <t>PD0183 VILLAHERMOSA</t>
        </is>
      </c>
      <c r="AC51" t="n">
        <v>56103637</v>
      </c>
      <c r="AD51" t="n">
        <v>6644041540</v>
      </c>
      <c r="AE51" t="n">
        <v>4</v>
      </c>
      <c r="AF51" t="inlineStr">
        <is>
          <t>ENTREGA DIRECTA</t>
        </is>
      </c>
      <c r="AG51" t="n">
        <v>1.448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20251029</v>
      </c>
      <c r="AM51" t="inlineStr">
        <is>
          <t>DW55-900007052-D284-10000372-4</t>
        </is>
      </c>
    </row>
    <row r="52">
      <c r="A52" t="inlineStr">
        <is>
          <t>900007953DW55D30910000372</t>
        </is>
      </c>
      <c r="B52" t="inlineStr">
        <is>
          <t>4600069796-10</t>
        </is>
      </c>
      <c r="C52" t="n">
        <v>4600069796</v>
      </c>
      <c r="D52" t="n">
        <v>10</v>
      </c>
      <c r="E52" t="inlineStr">
        <is>
          <t>MXPO</t>
        </is>
      </c>
      <c r="F52" t="inlineStr">
        <is>
          <t>MXL</t>
        </is>
      </c>
      <c r="G52" t="n">
        <v>900007953</v>
      </c>
      <c r="H52" t="inlineStr">
        <is>
          <t>SF TC-ED-BANCO GARCIA</t>
        </is>
      </c>
      <c r="I52" t="n">
        <v>5067302</v>
      </c>
      <c r="J52" t="inlineStr">
        <is>
          <t>GARCIA BALTAZAR MIGUEL</t>
        </is>
      </c>
      <c r="K52" t="inlineStr">
        <is>
          <t>N90</t>
        </is>
      </c>
      <c r="L52" t="inlineStr">
        <is>
          <t>(AP) NAFIN 90 Dias</t>
        </is>
      </c>
      <c r="M52" t="n">
        <v>10000372</v>
      </c>
      <c r="N52" t="inlineStr">
        <is>
          <t>Grava Triturada Caliza 20 mm - 3/4"</t>
        </is>
      </c>
      <c r="O52" t="inlineStr">
        <is>
          <t>DW55</t>
        </is>
      </c>
      <c r="P52" t="inlineStr">
        <is>
          <t>MX-CED. TABASCO</t>
        </is>
      </c>
      <c r="Q52" t="n">
        <v>20240628</v>
      </c>
      <c r="R52" t="n">
        <v>20291231</v>
      </c>
      <c r="S52" t="n">
        <v>20240628</v>
      </c>
      <c r="T52" t="n">
        <v>20291231</v>
      </c>
      <c r="U52" t="n">
        <v>550</v>
      </c>
      <c r="V52" t="inlineStr">
        <is>
          <t>MXN</t>
        </is>
      </c>
      <c r="W52" t="inlineStr">
        <is>
          <t>M3</t>
        </is>
      </c>
      <c r="X52" t="n">
        <v>320</v>
      </c>
      <c r="Y52" t="inlineStr">
        <is>
          <t>MXN</t>
        </is>
      </c>
      <c r="Z52" t="inlineStr">
        <is>
          <t>M3</t>
        </is>
      </c>
      <c r="AA52" t="inlineStr">
        <is>
          <t>D309</t>
        </is>
      </c>
      <c r="AB52" t="inlineStr">
        <is>
          <t>PD0477 CARDENAS</t>
        </is>
      </c>
      <c r="AC52" t="n">
        <v>56103637</v>
      </c>
      <c r="AD52" t="n">
        <v>6644041540</v>
      </c>
      <c r="AE52" t="n">
        <v>4</v>
      </c>
      <c r="AF52" t="inlineStr">
        <is>
          <t>ENTREGA DIRECTA</t>
        </is>
      </c>
      <c r="AG52" t="n">
        <v>1.448</v>
      </c>
      <c r="AH52" t="inlineStr">
        <is>
          <t>M3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20240703</v>
      </c>
      <c r="AM52" t="inlineStr">
        <is>
          <t>DW55-900007953-D309-10000372-4</t>
        </is>
      </c>
    </row>
    <row r="53">
      <c r="A53" t="inlineStr">
        <is>
          <t>900007603DW5510000623</t>
        </is>
      </c>
      <c r="B53" t="inlineStr">
        <is>
          <t>4600054036-40</t>
        </is>
      </c>
      <c r="C53" t="n">
        <v>4600054036</v>
      </c>
      <c r="D53" t="n">
        <v>40</v>
      </c>
      <c r="E53" t="inlineStr">
        <is>
          <t>MXPO</t>
        </is>
      </c>
      <c r="F53" t="inlineStr">
        <is>
          <t>MXL</t>
        </is>
      </c>
      <c r="G53" t="n">
        <v>900007603</v>
      </c>
      <c r="H53" t="inlineStr">
        <is>
          <t>SF TC-FRISO CONSMIN TAB</t>
        </is>
      </c>
      <c r="I53" t="n">
        <v>5083592</v>
      </c>
      <c r="J53" t="inlineStr">
        <is>
          <t>FRISO CONSMIN SA DE CV</t>
        </is>
      </c>
      <c r="K53" t="inlineStr">
        <is>
          <t>N45</t>
        </is>
      </c>
      <c r="L53" t="inlineStr">
        <is>
          <t>(AP) NAFIN 45 Dias</t>
        </is>
      </c>
      <c r="M53" t="n">
        <v>10000623</v>
      </c>
      <c r="N53" t="inlineStr">
        <is>
          <t>Grava Triturada Caliza 10 mm - 3/8"</t>
        </is>
      </c>
      <c r="O53" t="inlineStr">
        <is>
          <t>DW55</t>
        </is>
      </c>
      <c r="P53" t="inlineStr">
        <is>
          <t>MX-CED. TABASCO</t>
        </is>
      </c>
      <c r="Q53" t="n">
        <v>20220301</v>
      </c>
      <c r="R53" t="n">
        <v>20291231</v>
      </c>
      <c r="U53" t="n">
        <v>0</v>
      </c>
      <c r="V53" t="inlineStr">
        <is>
          <t>MXN</t>
        </is>
      </c>
      <c r="W53" t="inlineStr">
        <is>
          <t>M3</t>
        </is>
      </c>
      <c r="AC53" t="n">
        <v>56103637</v>
      </c>
      <c r="AD53" t="n">
        <v>6644041540</v>
      </c>
      <c r="AE53" t="n">
        <v>1</v>
      </c>
      <c r="AF53" t="inlineStr">
        <is>
          <t>ENTREGADO</t>
        </is>
      </c>
      <c r="AG53" t="n">
        <v>1.41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20260422</v>
      </c>
      <c r="AM53" t="inlineStr">
        <is>
          <t>DW55-900007603-10000623</t>
        </is>
      </c>
    </row>
    <row r="54">
      <c r="A54" t="inlineStr">
        <is>
          <t>900007603DW5510000373</t>
        </is>
      </c>
      <c r="B54" t="inlineStr">
        <is>
          <t>4600054036-30</t>
        </is>
      </c>
      <c r="C54" t="n">
        <v>4600054036</v>
      </c>
      <c r="D54" t="n">
        <v>30</v>
      </c>
      <c r="E54" t="inlineStr">
        <is>
          <t>MXPO</t>
        </is>
      </c>
      <c r="F54" t="inlineStr">
        <is>
          <t>MXL</t>
        </is>
      </c>
      <c r="G54" t="n">
        <v>900007603</v>
      </c>
      <c r="H54" t="inlineStr">
        <is>
          <t>SF TC-FRISO CONSMIN TAB</t>
        </is>
      </c>
      <c r="I54" t="n">
        <v>5083592</v>
      </c>
      <c r="J54" t="inlineStr">
        <is>
          <t>FRISO CONSMIN SA DE CV</t>
        </is>
      </c>
      <c r="K54" t="inlineStr">
        <is>
          <t>N45</t>
        </is>
      </c>
      <c r="L54" t="inlineStr">
        <is>
          <t>(AP) NAFIN 45 Dias</t>
        </is>
      </c>
      <c r="M54" t="n">
        <v>10000373</v>
      </c>
      <c r="N54" t="inlineStr">
        <is>
          <t>Grava Triturada Caliza 13 mm - 1/2"</t>
        </is>
      </c>
      <c r="O54" t="inlineStr">
        <is>
          <t>DW55</t>
        </is>
      </c>
      <c r="P54" t="inlineStr">
        <is>
          <t>MX-CED. TABASCO</t>
        </is>
      </c>
      <c r="Q54" t="n">
        <v>20220301</v>
      </c>
      <c r="R54" t="n">
        <v>20291231</v>
      </c>
      <c r="U54" t="n">
        <v>0</v>
      </c>
      <c r="V54" t="inlineStr">
        <is>
          <t>MXN</t>
        </is>
      </c>
      <c r="W54" t="inlineStr">
        <is>
          <t>M3</t>
        </is>
      </c>
      <c r="AC54" t="n">
        <v>56103637</v>
      </c>
      <c r="AD54" t="n">
        <v>6644041540</v>
      </c>
      <c r="AE54" t="n">
        <v>1</v>
      </c>
      <c r="AF54" t="inlineStr">
        <is>
          <t>ENTREGADO</t>
        </is>
      </c>
      <c r="AG54" t="n">
        <v>1.395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20260422</v>
      </c>
      <c r="AM54" t="inlineStr">
        <is>
          <t>DW55-900007603-10000373</t>
        </is>
      </c>
    </row>
    <row r="55">
      <c r="A55" t="inlineStr">
        <is>
          <t>900005011DW55D32510023592</t>
        </is>
      </c>
      <c r="B55" t="inlineStr">
        <is>
          <t>4600050926-10</t>
        </is>
      </c>
      <c r="C55" t="n">
        <v>4600050926</v>
      </c>
      <c r="D55" t="n">
        <v>10</v>
      </c>
      <c r="E55" t="inlineStr">
        <is>
          <t>MXPO</t>
        </is>
      </c>
      <c r="F55" t="inlineStr">
        <is>
          <t>MXL</t>
        </is>
      </c>
      <c r="G55" t="n">
        <v>900005011</v>
      </c>
      <c r="H55" t="inlineStr">
        <is>
          <t>TC-ED COCOSA</t>
        </is>
      </c>
      <c r="I55" t="n">
        <v>5065980</v>
      </c>
      <c r="J55" t="inlineStr">
        <is>
          <t>CONSORCIO CONSTRUCTOR Y</t>
        </is>
      </c>
      <c r="K55" t="inlineStr">
        <is>
          <t>N90</t>
        </is>
      </c>
      <c r="L55" t="inlineStr">
        <is>
          <t>(AP) NAFIN 90 Dias</t>
        </is>
      </c>
      <c r="M55" t="n">
        <v>10023592</v>
      </c>
      <c r="N55" t="inlineStr">
        <is>
          <t>Arena Triturada Caliza Malla 4</t>
        </is>
      </c>
      <c r="O55" t="inlineStr">
        <is>
          <t>DW55</t>
        </is>
      </c>
      <c r="P55" t="inlineStr">
        <is>
          <t>MX-CED. TABASCO</t>
        </is>
      </c>
      <c r="Q55" t="n">
        <v>20210712</v>
      </c>
      <c r="R55" t="n">
        <v>20271231</v>
      </c>
      <c r="S55" t="n">
        <v>20220504</v>
      </c>
      <c r="T55" t="n">
        <v>20271231</v>
      </c>
      <c r="U55" t="n">
        <v>351.25</v>
      </c>
      <c r="V55" t="inlineStr">
        <is>
          <t>MXN</t>
        </is>
      </c>
      <c r="W55" t="inlineStr">
        <is>
          <t>M3</t>
        </is>
      </c>
      <c r="X55" t="n">
        <v>199.82</v>
      </c>
      <c r="Y55" t="inlineStr">
        <is>
          <t>MXN</t>
        </is>
      </c>
      <c r="Z55" t="inlineStr">
        <is>
          <t>M3</t>
        </is>
      </c>
      <c r="AA55" t="inlineStr">
        <is>
          <t>D325</t>
        </is>
      </c>
      <c r="AB55" t="inlineStr">
        <is>
          <t>PD0402 PALENQUE II</t>
        </is>
      </c>
      <c r="AC55" t="n">
        <v>56103638</v>
      </c>
      <c r="AD55" t="n">
        <v>6644041540</v>
      </c>
      <c r="AE55" t="n">
        <v>4</v>
      </c>
      <c r="AF55" t="inlineStr">
        <is>
          <t>ENTREGA DIRECTA</t>
        </is>
      </c>
      <c r="AG55" t="n">
        <v>1.356</v>
      </c>
      <c r="AH55" t="inlineStr">
        <is>
          <t>M3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20230920</v>
      </c>
      <c r="AM55" t="inlineStr">
        <is>
          <t>DW55-900005011-D325-10023592-4</t>
        </is>
      </c>
    </row>
    <row r="56">
      <c r="A56" t="inlineStr">
        <is>
          <t>900005011DW55D32510000372</t>
        </is>
      </c>
      <c r="B56" t="inlineStr">
        <is>
          <t>4600050926-30</t>
        </is>
      </c>
      <c r="C56" t="n">
        <v>4600050926</v>
      </c>
      <c r="D56" t="n">
        <v>30</v>
      </c>
      <c r="E56" t="inlineStr">
        <is>
          <t>MXPO</t>
        </is>
      </c>
      <c r="F56" t="inlineStr">
        <is>
          <t>MXL</t>
        </is>
      </c>
      <c r="G56" t="n">
        <v>900005011</v>
      </c>
      <c r="H56" t="inlineStr">
        <is>
          <t>TC-ED COCOSA</t>
        </is>
      </c>
      <c r="I56" t="n">
        <v>5065980</v>
      </c>
      <c r="J56" t="inlineStr">
        <is>
          <t>CONSORCIO CONSTRUCTOR Y</t>
        </is>
      </c>
      <c r="K56" t="inlineStr">
        <is>
          <t>N90</t>
        </is>
      </c>
      <c r="L56" t="inlineStr">
        <is>
          <t>(AP) NAFIN 90 Dias</t>
        </is>
      </c>
      <c r="M56" t="n">
        <v>10000372</v>
      </c>
      <c r="N56" t="inlineStr">
        <is>
          <t>Grava Triturada Caliza 20 mm - 3/4"</t>
        </is>
      </c>
      <c r="O56" t="inlineStr">
        <is>
          <t>DW55</t>
        </is>
      </c>
      <c r="P56" t="inlineStr">
        <is>
          <t>MX-CED. TABASCO</t>
        </is>
      </c>
      <c r="Q56" t="n">
        <v>20210712</v>
      </c>
      <c r="R56" t="n">
        <v>20271231</v>
      </c>
      <c r="S56" t="n">
        <v>20220504</v>
      </c>
      <c r="T56" t="n">
        <v>20271231</v>
      </c>
      <c r="U56" t="n">
        <v>379.82</v>
      </c>
      <c r="V56" t="inlineStr">
        <is>
          <t>MXN</t>
        </is>
      </c>
      <c r="W56" t="inlineStr">
        <is>
          <t>M3</t>
        </is>
      </c>
      <c r="X56" t="n">
        <v>199.82</v>
      </c>
      <c r="Y56" t="inlineStr">
        <is>
          <t>MXN</t>
        </is>
      </c>
      <c r="Z56" t="inlineStr">
        <is>
          <t>M3</t>
        </is>
      </c>
      <c r="AA56" t="inlineStr">
        <is>
          <t>D325</t>
        </is>
      </c>
      <c r="AB56" t="inlineStr">
        <is>
          <t>PD0402 PALENQUE II</t>
        </is>
      </c>
      <c r="AC56" t="n">
        <v>56103637</v>
      </c>
      <c r="AD56" t="n">
        <v>6644041540</v>
      </c>
      <c r="AE56" t="n">
        <v>4</v>
      </c>
      <c r="AF56" t="inlineStr">
        <is>
          <t>ENTREGA DIRECTA</t>
        </is>
      </c>
      <c r="AG56" t="n">
        <v>1.448</v>
      </c>
      <c r="AH56" t="inlineStr">
        <is>
          <t>M3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20230920</v>
      </c>
      <c r="AM56" t="inlineStr">
        <is>
          <t>DW55-900005011-D325-10000372-4</t>
        </is>
      </c>
    </row>
    <row r="57">
      <c r="A57" t="inlineStr">
        <is>
          <t>900009308DW5510000623</t>
        </is>
      </c>
      <c r="B57" t="inlineStr">
        <is>
          <t>4600071596-10</t>
        </is>
      </c>
      <c r="C57" t="n">
        <v>4600071596</v>
      </c>
      <c r="D57" t="n">
        <v>10</v>
      </c>
      <c r="E57" t="inlineStr">
        <is>
          <t>MXPO</t>
        </is>
      </c>
      <c r="F57" t="inlineStr">
        <is>
          <t>MXL</t>
        </is>
      </c>
      <c r="G57" t="n">
        <v>900009308</v>
      </c>
      <c r="H57" t="inlineStr">
        <is>
          <t>SF TC FRISO STONE</t>
        </is>
      </c>
      <c r="I57" t="n">
        <v>5096328</v>
      </c>
      <c r="J57" t="inlineStr">
        <is>
          <t>FRISO STONE SCP DE B Y S RL DE CV</t>
        </is>
      </c>
      <c r="K57" t="inlineStr">
        <is>
          <t>N90</t>
        </is>
      </c>
      <c r="L57" t="inlineStr">
        <is>
          <t>(AP) NAFIN 90 Dias</t>
        </is>
      </c>
      <c r="M57" t="n">
        <v>10000623</v>
      </c>
      <c r="N57" t="inlineStr">
        <is>
          <t>Grava Triturada Caliza 10 mm - 3/8"</t>
        </is>
      </c>
      <c r="O57" t="inlineStr">
        <is>
          <t>DW55</t>
        </is>
      </c>
      <c r="P57" t="inlineStr">
        <is>
          <t>MX-CED. TABASCO</t>
        </is>
      </c>
      <c r="Q57" t="n">
        <v>20250822</v>
      </c>
      <c r="R57" t="n">
        <v>20301231</v>
      </c>
      <c r="S57" t="n">
        <v>20250822</v>
      </c>
      <c r="T57" t="n">
        <v>20301231</v>
      </c>
      <c r="U57" t="n">
        <v>420</v>
      </c>
      <c r="V57" t="inlineStr">
        <is>
          <t>MXN</t>
        </is>
      </c>
      <c r="W57" t="inlineStr">
        <is>
          <t>M3</t>
        </is>
      </c>
      <c r="X57" t="n">
        <v>0</v>
      </c>
      <c r="Y57" t="inlineStr">
        <is>
          <t>MXN</t>
        </is>
      </c>
      <c r="Z57" t="inlineStr">
        <is>
          <t>M3</t>
        </is>
      </c>
      <c r="AC57" t="n">
        <v>56103637</v>
      </c>
      <c r="AD57" t="n">
        <v>6644041540</v>
      </c>
      <c r="AE57" t="n">
        <v>1</v>
      </c>
      <c r="AF57" t="inlineStr">
        <is>
          <t>ENTREGADO</t>
        </is>
      </c>
      <c r="AG57" t="n">
        <v>1.41</v>
      </c>
      <c r="AH57" t="inlineStr">
        <is>
          <t>M3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20250828</v>
      </c>
      <c r="AM57" t="inlineStr">
        <is>
          <t>DW55-900009308-10000623</t>
        </is>
      </c>
    </row>
    <row r="58">
      <c r="A58" t="inlineStr">
        <is>
          <t>900007604DW55D28410123034</t>
        </is>
      </c>
      <c r="B58" t="inlineStr">
        <is>
          <t>4600054544-70</t>
        </is>
      </c>
      <c r="C58" t="n">
        <v>4600054544</v>
      </c>
      <c r="D58" t="n">
        <v>70</v>
      </c>
      <c r="E58" t="inlineStr">
        <is>
          <t>MXPO</t>
        </is>
      </c>
      <c r="F58" t="inlineStr">
        <is>
          <t>MXL</t>
        </is>
      </c>
      <c r="G58" t="n">
        <v>900007604</v>
      </c>
      <c r="H58" t="inlineStr">
        <is>
          <t>SF TC-ED-FRISO CONSMIN TAB</t>
        </is>
      </c>
      <c r="I58" t="n">
        <v>5083592</v>
      </c>
      <c r="J58" t="inlineStr">
        <is>
          <t>FRISO CONSMIN SA DE CV</t>
        </is>
      </c>
      <c r="K58" t="inlineStr">
        <is>
          <t>N45</t>
        </is>
      </c>
      <c r="L58" t="inlineStr">
        <is>
          <t>(AP) NAFIN 45 Dias</t>
        </is>
      </c>
      <c r="M58" t="n">
        <v>10123034</v>
      </c>
      <c r="N58" t="inlineStr">
        <is>
          <t>ARENA TRITURADA CALIZA MALLA 4</t>
        </is>
      </c>
      <c r="O58" t="inlineStr">
        <is>
          <t>DW55</t>
        </is>
      </c>
      <c r="P58" t="inlineStr">
        <is>
          <t>MX-CED. TABASCO</t>
        </is>
      </c>
      <c r="Q58" t="n">
        <v>20220715</v>
      </c>
      <c r="R58" t="n">
        <v>20271231</v>
      </c>
      <c r="U58" t="n">
        <v>0</v>
      </c>
      <c r="V58" t="inlineStr">
        <is>
          <t>MXN</t>
        </is>
      </c>
      <c r="W58" t="inlineStr">
        <is>
          <t>M3</t>
        </is>
      </c>
      <c r="AA58" t="inlineStr">
        <is>
          <t>D284</t>
        </is>
      </c>
      <c r="AB58" t="inlineStr">
        <is>
          <t>PD0183 VILLAHERMOSA</t>
        </is>
      </c>
      <c r="AC58" t="n">
        <v>56103638</v>
      </c>
      <c r="AD58" t="n">
        <v>6644041540</v>
      </c>
      <c r="AE58" t="n">
        <v>4</v>
      </c>
      <c r="AF58" t="inlineStr">
        <is>
          <t>ENTREGA DIRECTA</t>
        </is>
      </c>
      <c r="AG58" t="n">
        <v>1.528</v>
      </c>
      <c r="AH58" t="inlineStr">
        <is>
          <t>M3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20260422</v>
      </c>
      <c r="AM58" t="inlineStr">
        <is>
          <t>DW55-900007604-D284-10123034-4</t>
        </is>
      </c>
    </row>
    <row r="59">
      <c r="A59" t="inlineStr">
        <is>
          <t>900007052DW55D34210000372</t>
        </is>
      </c>
      <c r="B59" t="inlineStr">
        <is>
          <t>4600050996-200</t>
        </is>
      </c>
      <c r="C59" t="n">
        <v>4600050996</v>
      </c>
      <c r="D59" t="n">
        <v>200</v>
      </c>
      <c r="E59" t="inlineStr">
        <is>
          <t>MXPO</t>
        </is>
      </c>
      <c r="F59" t="inlineStr">
        <is>
          <t>MXL</t>
        </is>
      </c>
      <c r="G59" t="n">
        <v>900007052</v>
      </c>
      <c r="H59" t="inlineStr">
        <is>
          <t>SF TC-ED-SAMUEL CARRASCO</t>
        </is>
      </c>
      <c r="I59" t="n">
        <v>5080454</v>
      </c>
      <c r="J59" t="inlineStr">
        <is>
          <t>CARRASCO ALCUDIA SAMUEL</t>
        </is>
      </c>
      <c r="K59" t="inlineStr">
        <is>
          <t>N90</t>
        </is>
      </c>
      <c r="L59" t="inlineStr">
        <is>
          <t>(AP) NAFIN 90 Dias</t>
        </is>
      </c>
      <c r="M59" t="n">
        <v>10000372</v>
      </c>
      <c r="N59" t="inlineStr">
        <is>
          <t>Grava Triturada Caliza 20 mm - 3/4"</t>
        </is>
      </c>
      <c r="O59" t="inlineStr">
        <is>
          <t>DW55</t>
        </is>
      </c>
      <c r="P59" t="inlineStr">
        <is>
          <t>MX-CED. TABASCO</t>
        </is>
      </c>
      <c r="Q59" t="n">
        <v>20210712</v>
      </c>
      <c r="R59" t="n">
        <v>20281231</v>
      </c>
      <c r="S59" t="n">
        <v>20251020</v>
      </c>
      <c r="T59" t="n">
        <v>20301231</v>
      </c>
      <c r="U59" t="n">
        <v>610</v>
      </c>
      <c r="V59" t="inlineStr">
        <is>
          <t>MXN</t>
        </is>
      </c>
      <c r="W59" t="inlineStr">
        <is>
          <t>M3</t>
        </is>
      </c>
      <c r="X59" t="n">
        <v>390</v>
      </c>
      <c r="Y59" t="inlineStr">
        <is>
          <t>MXN</t>
        </is>
      </c>
      <c r="Z59" t="inlineStr">
        <is>
          <t>M3</t>
        </is>
      </c>
      <c r="AA59" t="inlineStr">
        <is>
          <t>D342</t>
        </is>
      </c>
      <c r="AB59" t="inlineStr">
        <is>
          <t>PD0268 SAMARIA II -PLANTA 2</t>
        </is>
      </c>
      <c r="AC59" t="n">
        <v>56103637</v>
      </c>
      <c r="AD59" t="n">
        <v>6644041540</v>
      </c>
      <c r="AE59" t="n">
        <v>4</v>
      </c>
      <c r="AF59" t="inlineStr">
        <is>
          <t>ENTREGA DIRECTA</t>
        </is>
      </c>
      <c r="AG59" t="n">
        <v>1.448</v>
      </c>
      <c r="AH59" t="inlineStr">
        <is>
          <t>M3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20251021</v>
      </c>
      <c r="AM59" t="inlineStr">
        <is>
          <t>DW55-900007052-D342-10000372-4</t>
        </is>
      </c>
    </row>
    <row r="60">
      <c r="A60" t="inlineStr">
        <is>
          <t>900007932DW55D32510023592</t>
        </is>
      </c>
      <c r="B60" t="inlineStr">
        <is>
          <t>4600055937-50</t>
        </is>
      </c>
      <c r="C60" t="n">
        <v>4600055937</v>
      </c>
      <c r="D60" t="n">
        <v>50</v>
      </c>
      <c r="E60" t="inlineStr">
        <is>
          <t>MXPO</t>
        </is>
      </c>
      <c r="F60" t="inlineStr">
        <is>
          <t>MXL</t>
        </is>
      </c>
      <c r="G60" t="n">
        <v>900007932</v>
      </c>
      <c r="H60" t="inlineStr">
        <is>
          <t>SF TC-ED-TRAPA</t>
        </is>
      </c>
      <c r="I60" t="n">
        <v>5087333</v>
      </c>
      <c r="J60" t="inlineStr">
        <is>
          <t>GARCIA MONTILLA VICTOR DAVID</t>
        </is>
      </c>
      <c r="K60" t="inlineStr">
        <is>
          <t>Z09</t>
        </is>
      </c>
      <c r="L60" t="inlineStr">
        <is>
          <t>(AP) 90 Dias</t>
        </is>
      </c>
      <c r="M60" t="n">
        <v>10023592</v>
      </c>
      <c r="N60" t="inlineStr">
        <is>
          <t>Arena Triturada Caliza Malla 4</t>
        </is>
      </c>
      <c r="O60" t="inlineStr">
        <is>
          <t>DW55</t>
        </is>
      </c>
      <c r="P60" t="inlineStr">
        <is>
          <t>MX-CED. TABASCO</t>
        </is>
      </c>
      <c r="Q60" t="n">
        <v>20221209</v>
      </c>
      <c r="R60" t="n">
        <v>20281231</v>
      </c>
      <c r="S60" t="n">
        <v>20240628</v>
      </c>
      <c r="T60" t="n">
        <v>20291231</v>
      </c>
      <c r="U60" t="n">
        <v>335</v>
      </c>
      <c r="V60" t="inlineStr">
        <is>
          <t>MXN</t>
        </is>
      </c>
      <c r="W60" t="inlineStr">
        <is>
          <t>M3</t>
        </is>
      </c>
      <c r="X60" t="n">
        <v>190</v>
      </c>
      <c r="Y60" t="inlineStr">
        <is>
          <t>MXN</t>
        </is>
      </c>
      <c r="Z60" t="inlineStr">
        <is>
          <t>M3</t>
        </is>
      </c>
      <c r="AA60" t="inlineStr">
        <is>
          <t>D325</t>
        </is>
      </c>
      <c r="AB60" t="inlineStr">
        <is>
          <t>PD0402 PALENQUE II</t>
        </is>
      </c>
      <c r="AC60" t="n">
        <v>56103638</v>
      </c>
      <c r="AD60" t="n">
        <v>6644041540</v>
      </c>
      <c r="AE60" t="n">
        <v>4</v>
      </c>
      <c r="AF60" t="inlineStr">
        <is>
          <t>ENTREGA DIRECTA</t>
        </is>
      </c>
      <c r="AG60" t="n">
        <v>1.356</v>
      </c>
      <c r="AH60" t="inlineStr">
        <is>
          <t>M3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20240703</v>
      </c>
      <c r="AM60" t="inlineStr">
        <is>
          <t>DW55-900007932-D325-10023592-4</t>
        </is>
      </c>
    </row>
    <row r="61">
      <c r="A61" t="inlineStr">
        <is>
          <t>900007932DW55D32510000372</t>
        </is>
      </c>
      <c r="B61" t="inlineStr">
        <is>
          <t>4600055937-40</t>
        </is>
      </c>
      <c r="C61" t="n">
        <v>4600055937</v>
      </c>
      <c r="D61" t="n">
        <v>40</v>
      </c>
      <c r="E61" t="inlineStr">
        <is>
          <t>MXPO</t>
        </is>
      </c>
      <c r="F61" t="inlineStr">
        <is>
          <t>MXL</t>
        </is>
      </c>
      <c r="G61" t="n">
        <v>900007932</v>
      </c>
      <c r="H61" t="inlineStr">
        <is>
          <t>SF TC-ED-TRAPA</t>
        </is>
      </c>
      <c r="I61" t="n">
        <v>5087333</v>
      </c>
      <c r="J61" t="inlineStr">
        <is>
          <t>GARCIA MONTILLA VICTOR DAVID</t>
        </is>
      </c>
      <c r="K61" t="inlineStr">
        <is>
          <t>Z09</t>
        </is>
      </c>
      <c r="L61" t="inlineStr">
        <is>
          <t>(AP) 90 Dias</t>
        </is>
      </c>
      <c r="M61" t="n">
        <v>10000372</v>
      </c>
      <c r="N61" t="inlineStr">
        <is>
          <t>Grava Triturada Caliza 20 mm - 3/4"</t>
        </is>
      </c>
      <c r="O61" t="inlineStr">
        <is>
          <t>DW55</t>
        </is>
      </c>
      <c r="P61" t="inlineStr">
        <is>
          <t>MX-CED. TABASCO</t>
        </is>
      </c>
      <c r="Q61" t="n">
        <v>20221209</v>
      </c>
      <c r="R61" t="n">
        <v>20281231</v>
      </c>
      <c r="S61" t="n">
        <v>20240628</v>
      </c>
      <c r="T61" t="n">
        <v>20291231</v>
      </c>
      <c r="U61" t="n">
        <v>400</v>
      </c>
      <c r="V61" t="inlineStr">
        <is>
          <t>MXN</t>
        </is>
      </c>
      <c r="W61" t="inlineStr">
        <is>
          <t>M3</t>
        </is>
      </c>
      <c r="X61" t="n">
        <v>170</v>
      </c>
      <c r="Y61" t="inlineStr">
        <is>
          <t>MXN</t>
        </is>
      </c>
      <c r="Z61" t="inlineStr">
        <is>
          <t>M3</t>
        </is>
      </c>
      <c r="AA61" t="inlineStr">
        <is>
          <t>D325</t>
        </is>
      </c>
      <c r="AB61" t="inlineStr">
        <is>
          <t>PD0402 PALENQUE II</t>
        </is>
      </c>
      <c r="AC61" t="n">
        <v>56103637</v>
      </c>
      <c r="AD61" t="n">
        <v>6644041540</v>
      </c>
      <c r="AE61" t="n">
        <v>4</v>
      </c>
      <c r="AF61" t="inlineStr">
        <is>
          <t>ENTREGA DIRECTA</t>
        </is>
      </c>
      <c r="AG61" t="n">
        <v>1.448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20240703</v>
      </c>
      <c r="AM61" t="inlineStr">
        <is>
          <t>DW55-900007932-D325-10000372-4</t>
        </is>
      </c>
    </row>
    <row r="62">
      <c r="A62" t="inlineStr">
        <is>
          <t>900003929DW5510000372</t>
        </is>
      </c>
      <c r="B62" t="inlineStr">
        <is>
          <t>4600072066-10</t>
        </is>
      </c>
      <c r="C62" t="n">
        <v>4600072066</v>
      </c>
      <c r="D62" t="n">
        <v>10</v>
      </c>
      <c r="E62" t="inlineStr">
        <is>
          <t>MXPO</t>
        </is>
      </c>
      <c r="F62" t="inlineStr">
        <is>
          <t>MXL</t>
        </is>
      </c>
      <c r="G62" t="n">
        <v>900003929</v>
      </c>
      <c r="H62" t="inlineStr">
        <is>
          <t>TC-CATAB</t>
        </is>
      </c>
      <c r="I62" t="n">
        <v>5051216</v>
      </c>
      <c r="J62" t="inlineStr">
        <is>
          <t>COMERCIALIZADORA DE AGREGADOS TABAS</t>
        </is>
      </c>
      <c r="K62" t="inlineStr">
        <is>
          <t>N60</t>
        </is>
      </c>
      <c r="L62" t="inlineStr">
        <is>
          <t>(AP) NAFIN 60 Dias</t>
        </is>
      </c>
      <c r="M62" t="n">
        <v>10000372</v>
      </c>
      <c r="N62" t="inlineStr">
        <is>
          <t>Grava Triturada Caliza 20 mm - 3/4"</t>
        </is>
      </c>
      <c r="O62" t="inlineStr">
        <is>
          <t>DW55</t>
        </is>
      </c>
      <c r="P62" t="inlineStr">
        <is>
          <t>MX-CED. TABASCO</t>
        </is>
      </c>
      <c r="Q62" t="n">
        <v>20260312</v>
      </c>
      <c r="R62" t="n">
        <v>20301231</v>
      </c>
      <c r="S62" t="n">
        <v>20260312</v>
      </c>
      <c r="T62" t="n">
        <v>20301231</v>
      </c>
      <c r="U62" t="n">
        <v>323.28</v>
      </c>
      <c r="V62" t="inlineStr">
        <is>
          <t>MXN</t>
        </is>
      </c>
      <c r="W62" t="inlineStr">
        <is>
          <t>M3</t>
        </is>
      </c>
      <c r="X62" t="n">
        <v>0</v>
      </c>
      <c r="Y62" t="inlineStr">
        <is>
          <t>MXN</t>
        </is>
      </c>
      <c r="Z62" t="inlineStr">
        <is>
          <t>M3</t>
        </is>
      </c>
      <c r="AC62" t="n">
        <v>56103637</v>
      </c>
      <c r="AD62" t="n">
        <v>6644041540</v>
      </c>
      <c r="AE62" t="n">
        <v>1</v>
      </c>
      <c r="AF62" t="inlineStr">
        <is>
          <t>ENTREGADO</t>
        </is>
      </c>
      <c r="AG62" t="n">
        <v>1.448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20260313</v>
      </c>
      <c r="AM62" t="inlineStr">
        <is>
          <t>DW55-900003929-10000372</t>
        </is>
      </c>
    </row>
    <row r="63">
      <c r="A63" t="inlineStr">
        <is>
          <t>900007800DW55D28410000541</t>
        </is>
      </c>
      <c r="B63" t="inlineStr">
        <is>
          <t>4600068861-30</t>
        </is>
      </c>
      <c r="C63" t="n">
        <v>4600068861</v>
      </c>
      <c r="D63" t="n">
        <v>30</v>
      </c>
      <c r="E63" t="inlineStr">
        <is>
          <t>MXPO</t>
        </is>
      </c>
      <c r="F63" t="inlineStr">
        <is>
          <t>MXL</t>
        </is>
      </c>
      <c r="G63" t="n">
        <v>900007800</v>
      </c>
      <c r="H63" t="inlineStr">
        <is>
          <t>SF TC-ED-CLAKAR</t>
        </is>
      </c>
      <c r="I63" t="n">
        <v>5086783</v>
      </c>
      <c r="J63" t="inlineStr">
        <is>
          <t>CLA KAR COMPAÑIA DEL SURESTE SA DE</t>
        </is>
      </c>
      <c r="K63" t="inlineStr">
        <is>
          <t>N30</t>
        </is>
      </c>
      <c r="L63" t="inlineStr">
        <is>
          <t>(AP) NAFIN 30 Dias</t>
        </is>
      </c>
      <c r="M63" t="n">
        <v>10000541</v>
      </c>
      <c r="N63" t="inlineStr">
        <is>
          <t>Grava Clasificada Río 10 mm - 3/8"</t>
        </is>
      </c>
      <c r="O63" t="inlineStr">
        <is>
          <t>DW55</t>
        </is>
      </c>
      <c r="P63" t="inlineStr">
        <is>
          <t>MX-CED. TABASCO</t>
        </is>
      </c>
      <c r="Q63" t="n">
        <v>20231201</v>
      </c>
      <c r="R63" t="n">
        <v>20291231</v>
      </c>
      <c r="S63" t="n">
        <v>20240705</v>
      </c>
      <c r="T63" t="n">
        <v>20250627</v>
      </c>
      <c r="U63" t="n">
        <v>800</v>
      </c>
      <c r="V63" t="inlineStr">
        <is>
          <t>MXN</t>
        </is>
      </c>
      <c r="W63" t="inlineStr">
        <is>
          <t>M3</t>
        </is>
      </c>
      <c r="X63" t="n">
        <v>500</v>
      </c>
      <c r="Y63" t="inlineStr">
        <is>
          <t>MXN</t>
        </is>
      </c>
      <c r="Z63" t="inlineStr">
        <is>
          <t>M3</t>
        </is>
      </c>
      <c r="AA63" t="inlineStr">
        <is>
          <t>D284</t>
        </is>
      </c>
      <c r="AB63" t="inlineStr">
        <is>
          <t>PD0183 VILLAHERMOSA</t>
        </is>
      </c>
      <c r="AC63" t="n">
        <v>56103637</v>
      </c>
      <c r="AD63" t="n">
        <v>6644041540</v>
      </c>
      <c r="AE63" t="n">
        <v>4</v>
      </c>
      <c r="AF63" t="inlineStr">
        <is>
          <t>ENTREGA DIRECTA</t>
        </is>
      </c>
      <c r="AG63" t="n">
        <v>1.528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20240705</v>
      </c>
      <c r="AM63" t="inlineStr">
        <is>
          <t>DW55-900007800-D284-10000541-4</t>
        </is>
      </c>
    </row>
    <row r="64">
      <c r="A64" t="inlineStr">
        <is>
          <t>900007304DW55D28410000372</t>
        </is>
      </c>
      <c r="B64" t="inlineStr">
        <is>
          <t>4600053181-200</t>
        </is>
      </c>
      <c r="C64" t="n">
        <v>4600053181</v>
      </c>
      <c r="D64" t="n">
        <v>200</v>
      </c>
      <c r="E64" t="inlineStr">
        <is>
          <t>MXPO</t>
        </is>
      </c>
      <c r="F64" t="inlineStr">
        <is>
          <t>MXL</t>
        </is>
      </c>
      <c r="G64" t="n">
        <v>900007304</v>
      </c>
      <c r="H64" t="inlineStr">
        <is>
          <t>SF TC-ED-ALFONSO ESPADAS</t>
        </is>
      </c>
      <c r="I64" t="n">
        <v>5079231</v>
      </c>
      <c r="J64" t="inlineStr">
        <is>
          <t>ESPADAS HERNANDEZ ALFONSO</t>
        </is>
      </c>
      <c r="K64" t="inlineStr">
        <is>
          <t>N90</t>
        </is>
      </c>
      <c r="L64" t="inlineStr">
        <is>
          <t>(AP) NAFIN 90 Dias</t>
        </is>
      </c>
      <c r="M64" t="n">
        <v>10000372</v>
      </c>
      <c r="N64" t="inlineStr">
        <is>
          <t>Grava Triturada Caliza 20 mm - 3/4"</t>
        </is>
      </c>
      <c r="O64" t="inlineStr">
        <is>
          <t>DW55</t>
        </is>
      </c>
      <c r="P64" t="inlineStr">
        <is>
          <t>MX-CED. TABASCO</t>
        </is>
      </c>
      <c r="Q64" t="n">
        <v>20220214</v>
      </c>
      <c r="R64" t="n">
        <v>20281231</v>
      </c>
      <c r="S64" t="n">
        <v>20250129</v>
      </c>
      <c r="T64" t="n">
        <v>20301231</v>
      </c>
      <c r="U64" t="n">
        <v>450</v>
      </c>
      <c r="V64" t="inlineStr">
        <is>
          <t>MXN</t>
        </is>
      </c>
      <c r="W64" t="inlineStr">
        <is>
          <t>M3</t>
        </is>
      </c>
      <c r="X64" t="n">
        <v>160</v>
      </c>
      <c r="Y64" t="inlineStr">
        <is>
          <t>MXN</t>
        </is>
      </c>
      <c r="Z64" t="inlineStr">
        <is>
          <t>M3</t>
        </is>
      </c>
      <c r="AA64" t="inlineStr">
        <is>
          <t>D284</t>
        </is>
      </c>
      <c r="AB64" t="inlineStr">
        <is>
          <t>PD0183 VILLAHERMOSA</t>
        </is>
      </c>
      <c r="AC64" t="n">
        <v>56103637</v>
      </c>
      <c r="AD64" t="n">
        <v>6644041540</v>
      </c>
      <c r="AE64" t="n">
        <v>4</v>
      </c>
      <c r="AF64" t="inlineStr">
        <is>
          <t>ENTREGA DIRECTA</t>
        </is>
      </c>
      <c r="AG64" t="n">
        <v>1.448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20250131</v>
      </c>
      <c r="AM64" t="inlineStr">
        <is>
          <t>DW55-900007304-D284-10000372-4</t>
        </is>
      </c>
    </row>
    <row r="65">
      <c r="A65" t="inlineStr">
        <is>
          <t>900008972DW55D28410000541</t>
        </is>
      </c>
      <c r="B65" t="inlineStr">
        <is>
          <t>4600070481-10</t>
        </is>
      </c>
      <c r="C65" t="n">
        <v>4600070481</v>
      </c>
      <c r="D65" t="n">
        <v>10</v>
      </c>
      <c r="E65" t="inlineStr">
        <is>
          <t>MXPO</t>
        </is>
      </c>
      <c r="F65" t="inlineStr">
        <is>
          <t>MXL</t>
        </is>
      </c>
      <c r="G65" t="n">
        <v>900008972</v>
      </c>
      <c r="H65" t="inlineStr">
        <is>
          <t>SF TC-ED MGM HATO</t>
        </is>
      </c>
      <c r="I65" t="n">
        <v>5093910</v>
      </c>
      <c r="J65" t="inlineStr">
        <is>
          <t>GUTIERREZ MARTINEZ MAYEL</t>
        </is>
      </c>
      <c r="K65" t="inlineStr">
        <is>
          <t>N90</t>
        </is>
      </c>
      <c r="L65" t="inlineStr">
        <is>
          <t>(AP) NAFIN 90 Dias</t>
        </is>
      </c>
      <c r="M65" t="n">
        <v>10000541</v>
      </c>
      <c r="N65" t="inlineStr">
        <is>
          <t>Grava Clasificada Río 10 mm - 3/8"</t>
        </is>
      </c>
      <c r="O65" t="inlineStr">
        <is>
          <t>DW55</t>
        </is>
      </c>
      <c r="P65" t="inlineStr">
        <is>
          <t>MX-CED. TABASCO</t>
        </is>
      </c>
      <c r="Q65" t="n">
        <v>20241030</v>
      </c>
      <c r="R65" t="n">
        <v>20291231</v>
      </c>
      <c r="S65" t="n">
        <v>20241030</v>
      </c>
      <c r="T65" t="n">
        <v>20291231</v>
      </c>
      <c r="U65" t="n">
        <v>700</v>
      </c>
      <c r="V65" t="inlineStr">
        <is>
          <t>MXN</t>
        </is>
      </c>
      <c r="W65" t="inlineStr">
        <is>
          <t>M3</t>
        </is>
      </c>
      <c r="X65" t="n">
        <v>410</v>
      </c>
      <c r="Y65" t="inlineStr">
        <is>
          <t>MXN</t>
        </is>
      </c>
      <c r="Z65" t="inlineStr">
        <is>
          <t>M3</t>
        </is>
      </c>
      <c r="AA65" t="inlineStr">
        <is>
          <t>D284</t>
        </is>
      </c>
      <c r="AB65" t="inlineStr">
        <is>
          <t>PD0183 VILLAHERMOSA</t>
        </is>
      </c>
      <c r="AC65" t="n">
        <v>56103637</v>
      </c>
      <c r="AD65" t="n">
        <v>6644041540</v>
      </c>
      <c r="AE65" t="n">
        <v>4</v>
      </c>
      <c r="AF65" t="inlineStr">
        <is>
          <t>ENTREGA DIRECTA</t>
        </is>
      </c>
      <c r="AG65" t="n">
        <v>1.528</v>
      </c>
      <c r="AH65" t="inlineStr">
        <is>
          <t>M3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20241031</v>
      </c>
      <c r="AM65" t="inlineStr">
        <is>
          <t>DW55-900008972-D284-10000541-4</t>
        </is>
      </c>
    </row>
    <row r="66">
      <c r="A66" t="inlineStr">
        <is>
          <t>900008972DW55D32510000541</t>
        </is>
      </c>
      <c r="B66" t="inlineStr">
        <is>
          <t>4600070481-30</t>
        </is>
      </c>
      <c r="C66" t="n">
        <v>4600070481</v>
      </c>
      <c r="D66" t="n">
        <v>30</v>
      </c>
      <c r="E66" t="inlineStr">
        <is>
          <t>MXPO</t>
        </is>
      </c>
      <c r="F66" t="inlineStr">
        <is>
          <t>MXL</t>
        </is>
      </c>
      <c r="G66" t="n">
        <v>900008972</v>
      </c>
      <c r="H66" t="inlineStr">
        <is>
          <t>SF TC-ED MGM HATO</t>
        </is>
      </c>
      <c r="I66" t="n">
        <v>5093910</v>
      </c>
      <c r="J66" t="inlineStr">
        <is>
          <t>GUTIERREZ MARTINEZ MAYEL</t>
        </is>
      </c>
      <c r="K66" t="inlineStr">
        <is>
          <t>N90</t>
        </is>
      </c>
      <c r="L66" t="inlineStr">
        <is>
          <t>(AP) NAFIN 90 Dias</t>
        </is>
      </c>
      <c r="M66" t="n">
        <v>10000541</v>
      </c>
      <c r="N66" t="inlineStr">
        <is>
          <t>Grava Clasificada Río 10 mm - 3/8"</t>
        </is>
      </c>
      <c r="O66" t="inlineStr">
        <is>
          <t>DW55</t>
        </is>
      </c>
      <c r="P66" t="inlineStr">
        <is>
          <t>MX-CED. TABASCO</t>
        </is>
      </c>
      <c r="Q66" t="n">
        <v>20241030</v>
      </c>
      <c r="R66" t="n">
        <v>20291231</v>
      </c>
      <c r="S66" t="n">
        <v>20241030</v>
      </c>
      <c r="T66" t="n">
        <v>20291231</v>
      </c>
      <c r="U66" t="n">
        <v>945</v>
      </c>
      <c r="V66" t="inlineStr">
        <is>
          <t>MXN</t>
        </is>
      </c>
      <c r="W66" t="inlineStr">
        <is>
          <t>M3</t>
        </is>
      </c>
      <c r="X66" t="n">
        <v>655</v>
      </c>
      <c r="Y66" t="inlineStr">
        <is>
          <t>MXN</t>
        </is>
      </c>
      <c r="Z66" t="inlineStr">
        <is>
          <t>M3</t>
        </is>
      </c>
      <c r="AA66" t="inlineStr">
        <is>
          <t>D325</t>
        </is>
      </c>
      <c r="AB66" t="inlineStr">
        <is>
          <t>PD0402 PALENQUE II</t>
        </is>
      </c>
      <c r="AC66" t="n">
        <v>56103637</v>
      </c>
      <c r="AD66" t="n">
        <v>6644041540</v>
      </c>
      <c r="AE66" t="n">
        <v>4</v>
      </c>
      <c r="AF66" t="inlineStr">
        <is>
          <t>ENTREGA DIRECTA</t>
        </is>
      </c>
      <c r="AG66" t="n">
        <v>1.528</v>
      </c>
      <c r="AH66" t="inlineStr">
        <is>
          <t>M3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20241031</v>
      </c>
      <c r="AM66" t="inlineStr">
        <is>
          <t>DW55-900008972-D325-10000541-4</t>
        </is>
      </c>
    </row>
    <row r="67">
      <c r="A67" t="inlineStr">
        <is>
          <t>900007800DW55D32510000541</t>
        </is>
      </c>
      <c r="B67" t="inlineStr">
        <is>
          <t>4600068861-10</t>
        </is>
      </c>
      <c r="C67" t="n">
        <v>4600068861</v>
      </c>
      <c r="D67" t="n">
        <v>10</v>
      </c>
      <c r="E67" t="inlineStr">
        <is>
          <t>MXPO</t>
        </is>
      </c>
      <c r="F67" t="inlineStr">
        <is>
          <t>MXL</t>
        </is>
      </c>
      <c r="G67" t="n">
        <v>900007800</v>
      </c>
      <c r="H67" t="inlineStr">
        <is>
          <t>SF TC-ED-CLAKAR</t>
        </is>
      </c>
      <c r="I67" t="n">
        <v>5086783</v>
      </c>
      <c r="J67" t="inlineStr">
        <is>
          <t>CLA KAR COMPAÑIA DEL SURESTE SA DE</t>
        </is>
      </c>
      <c r="K67" t="inlineStr">
        <is>
          <t>N30</t>
        </is>
      </c>
      <c r="L67" t="inlineStr">
        <is>
          <t>(AP) NAFIN 30 Dias</t>
        </is>
      </c>
      <c r="M67" t="n">
        <v>10000541</v>
      </c>
      <c r="N67" t="inlineStr">
        <is>
          <t>Grava Clasificada Río 10 mm - 3/8"</t>
        </is>
      </c>
      <c r="O67" t="inlineStr">
        <is>
          <t>DW55</t>
        </is>
      </c>
      <c r="P67" t="inlineStr">
        <is>
          <t>MX-CED. TABASCO</t>
        </is>
      </c>
      <c r="Q67" t="n">
        <v>20231201</v>
      </c>
      <c r="R67" t="n">
        <v>20291231</v>
      </c>
      <c r="S67" t="n">
        <v>20231201</v>
      </c>
      <c r="T67" t="n">
        <v>20281231</v>
      </c>
      <c r="U67" t="n">
        <v>1700</v>
      </c>
      <c r="V67" t="inlineStr">
        <is>
          <t>MXN</t>
        </is>
      </c>
      <c r="W67" t="inlineStr">
        <is>
          <t>M3</t>
        </is>
      </c>
      <c r="X67" t="n">
        <v>1400</v>
      </c>
      <c r="Y67" t="inlineStr">
        <is>
          <t>MXN</t>
        </is>
      </c>
      <c r="Z67" t="inlineStr">
        <is>
          <t>M3</t>
        </is>
      </c>
      <c r="AA67" t="inlineStr">
        <is>
          <t>D325</t>
        </is>
      </c>
      <c r="AB67" t="inlineStr">
        <is>
          <t>PD0402 PALENQUE II</t>
        </is>
      </c>
      <c r="AC67" t="n">
        <v>56103637</v>
      </c>
      <c r="AD67" t="n">
        <v>6644041540</v>
      </c>
      <c r="AE67" t="n">
        <v>4</v>
      </c>
      <c r="AF67" t="inlineStr">
        <is>
          <t>ENTREGA DIRECTA</t>
        </is>
      </c>
      <c r="AG67" t="n">
        <v>1.528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20231205</v>
      </c>
      <c r="AM67" t="inlineStr">
        <is>
          <t>DW55-900007800-D325-10000541-4</t>
        </is>
      </c>
    </row>
    <row r="68">
      <c r="A68" t="inlineStr">
        <is>
          <t>900008972DW55D30910000541</t>
        </is>
      </c>
      <c r="B68" t="inlineStr">
        <is>
          <t>4600070481-20</t>
        </is>
      </c>
      <c r="C68" t="n">
        <v>4600070481</v>
      </c>
      <c r="D68" t="n">
        <v>20</v>
      </c>
      <c r="E68" t="inlineStr">
        <is>
          <t>MXPO</t>
        </is>
      </c>
      <c r="F68" t="inlineStr">
        <is>
          <t>MXL</t>
        </is>
      </c>
      <c r="G68" t="n">
        <v>900008972</v>
      </c>
      <c r="H68" t="inlineStr">
        <is>
          <t>SF TC-ED MGM HATO</t>
        </is>
      </c>
      <c r="I68" t="n">
        <v>5093910</v>
      </c>
      <c r="J68" t="inlineStr">
        <is>
          <t>GUTIERREZ MARTINEZ MAYEL</t>
        </is>
      </c>
      <c r="K68" t="inlineStr">
        <is>
          <t>N90</t>
        </is>
      </c>
      <c r="L68" t="inlineStr">
        <is>
          <t>(AP) NAFIN 90 Dias</t>
        </is>
      </c>
      <c r="M68" t="n">
        <v>10000541</v>
      </c>
      <c r="N68" t="inlineStr">
        <is>
          <t>Grava Clasificada Río 10 mm - 3/8"</t>
        </is>
      </c>
      <c r="O68" t="inlineStr">
        <is>
          <t>DW55</t>
        </is>
      </c>
      <c r="P68" t="inlineStr">
        <is>
          <t>MX-CED. TABASCO</t>
        </is>
      </c>
      <c r="Q68" t="n">
        <v>20241030</v>
      </c>
      <c r="R68" t="n">
        <v>20291231</v>
      </c>
      <c r="S68" t="n">
        <v>20241030</v>
      </c>
      <c r="T68" t="n">
        <v>20291231</v>
      </c>
      <c r="U68" t="n">
        <v>700</v>
      </c>
      <c r="V68" t="inlineStr">
        <is>
          <t>MXN</t>
        </is>
      </c>
      <c r="W68" t="inlineStr">
        <is>
          <t>M3</t>
        </is>
      </c>
      <c r="X68" t="n">
        <v>410</v>
      </c>
      <c r="Y68" t="inlineStr">
        <is>
          <t>MXN</t>
        </is>
      </c>
      <c r="Z68" t="inlineStr">
        <is>
          <t>M3</t>
        </is>
      </c>
      <c r="AA68" t="inlineStr">
        <is>
          <t>D309</t>
        </is>
      </c>
      <c r="AB68" t="inlineStr">
        <is>
          <t>PD0477 CARDENAS</t>
        </is>
      </c>
      <c r="AC68" t="n">
        <v>56103637</v>
      </c>
      <c r="AD68" t="n">
        <v>6644041540</v>
      </c>
      <c r="AE68" t="n">
        <v>4</v>
      </c>
      <c r="AF68" t="inlineStr">
        <is>
          <t>ENTREGA DIRECTA</t>
        </is>
      </c>
      <c r="AG68" t="n">
        <v>1.528</v>
      </c>
      <c r="AH68" t="inlineStr">
        <is>
          <t>M3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20241031</v>
      </c>
      <c r="AM68" t="inlineStr">
        <is>
          <t>DW55-900008972-D309-10000541-4</t>
        </is>
      </c>
    </row>
    <row r="69">
      <c r="A69" t="inlineStr">
        <is>
          <t>900007603DW5510123034</t>
        </is>
      </c>
      <c r="B69" t="inlineStr">
        <is>
          <t>4600054036-50</t>
        </is>
      </c>
      <c r="C69" t="n">
        <v>4600054036</v>
      </c>
      <c r="D69" t="n">
        <v>50</v>
      </c>
      <c r="E69" t="inlineStr">
        <is>
          <t>MXPO</t>
        </is>
      </c>
      <c r="F69" t="inlineStr">
        <is>
          <t>MXL</t>
        </is>
      </c>
      <c r="G69" t="n">
        <v>900007603</v>
      </c>
      <c r="H69" t="inlineStr">
        <is>
          <t>SF TC-FRISO CONSMIN TAB</t>
        </is>
      </c>
      <c r="I69" t="n">
        <v>5083592</v>
      </c>
      <c r="J69" t="inlineStr">
        <is>
          <t>FRISO CONSMIN SA DE CV</t>
        </is>
      </c>
      <c r="K69" t="inlineStr">
        <is>
          <t>N45</t>
        </is>
      </c>
      <c r="L69" t="inlineStr">
        <is>
          <t>(AP) NAFIN 45 Dias</t>
        </is>
      </c>
      <c r="M69" t="n">
        <v>10123034</v>
      </c>
      <c r="N69" t="inlineStr">
        <is>
          <t>ARENA TRITURADA CALIZA MALLA 4</t>
        </is>
      </c>
      <c r="O69" t="inlineStr">
        <is>
          <t>DW55</t>
        </is>
      </c>
      <c r="P69" t="inlineStr">
        <is>
          <t>MX-CED. TABASCO</t>
        </is>
      </c>
      <c r="Q69" t="n">
        <v>20220301</v>
      </c>
      <c r="R69" t="n">
        <v>20291231</v>
      </c>
      <c r="U69" t="n">
        <v>0</v>
      </c>
      <c r="V69" t="inlineStr">
        <is>
          <t>MXN</t>
        </is>
      </c>
      <c r="W69" t="inlineStr">
        <is>
          <t>M3</t>
        </is>
      </c>
      <c r="AC69" t="n">
        <v>56103638</v>
      </c>
      <c r="AD69" t="n">
        <v>6644041540</v>
      </c>
      <c r="AE69" t="n">
        <v>1</v>
      </c>
      <c r="AF69" t="inlineStr">
        <is>
          <t>ENTREGADO</t>
        </is>
      </c>
      <c r="AG69" t="n">
        <v>1.528</v>
      </c>
      <c r="AH69" t="inlineStr">
        <is>
          <t>M3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20260422</v>
      </c>
      <c r="AM69" t="inlineStr">
        <is>
          <t>DW55-900007603-10123034</t>
        </is>
      </c>
    </row>
    <row r="70">
      <c r="A70" t="inlineStr">
        <is>
          <t>900007603DW5510000372</t>
        </is>
      </c>
      <c r="B70" t="inlineStr">
        <is>
          <t>4600054036-10</t>
        </is>
      </c>
      <c r="C70" t="n">
        <v>4600054036</v>
      </c>
      <c r="D70" t="n">
        <v>10</v>
      </c>
      <c r="E70" t="inlineStr">
        <is>
          <t>MXPO</t>
        </is>
      </c>
      <c r="F70" t="inlineStr">
        <is>
          <t>MXL</t>
        </is>
      </c>
      <c r="G70" t="n">
        <v>900007603</v>
      </c>
      <c r="H70" t="inlineStr">
        <is>
          <t>SF TC-FRISO CONSMIN TAB</t>
        </is>
      </c>
      <c r="I70" t="n">
        <v>5083592</v>
      </c>
      <c r="J70" t="inlineStr">
        <is>
          <t>FRISO CONSMIN SA DE CV</t>
        </is>
      </c>
      <c r="K70" t="inlineStr">
        <is>
          <t>N45</t>
        </is>
      </c>
      <c r="L70" t="inlineStr">
        <is>
          <t>(AP) NAFIN 45 Dias</t>
        </is>
      </c>
      <c r="M70" t="n">
        <v>10000372</v>
      </c>
      <c r="N70" t="inlineStr">
        <is>
          <t>Grava Triturada Caliza 20 mm - 3/4"</t>
        </is>
      </c>
      <c r="O70" t="inlineStr">
        <is>
          <t>DW55</t>
        </is>
      </c>
      <c r="P70" t="inlineStr">
        <is>
          <t>MX-CED. TABASCO</t>
        </is>
      </c>
      <c r="Q70" t="n">
        <v>20220301</v>
      </c>
      <c r="R70" t="n">
        <v>20291231</v>
      </c>
      <c r="U70" t="n">
        <v>0</v>
      </c>
      <c r="V70" t="inlineStr">
        <is>
          <t>MXN</t>
        </is>
      </c>
      <c r="W70" t="inlineStr">
        <is>
          <t>M3</t>
        </is>
      </c>
      <c r="AC70" t="n">
        <v>56103637</v>
      </c>
      <c r="AD70" t="n">
        <v>6644041540</v>
      </c>
      <c r="AE70" t="n">
        <v>1</v>
      </c>
      <c r="AF70" t="inlineStr">
        <is>
          <t>ENTREGADO</t>
        </is>
      </c>
      <c r="AG70" t="n">
        <v>1.448</v>
      </c>
      <c r="AH70" t="inlineStr">
        <is>
          <t>M3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20260422</v>
      </c>
      <c r="AM70" t="inlineStr">
        <is>
          <t>DW55-900007603-10000372</t>
        </is>
      </c>
    </row>
    <row r="71">
      <c r="A71" t="inlineStr">
        <is>
          <t>900007953DW55D28410000372</t>
        </is>
      </c>
      <c r="B71" t="inlineStr">
        <is>
          <t>4600069796-20</t>
        </is>
      </c>
      <c r="C71" t="n">
        <v>4600069796</v>
      </c>
      <c r="D71" t="n">
        <v>20</v>
      </c>
      <c r="E71" t="inlineStr">
        <is>
          <t>MXPO</t>
        </is>
      </c>
      <c r="F71" t="inlineStr">
        <is>
          <t>MXL</t>
        </is>
      </c>
      <c r="G71" t="n">
        <v>900007953</v>
      </c>
      <c r="H71" t="inlineStr">
        <is>
          <t>SF TC-ED-BANCO GARCIA</t>
        </is>
      </c>
      <c r="I71" t="n">
        <v>5067302</v>
      </c>
      <c r="J71" t="inlineStr">
        <is>
          <t>GARCIA BALTAZAR MIGUEL</t>
        </is>
      </c>
      <c r="K71" t="inlineStr">
        <is>
          <t>N90</t>
        </is>
      </c>
      <c r="L71" t="inlineStr">
        <is>
          <t>(AP) NAFIN 90 Dias</t>
        </is>
      </c>
      <c r="M71" t="n">
        <v>10000372</v>
      </c>
      <c r="N71" t="inlineStr">
        <is>
          <t>Grava Triturada Caliza 20 mm - 3/4"</t>
        </is>
      </c>
      <c r="O71" t="inlineStr">
        <is>
          <t>DW55</t>
        </is>
      </c>
      <c r="P71" t="inlineStr">
        <is>
          <t>MX-CED. TABASCO</t>
        </is>
      </c>
      <c r="Q71" t="n">
        <v>20240628</v>
      </c>
      <c r="R71" t="n">
        <v>20291231</v>
      </c>
      <c r="S71" t="n">
        <v>20240617</v>
      </c>
      <c r="T71" t="n">
        <v>20291231</v>
      </c>
      <c r="U71" t="n">
        <v>450</v>
      </c>
      <c r="V71" t="inlineStr">
        <is>
          <t>MXN</t>
        </is>
      </c>
      <c r="W71" t="inlineStr">
        <is>
          <t>M3</t>
        </is>
      </c>
      <c r="X71" t="n">
        <v>220</v>
      </c>
      <c r="Y71" t="inlineStr">
        <is>
          <t>MXN</t>
        </is>
      </c>
      <c r="Z71" t="inlineStr">
        <is>
          <t>M3</t>
        </is>
      </c>
      <c r="AA71" t="inlineStr">
        <is>
          <t>D284</t>
        </is>
      </c>
      <c r="AB71" t="inlineStr">
        <is>
          <t>PD0183 VILLAHERMOSA</t>
        </is>
      </c>
      <c r="AC71" t="n">
        <v>56103637</v>
      </c>
      <c r="AD71" t="n">
        <v>6644041540</v>
      </c>
      <c r="AE71" t="n">
        <v>4</v>
      </c>
      <c r="AF71" t="inlineStr">
        <is>
          <t>ENTREGA DIRECTA</t>
        </is>
      </c>
      <c r="AG71" t="n">
        <v>1.448</v>
      </c>
      <c r="AH71" t="inlineStr">
        <is>
          <t>M3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20240705</v>
      </c>
      <c r="AM71" t="inlineStr">
        <is>
          <t>DW55-900007953-D284-10000372-4</t>
        </is>
      </c>
    </row>
    <row r="72">
      <c r="A72" t="inlineStr">
        <is>
          <t>900009308DW5510123034</t>
        </is>
      </c>
      <c r="B72" t="inlineStr">
        <is>
          <t>4600071596-30</t>
        </is>
      </c>
      <c r="C72" t="n">
        <v>4600071596</v>
      </c>
      <c r="D72" t="n">
        <v>30</v>
      </c>
      <c r="E72" t="inlineStr">
        <is>
          <t>MXPO</t>
        </is>
      </c>
      <c r="F72" t="inlineStr">
        <is>
          <t>MXL</t>
        </is>
      </c>
      <c r="G72" t="n">
        <v>900009308</v>
      </c>
      <c r="H72" t="inlineStr">
        <is>
          <t>SF TC FRISO STONE</t>
        </is>
      </c>
      <c r="I72" t="n">
        <v>5096328</v>
      </c>
      <c r="J72" t="inlineStr">
        <is>
          <t>FRISO STONE SCP DE B Y S RL DE CV</t>
        </is>
      </c>
      <c r="K72" t="inlineStr">
        <is>
          <t>N90</t>
        </is>
      </c>
      <c r="L72" t="inlineStr">
        <is>
          <t>(AP) NAFIN 90 Dias</t>
        </is>
      </c>
      <c r="M72" t="n">
        <v>10123034</v>
      </c>
      <c r="N72" t="inlineStr">
        <is>
          <t>ARENA TRITURADA CALIZA MALLA 4</t>
        </is>
      </c>
      <c r="O72" t="inlineStr">
        <is>
          <t>DW55</t>
        </is>
      </c>
      <c r="P72" t="inlineStr">
        <is>
          <t>MX-CED. TABASCO</t>
        </is>
      </c>
      <c r="Q72" t="n">
        <v>20250822</v>
      </c>
      <c r="R72" t="n">
        <v>20301231</v>
      </c>
      <c r="S72" t="n">
        <v>20250919</v>
      </c>
      <c r="T72" t="n">
        <v>20301231</v>
      </c>
      <c r="U72" t="n">
        <v>150</v>
      </c>
      <c r="V72" t="inlineStr">
        <is>
          <t>MXN</t>
        </is>
      </c>
      <c r="W72" t="inlineStr">
        <is>
          <t>M3</t>
        </is>
      </c>
      <c r="X72" t="n">
        <v>0</v>
      </c>
      <c r="Y72" t="inlineStr">
        <is>
          <t>MXN</t>
        </is>
      </c>
      <c r="Z72" t="inlineStr">
        <is>
          <t>M3</t>
        </is>
      </c>
      <c r="AC72" t="n">
        <v>56103638</v>
      </c>
      <c r="AD72" t="n">
        <v>6644041540</v>
      </c>
      <c r="AE72" t="n">
        <v>1</v>
      </c>
      <c r="AF72" t="inlineStr">
        <is>
          <t>ENTREGADO</t>
        </is>
      </c>
      <c r="AG72" t="n">
        <v>1.528</v>
      </c>
      <c r="AH72" t="inlineStr">
        <is>
          <t>M3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20250922</v>
      </c>
      <c r="AM72" t="inlineStr">
        <is>
          <t>DW55-900009308-10123034</t>
        </is>
      </c>
    </row>
    <row r="73">
      <c r="A73" t="inlineStr">
        <is>
          <t>900009308DW5510000372</t>
        </is>
      </c>
      <c r="B73" t="inlineStr">
        <is>
          <t>4600071596-20</t>
        </is>
      </c>
      <c r="C73" t="n">
        <v>4600071596</v>
      </c>
      <c r="D73" t="n">
        <v>20</v>
      </c>
      <c r="E73" t="inlineStr">
        <is>
          <t>MXPO</t>
        </is>
      </c>
      <c r="F73" t="inlineStr">
        <is>
          <t>MXL</t>
        </is>
      </c>
      <c r="G73" t="n">
        <v>900009308</v>
      </c>
      <c r="H73" t="inlineStr">
        <is>
          <t>SF TC FRISO STONE</t>
        </is>
      </c>
      <c r="I73" t="n">
        <v>5096328</v>
      </c>
      <c r="J73" t="inlineStr">
        <is>
          <t>FRISO STONE SCP DE B Y S RL DE CV</t>
        </is>
      </c>
      <c r="K73" t="inlineStr">
        <is>
          <t>N90</t>
        </is>
      </c>
      <c r="L73" t="inlineStr">
        <is>
          <t>(AP) NAFIN 90 Dias</t>
        </is>
      </c>
      <c r="M73" t="n">
        <v>10000372</v>
      </c>
      <c r="N73" t="inlineStr">
        <is>
          <t>Grava Triturada Caliza 20 mm - 3/4"</t>
        </is>
      </c>
      <c r="O73" t="inlineStr">
        <is>
          <t>DW55</t>
        </is>
      </c>
      <c r="P73" t="inlineStr">
        <is>
          <t>MX-CED. TABASCO</t>
        </is>
      </c>
      <c r="Q73" t="n">
        <v>20250822</v>
      </c>
      <c r="R73" t="n">
        <v>20301231</v>
      </c>
      <c r="S73" t="n">
        <v>20260511</v>
      </c>
      <c r="T73" t="n">
        <v>20301231</v>
      </c>
      <c r="U73" t="n">
        <v>308</v>
      </c>
      <c r="V73" t="inlineStr">
        <is>
          <t>MXN</t>
        </is>
      </c>
      <c r="W73" t="inlineStr">
        <is>
          <t>M3</t>
        </is>
      </c>
      <c r="X73" t="n">
        <v>0</v>
      </c>
      <c r="Y73" t="inlineStr">
        <is>
          <t>MXN</t>
        </is>
      </c>
      <c r="Z73" t="inlineStr">
        <is>
          <t>M3</t>
        </is>
      </c>
      <c r="AC73" t="n">
        <v>56103637</v>
      </c>
      <c r="AD73" t="n">
        <v>6644041540</v>
      </c>
      <c r="AE73" t="n">
        <v>1</v>
      </c>
      <c r="AF73" t="inlineStr">
        <is>
          <t>ENTREGADO</t>
        </is>
      </c>
      <c r="AG73" t="n">
        <v>1.448</v>
      </c>
      <c r="AH73" t="inlineStr">
        <is>
          <t>M3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20260523</v>
      </c>
      <c r="AM73" t="inlineStr">
        <is>
          <t>DW55-900009308-10000372</t>
        </is>
      </c>
    </row>
    <row r="74">
      <c r="A74" t="inlineStr">
        <is>
          <t>900007304DW55D28410000373</t>
        </is>
      </c>
      <c r="B74" t="inlineStr">
        <is>
          <t>4600053181-100</t>
        </is>
      </c>
      <c r="C74" t="n">
        <v>4600053181</v>
      </c>
      <c r="D74" t="n">
        <v>100</v>
      </c>
      <c r="E74" t="inlineStr">
        <is>
          <t>MXPO</t>
        </is>
      </c>
      <c r="F74" t="inlineStr">
        <is>
          <t>MXL</t>
        </is>
      </c>
      <c r="G74" t="n">
        <v>900007304</v>
      </c>
      <c r="H74" t="inlineStr">
        <is>
          <t>SF TC-ED-ALFONSO ESPADAS</t>
        </is>
      </c>
      <c r="I74" t="n">
        <v>5079231</v>
      </c>
      <c r="J74" t="inlineStr">
        <is>
          <t>ESPADAS HERNANDEZ ALFONSO</t>
        </is>
      </c>
      <c r="K74" t="inlineStr">
        <is>
          <t>N90</t>
        </is>
      </c>
      <c r="L74" t="inlineStr">
        <is>
          <t>(AP) NAFIN 90 Dias</t>
        </is>
      </c>
      <c r="M74" t="n">
        <v>10000373</v>
      </c>
      <c r="N74" t="inlineStr">
        <is>
          <t>Grava Triturada Caliza 13 mm - 1/2"</t>
        </is>
      </c>
      <c r="O74" t="inlineStr">
        <is>
          <t>DW55</t>
        </is>
      </c>
      <c r="P74" t="inlineStr">
        <is>
          <t>MX-CED. TABASCO</t>
        </is>
      </c>
      <c r="Q74" t="n">
        <v>20220214</v>
      </c>
      <c r="R74" t="n">
        <v>20281231</v>
      </c>
      <c r="S74" t="n">
        <v>20230307</v>
      </c>
      <c r="T74" t="n">
        <v>20281231</v>
      </c>
      <c r="U74" t="n">
        <v>600</v>
      </c>
      <c r="V74" t="inlineStr">
        <is>
          <t>MXN</t>
        </is>
      </c>
      <c r="W74" t="inlineStr">
        <is>
          <t>M3</t>
        </is>
      </c>
      <c r="X74" t="n">
        <v>200</v>
      </c>
      <c r="Y74" t="inlineStr">
        <is>
          <t>MXN</t>
        </is>
      </c>
      <c r="Z74" t="inlineStr">
        <is>
          <t>M3</t>
        </is>
      </c>
      <c r="AA74" t="inlineStr">
        <is>
          <t>D284</t>
        </is>
      </c>
      <c r="AB74" t="inlineStr">
        <is>
          <t>PD0183 VILLAHERMOSA</t>
        </is>
      </c>
      <c r="AC74" t="n">
        <v>56103637</v>
      </c>
      <c r="AD74" t="n">
        <v>6644041540</v>
      </c>
      <c r="AE74" t="n">
        <v>4</v>
      </c>
      <c r="AF74" t="inlineStr">
        <is>
          <t>ENTREGA DIRECTA</t>
        </is>
      </c>
      <c r="AG74" t="n">
        <v>1.395</v>
      </c>
      <c r="AH74" t="inlineStr">
        <is>
          <t>M3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20230920</v>
      </c>
      <c r="AM74" t="inlineStr">
        <is>
          <t>DW55-900007304-D284-10000373-4</t>
        </is>
      </c>
    </row>
    <row r="75">
      <c r="A75" t="inlineStr">
        <is>
          <t>900005011DW55D34810000372</t>
        </is>
      </c>
      <c r="B75" t="inlineStr">
        <is>
          <t>4600050926-70</t>
        </is>
      </c>
      <c r="C75" t="n">
        <v>4600050926</v>
      </c>
      <c r="D75" t="n">
        <v>70</v>
      </c>
      <c r="E75" t="inlineStr">
        <is>
          <t>MXPO</t>
        </is>
      </c>
      <c r="F75" t="inlineStr">
        <is>
          <t>MXL</t>
        </is>
      </c>
      <c r="G75" t="n">
        <v>900005011</v>
      </c>
      <c r="H75" t="inlineStr">
        <is>
          <t>TC-ED COCOSA</t>
        </is>
      </c>
      <c r="I75" t="n">
        <v>5065980</v>
      </c>
      <c r="J75" t="inlineStr">
        <is>
          <t>CONSORCIO CONSTRUCTOR Y</t>
        </is>
      </c>
      <c r="K75" t="inlineStr">
        <is>
          <t>N90</t>
        </is>
      </c>
      <c r="L75" t="inlineStr">
        <is>
          <t>(AP) NAFIN 90 Dias</t>
        </is>
      </c>
      <c r="M75" t="n">
        <v>10000372</v>
      </c>
      <c r="N75" t="inlineStr">
        <is>
          <t>Grava Triturada Caliza 20 mm - 3/4"</t>
        </is>
      </c>
      <c r="O75" t="inlineStr">
        <is>
          <t>DW55</t>
        </is>
      </c>
      <c r="P75" t="inlineStr">
        <is>
          <t>MX-CED. TABASCO</t>
        </is>
      </c>
      <c r="Q75" t="n">
        <v>20210712</v>
      </c>
      <c r="R75" t="n">
        <v>20271231</v>
      </c>
      <c r="S75" t="n">
        <v>20220428</v>
      </c>
      <c r="T75" t="n">
        <v>20271231</v>
      </c>
      <c r="U75" t="n">
        <v>430</v>
      </c>
      <c r="V75" t="inlineStr">
        <is>
          <t>MXN</t>
        </is>
      </c>
      <c r="W75" t="inlineStr">
        <is>
          <t>M3</t>
        </is>
      </c>
      <c r="X75" t="n">
        <v>250</v>
      </c>
      <c r="Y75" t="inlineStr">
        <is>
          <t>MXN</t>
        </is>
      </c>
      <c r="Z75" t="inlineStr">
        <is>
          <t>M3</t>
        </is>
      </c>
      <c r="AA75" t="inlineStr">
        <is>
          <t>D348</t>
        </is>
      </c>
      <c r="AB75" t="inlineStr">
        <is>
          <t>PD0294 LAGUNA VERDE 2</t>
        </is>
      </c>
      <c r="AC75" t="n">
        <v>56103637</v>
      </c>
      <c r="AD75" t="n">
        <v>6644041540</v>
      </c>
      <c r="AE75" t="n">
        <v>4</v>
      </c>
      <c r="AF75" t="inlineStr">
        <is>
          <t>ENTREGA DIRECTA</t>
        </is>
      </c>
      <c r="AG75" t="n">
        <v>1.448</v>
      </c>
      <c r="AH75" t="inlineStr">
        <is>
          <t>M3</t>
        </is>
      </c>
      <c r="AI75" t="inlineStr">
        <is>
          <t>X</t>
        </is>
      </c>
      <c r="AJ75" t="n">
        <v>4</v>
      </c>
      <c r="AK75" t="inlineStr">
        <is>
          <t>V4</t>
        </is>
      </c>
      <c r="AL75" t="n">
        <v>20230920</v>
      </c>
      <c r="AM75" t="inlineStr">
        <is>
          <t>DW55-900005011-D348-10000372-4</t>
        </is>
      </c>
    </row>
    <row r="76">
      <c r="A76" t="inlineStr">
        <is>
          <t>900007484DW55D34810023592</t>
        </is>
      </c>
      <c r="B76" t="inlineStr">
        <is>
          <t>4600053253-40</t>
        </is>
      </c>
      <c r="C76" t="n">
        <v>4600053253</v>
      </c>
      <c r="D76" t="n">
        <v>40</v>
      </c>
      <c r="E76" t="inlineStr">
        <is>
          <t>MXPO</t>
        </is>
      </c>
      <c r="F76" t="inlineStr">
        <is>
          <t>MXL</t>
        </is>
      </c>
      <c r="G76" t="n">
        <v>900007484</v>
      </c>
      <c r="H76" t="inlineStr">
        <is>
          <t>SF-TC-ED-AURELIO CABRERA</t>
        </is>
      </c>
      <c r="I76" t="n">
        <v>5082823</v>
      </c>
      <c r="J76" t="inlineStr">
        <is>
          <t>CABRERA MARIN AURELIO ANTONIO</t>
        </is>
      </c>
      <c r="K76" t="inlineStr">
        <is>
          <t>Z09</t>
        </is>
      </c>
      <c r="L76" t="inlineStr">
        <is>
          <t>(AP) 90 Dias</t>
        </is>
      </c>
      <c r="M76" t="n">
        <v>10023592</v>
      </c>
      <c r="N76" t="inlineStr">
        <is>
          <t>Arena Triturada Caliza Malla 4</t>
        </is>
      </c>
      <c r="O76" t="inlineStr">
        <is>
          <t>DW55</t>
        </is>
      </c>
      <c r="P76" t="inlineStr">
        <is>
          <t>MX-CED. TABASCO</t>
        </is>
      </c>
      <c r="Q76" t="n">
        <v>20220222</v>
      </c>
      <c r="R76" t="n">
        <v>20281231</v>
      </c>
      <c r="S76" t="n">
        <v>20230111</v>
      </c>
      <c r="T76" t="n">
        <v>20271231</v>
      </c>
      <c r="U76" t="n">
        <v>380</v>
      </c>
      <c r="V76" t="inlineStr">
        <is>
          <t>MXN</t>
        </is>
      </c>
      <c r="W76" t="inlineStr">
        <is>
          <t>M3</t>
        </is>
      </c>
      <c r="X76" t="n">
        <v>220</v>
      </c>
      <c r="Y76" t="inlineStr">
        <is>
          <t>MXN</t>
        </is>
      </c>
      <c r="Z76" t="inlineStr">
        <is>
          <t>M3</t>
        </is>
      </c>
      <c r="AA76" t="inlineStr">
        <is>
          <t>D348</t>
        </is>
      </c>
      <c r="AB76" t="inlineStr">
        <is>
          <t>PD0294 LAGUNA VERDE 2</t>
        </is>
      </c>
      <c r="AC76" t="n">
        <v>56103638</v>
      </c>
      <c r="AD76" t="n">
        <v>6644041540</v>
      </c>
      <c r="AE76" t="n">
        <v>4</v>
      </c>
      <c r="AF76" t="inlineStr">
        <is>
          <t>ENTREGA DIRECTA</t>
        </is>
      </c>
      <c r="AG76" t="n">
        <v>1.356</v>
      </c>
      <c r="AH76" t="inlineStr">
        <is>
          <t>M3</t>
        </is>
      </c>
      <c r="AI76" t="inlineStr">
        <is>
          <t>X</t>
        </is>
      </c>
      <c r="AJ76" t="n">
        <v>4</v>
      </c>
      <c r="AK76" t="inlineStr">
        <is>
          <t>V4</t>
        </is>
      </c>
      <c r="AL76" t="n">
        <v>20230920</v>
      </c>
      <c r="AM76" t="inlineStr">
        <is>
          <t>DW55-900007484-D348-10023592-4</t>
        </is>
      </c>
    </row>
    <row r="77">
      <c r="A77" t="inlineStr">
        <is>
          <t>900007932DW55D32510000623</t>
        </is>
      </c>
      <c r="B77" t="inlineStr">
        <is>
          <t>4600055937-60</t>
        </is>
      </c>
      <c r="C77" t="n">
        <v>4600055937</v>
      </c>
      <c r="D77" t="n">
        <v>60</v>
      </c>
      <c r="E77" t="inlineStr">
        <is>
          <t>MXPO</t>
        </is>
      </c>
      <c r="F77" t="inlineStr">
        <is>
          <t>MXL</t>
        </is>
      </c>
      <c r="G77" t="n">
        <v>900007932</v>
      </c>
      <c r="H77" t="inlineStr">
        <is>
          <t>SF TC-ED-TRAPA</t>
        </is>
      </c>
      <c r="I77" t="n">
        <v>5087333</v>
      </c>
      <c r="J77" t="inlineStr">
        <is>
          <t>GARCIA MONTILLA VICTOR DAVID</t>
        </is>
      </c>
      <c r="K77" t="inlineStr">
        <is>
          <t>Z09</t>
        </is>
      </c>
      <c r="L77" t="inlineStr">
        <is>
          <t>(AP) 90 Dias</t>
        </is>
      </c>
      <c r="M77" t="n">
        <v>10000623</v>
      </c>
      <c r="N77" t="inlineStr">
        <is>
          <t>Grava Triturada Caliza 10 mm - 3/8"</t>
        </is>
      </c>
      <c r="O77" t="inlineStr">
        <is>
          <t>DW55</t>
        </is>
      </c>
      <c r="P77" t="inlineStr">
        <is>
          <t>MX-CED. TABASCO</t>
        </is>
      </c>
      <c r="Q77" t="n">
        <v>20221209</v>
      </c>
      <c r="R77" t="n">
        <v>20281231</v>
      </c>
      <c r="S77" t="n">
        <v>20260313</v>
      </c>
      <c r="T77" t="n">
        <v>20301231</v>
      </c>
      <c r="U77" t="n">
        <v>800</v>
      </c>
      <c r="V77" t="inlineStr">
        <is>
          <t>MXN</t>
        </is>
      </c>
      <c r="W77" t="inlineStr">
        <is>
          <t>M3</t>
        </is>
      </c>
      <c r="X77" t="n">
        <v>200</v>
      </c>
      <c r="Y77" t="inlineStr">
        <is>
          <t>MXN</t>
        </is>
      </c>
      <c r="Z77" t="inlineStr">
        <is>
          <t>M3</t>
        </is>
      </c>
      <c r="AA77" t="inlineStr">
        <is>
          <t>D325</t>
        </is>
      </c>
      <c r="AB77" t="inlineStr">
        <is>
          <t>PD0402 PALENQUE II</t>
        </is>
      </c>
      <c r="AC77" t="n">
        <v>56103637</v>
      </c>
      <c r="AD77" t="n">
        <v>6644041540</v>
      </c>
      <c r="AE77" t="n">
        <v>4</v>
      </c>
      <c r="AF77" t="inlineStr">
        <is>
          <t>ENTREGA DIRECTA</t>
        </is>
      </c>
      <c r="AG77" t="n">
        <v>1.41</v>
      </c>
      <c r="AH77" t="inlineStr">
        <is>
          <t>M3</t>
        </is>
      </c>
      <c r="AI77" t="inlineStr">
        <is>
          <t>X</t>
        </is>
      </c>
      <c r="AJ77" t="n">
        <v>4</v>
      </c>
      <c r="AK77" t="inlineStr">
        <is>
          <t>V4</t>
        </is>
      </c>
      <c r="AL77" t="n">
        <v>20260319</v>
      </c>
      <c r="AM77" t="inlineStr">
        <is>
          <t>DW55-900007932-D325-10000623-4</t>
        </is>
      </c>
    </row>
    <row r="78">
      <c r="A78" t="inlineStr">
        <is>
          <t>900000743DW5510123034</t>
        </is>
      </c>
      <c r="B78" t="inlineStr">
        <is>
          <t>4600050889-30</t>
        </is>
      </c>
      <c r="C78" t="n">
        <v>4600050889</v>
      </c>
      <c r="D78" t="n">
        <v>30</v>
      </c>
      <c r="E78" t="inlineStr">
        <is>
          <t>MXPO</t>
        </is>
      </c>
      <c r="F78" t="inlineStr">
        <is>
          <t>MXL</t>
        </is>
      </c>
      <c r="G78" t="n">
        <v>900000743</v>
      </c>
      <c r="H78" t="inlineStr">
        <is>
          <t>TC SIGSA</t>
        </is>
      </c>
      <c r="I78" t="n">
        <v>5021622</v>
      </c>
      <c r="J78" t="inlineStr">
        <is>
          <t>SERVICIOS DE INGENIERIA DEL GOLFO</t>
        </is>
      </c>
      <c r="K78" t="inlineStr">
        <is>
          <t>N60</t>
        </is>
      </c>
      <c r="L78" t="inlineStr">
        <is>
          <t>(AP) NAFIN 60 Dias</t>
        </is>
      </c>
      <c r="M78" t="n">
        <v>10123034</v>
      </c>
      <c r="N78" t="inlineStr">
        <is>
          <t>ARENA TRITURADA CALIZA MALLA 4</t>
        </is>
      </c>
      <c r="O78" t="inlineStr">
        <is>
          <t>DW55</t>
        </is>
      </c>
      <c r="P78" t="inlineStr">
        <is>
          <t>MX-CED. TABASCO</t>
        </is>
      </c>
      <c r="Q78" t="n">
        <v>20210712</v>
      </c>
      <c r="R78" t="n">
        <v>20281231</v>
      </c>
      <c r="S78" t="n">
        <v>20260417</v>
      </c>
      <c r="T78" t="n">
        <v>20301231</v>
      </c>
      <c r="U78" t="n">
        <v>130</v>
      </c>
      <c r="V78" t="inlineStr">
        <is>
          <t>MXN</t>
        </is>
      </c>
      <c r="W78" t="inlineStr">
        <is>
          <t>M3</t>
        </is>
      </c>
      <c r="X78" t="n">
        <v>0</v>
      </c>
      <c r="Y78" t="inlineStr">
        <is>
          <t>MXN</t>
        </is>
      </c>
      <c r="Z78" t="inlineStr">
        <is>
          <t>M3</t>
        </is>
      </c>
      <c r="AC78" t="n">
        <v>56103638</v>
      </c>
      <c r="AD78" t="n">
        <v>6644041540</v>
      </c>
      <c r="AE78" t="n">
        <v>1</v>
      </c>
      <c r="AF78" t="inlineStr">
        <is>
          <t>ENTREGADO</t>
        </is>
      </c>
      <c r="AG78" t="n">
        <v>1.528</v>
      </c>
      <c r="AH78" t="inlineStr">
        <is>
          <t>M3</t>
        </is>
      </c>
      <c r="AI78" t="inlineStr">
        <is>
          <t>X</t>
        </is>
      </c>
      <c r="AJ78" t="n">
        <v>4</v>
      </c>
      <c r="AK78" t="inlineStr">
        <is>
          <t>V4</t>
        </is>
      </c>
      <c r="AL78" t="n">
        <v>20260428</v>
      </c>
      <c r="AM78" t="inlineStr">
        <is>
          <t>DW55-900000743-10123034</t>
        </is>
      </c>
    </row>
    <row r="79">
      <c r="A79" t="inlineStr">
        <is>
          <t>900000743DW5510217664</t>
        </is>
      </c>
      <c r="B79" t="inlineStr">
        <is>
          <t>4600050889-40</t>
        </is>
      </c>
      <c r="C79" t="n">
        <v>4600050889</v>
      </c>
      <c r="D79" t="n">
        <v>40</v>
      </c>
      <c r="E79" t="inlineStr">
        <is>
          <t>MXPO</t>
        </is>
      </c>
      <c r="F79" t="inlineStr">
        <is>
          <t>MXL</t>
        </is>
      </c>
      <c r="G79" t="n">
        <v>900000743</v>
      </c>
      <c r="H79" t="inlineStr">
        <is>
          <t>TC SIGSA</t>
        </is>
      </c>
      <c r="I79" t="n">
        <v>5021622</v>
      </c>
      <c r="J79" t="inlineStr">
        <is>
          <t>SERVICIOS DE INGENIERIA DEL GOLFO</t>
        </is>
      </c>
      <c r="K79" t="inlineStr">
        <is>
          <t>N60</t>
        </is>
      </c>
      <c r="L79" t="inlineStr">
        <is>
          <t>(AP) NAFIN 60 Dias</t>
        </is>
      </c>
      <c r="M79" t="n">
        <v>10217664</v>
      </c>
      <c r="N79" t="inlineStr">
        <is>
          <t>GRAVA TRITURADA CALIZA 20 MM - 3/4-SG</t>
        </is>
      </c>
      <c r="O79" t="inlineStr">
        <is>
          <t>DW55</t>
        </is>
      </c>
      <c r="P79" t="inlineStr">
        <is>
          <t>MX-CED. TABASCO</t>
        </is>
      </c>
      <c r="Q79" t="n">
        <v>20210712</v>
      </c>
      <c r="R79" t="n">
        <v>20281231</v>
      </c>
      <c r="S79" t="n">
        <v>20260417</v>
      </c>
      <c r="T79" t="n">
        <v>20301231</v>
      </c>
      <c r="U79" t="n">
        <v>320</v>
      </c>
      <c r="V79" t="inlineStr">
        <is>
          <t>MXN</t>
        </is>
      </c>
      <c r="W79" t="inlineStr">
        <is>
          <t>M3</t>
        </is>
      </c>
      <c r="X79" t="n">
        <v>0</v>
      </c>
      <c r="Y79" t="inlineStr">
        <is>
          <t>MXN</t>
        </is>
      </c>
      <c r="Z79" t="inlineStr">
        <is>
          <t>M3</t>
        </is>
      </c>
      <c r="AC79" t="n">
        <v>56103637</v>
      </c>
      <c r="AD79" t="n">
        <v>6644041540</v>
      </c>
      <c r="AE79" t="n">
        <v>1</v>
      </c>
      <c r="AF79" t="inlineStr">
        <is>
          <t>ENTREGADO</t>
        </is>
      </c>
      <c r="AG79" t="n">
        <v>1.391</v>
      </c>
      <c r="AH79" t="inlineStr">
        <is>
          <t>M3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20260428</v>
      </c>
      <c r="AM79" t="inlineStr">
        <is>
          <t>DW55-900000743-10217664</t>
        </is>
      </c>
    </row>
    <row r="80">
      <c r="A80" t="inlineStr">
        <is>
          <t>900008935DW55D34810217663</t>
        </is>
      </c>
      <c r="B80" t="inlineStr">
        <is>
          <t>4600070151-40</t>
        </is>
      </c>
      <c r="C80" t="n">
        <v>4600070151</v>
      </c>
      <c r="D80" t="n">
        <v>40</v>
      </c>
      <c r="E80" t="inlineStr">
        <is>
          <t>MXPO</t>
        </is>
      </c>
      <c r="F80" t="inlineStr">
        <is>
          <t>MXL</t>
        </is>
      </c>
      <c r="G80" t="n">
        <v>900008935</v>
      </c>
      <c r="H80" t="inlineStr">
        <is>
          <t>SF TC-ED CONCETAB</t>
        </is>
      </c>
      <c r="I80" t="n">
        <v>5093989</v>
      </c>
      <c r="J80" t="inlineStr">
        <is>
          <t>AGREGADOS Y CEMENTOS CONCETAB S DE</t>
        </is>
      </c>
      <c r="K80" t="inlineStr">
        <is>
          <t>N90</t>
        </is>
      </c>
      <c r="L80" t="inlineStr">
        <is>
          <t>(AP) NAFIN 90 Dias</t>
        </is>
      </c>
      <c r="M80" t="n">
        <v>10217663</v>
      </c>
      <c r="N80" t="inlineStr">
        <is>
          <t>ARENA CLASIFICADA RÍO MALLA 4 -TABASCO</t>
        </is>
      </c>
      <c r="O80" t="inlineStr">
        <is>
          <t>DW55</t>
        </is>
      </c>
      <c r="P80" t="inlineStr">
        <is>
          <t>MX-CED. TABASCO</t>
        </is>
      </c>
      <c r="Q80" t="n">
        <v>20240821</v>
      </c>
      <c r="R80" t="n">
        <v>20291231</v>
      </c>
      <c r="S80" t="n">
        <v>20240821</v>
      </c>
      <c r="T80" t="n">
        <v>20291231</v>
      </c>
      <c r="U80" t="n">
        <v>598</v>
      </c>
      <c r="V80" t="inlineStr">
        <is>
          <t>MXN</t>
        </is>
      </c>
      <c r="W80" t="inlineStr">
        <is>
          <t>M3</t>
        </is>
      </c>
      <c r="X80" t="n">
        <v>530</v>
      </c>
      <c r="Y80" t="inlineStr">
        <is>
          <t>MXN</t>
        </is>
      </c>
      <c r="Z80" t="inlineStr">
        <is>
          <t>M3</t>
        </is>
      </c>
      <c r="AA80" t="inlineStr">
        <is>
          <t>D348</t>
        </is>
      </c>
      <c r="AB80" t="inlineStr">
        <is>
          <t>PD0294 LAGUNA VERDE 2</t>
        </is>
      </c>
      <c r="AC80" t="n">
        <v>56103638</v>
      </c>
      <c r="AD80" t="n">
        <v>6644041540</v>
      </c>
      <c r="AE80" t="n">
        <v>4</v>
      </c>
      <c r="AF80" t="inlineStr">
        <is>
          <t>ENTREGA DIRECTA</t>
        </is>
      </c>
      <c r="AG80" t="n">
        <v>1.456</v>
      </c>
      <c r="AH80" t="inlineStr">
        <is>
          <t>M3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20240826</v>
      </c>
      <c r="AM80" t="inlineStr">
        <is>
          <t>DW55-900008935-D348-10217663-4</t>
        </is>
      </c>
    </row>
    <row r="81">
      <c r="A81" t="inlineStr">
        <is>
          <t>900008935DW55D32510217663</t>
        </is>
      </c>
      <c r="B81" t="inlineStr">
        <is>
          <t>4600070151-10</t>
        </is>
      </c>
      <c r="C81" t="n">
        <v>4600070151</v>
      </c>
      <c r="D81" t="n">
        <v>10</v>
      </c>
      <c r="E81" t="inlineStr">
        <is>
          <t>MXPO</t>
        </is>
      </c>
      <c r="F81" t="inlineStr">
        <is>
          <t>MXL</t>
        </is>
      </c>
      <c r="G81" t="n">
        <v>900008935</v>
      </c>
      <c r="H81" t="inlineStr">
        <is>
          <t>SF TC-ED CONCETAB</t>
        </is>
      </c>
      <c r="I81" t="n">
        <v>5093989</v>
      </c>
      <c r="J81" t="inlineStr">
        <is>
          <t>AGREGADOS Y CEMENTOS CONCETAB S DE</t>
        </is>
      </c>
      <c r="K81" t="inlineStr">
        <is>
          <t>N90</t>
        </is>
      </c>
      <c r="L81" t="inlineStr">
        <is>
          <t>(AP) NAFIN 90 Dias</t>
        </is>
      </c>
      <c r="M81" t="n">
        <v>10217663</v>
      </c>
      <c r="N81" t="inlineStr">
        <is>
          <t>ARENA CLASIFICADA RÍO MALLA 4 -TABASCO</t>
        </is>
      </c>
      <c r="O81" t="inlineStr">
        <is>
          <t>DW55</t>
        </is>
      </c>
      <c r="P81" t="inlineStr">
        <is>
          <t>MX-CED. TABASCO</t>
        </is>
      </c>
      <c r="Q81" t="n">
        <v>20240821</v>
      </c>
      <c r="R81" t="n">
        <v>20291231</v>
      </c>
      <c r="S81" t="n">
        <v>20240821</v>
      </c>
      <c r="T81" t="n">
        <v>20291231</v>
      </c>
      <c r="U81" t="n">
        <v>439</v>
      </c>
      <c r="V81" t="inlineStr">
        <is>
          <t>MXN</t>
        </is>
      </c>
      <c r="W81" t="inlineStr">
        <is>
          <t>M3</t>
        </is>
      </c>
      <c r="X81" t="n">
        <v>371</v>
      </c>
      <c r="Y81" t="inlineStr">
        <is>
          <t>MXN</t>
        </is>
      </c>
      <c r="Z81" t="inlineStr">
        <is>
          <t>M3</t>
        </is>
      </c>
      <c r="AA81" t="inlineStr">
        <is>
          <t>D325</t>
        </is>
      </c>
      <c r="AB81" t="inlineStr">
        <is>
          <t>PD0402 PALENQUE II</t>
        </is>
      </c>
      <c r="AC81" t="n">
        <v>56103638</v>
      </c>
      <c r="AD81" t="n">
        <v>6644041540</v>
      </c>
      <c r="AE81" t="n">
        <v>4</v>
      </c>
      <c r="AF81" t="inlineStr">
        <is>
          <t>ENTREGA DIRECTA</t>
        </is>
      </c>
      <c r="AG81" t="n">
        <v>1.456</v>
      </c>
      <c r="AH81" t="inlineStr">
        <is>
          <t>M3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20240826</v>
      </c>
      <c r="AM81" t="inlineStr">
        <is>
          <t>DW55-900008935-D325-10217663-4</t>
        </is>
      </c>
    </row>
    <row r="82">
      <c r="A82" t="inlineStr">
        <is>
          <t>900007800DW55D34210000541</t>
        </is>
      </c>
      <c r="B82" t="inlineStr">
        <is>
          <t>4600068861-20</t>
        </is>
      </c>
      <c r="C82" t="n">
        <v>4600068861</v>
      </c>
      <c r="D82" t="n">
        <v>20</v>
      </c>
      <c r="E82" t="inlineStr">
        <is>
          <t>MXPO</t>
        </is>
      </c>
      <c r="F82" t="inlineStr">
        <is>
          <t>MXL</t>
        </is>
      </c>
      <c r="G82" t="n">
        <v>900007800</v>
      </c>
      <c r="H82" t="inlineStr">
        <is>
          <t>SF TC-ED-CLAKAR</t>
        </is>
      </c>
      <c r="I82" t="n">
        <v>5086783</v>
      </c>
      <c r="J82" t="inlineStr">
        <is>
          <t>CLA KAR COMPAÑIA DEL SURESTE SA DE</t>
        </is>
      </c>
      <c r="K82" t="inlineStr">
        <is>
          <t>N30</t>
        </is>
      </c>
      <c r="L82" t="inlineStr">
        <is>
          <t>(AP) NAFIN 30 Dias</t>
        </is>
      </c>
      <c r="M82" t="n">
        <v>10000541</v>
      </c>
      <c r="N82" t="inlineStr">
        <is>
          <t>Grava Clasificada Río 10 mm - 3/8"</t>
        </is>
      </c>
      <c r="O82" t="inlineStr">
        <is>
          <t>DW55</t>
        </is>
      </c>
      <c r="P82" t="inlineStr">
        <is>
          <t>MX-CED. TABASCO</t>
        </is>
      </c>
      <c r="Q82" t="n">
        <v>20231201</v>
      </c>
      <c r="R82" t="n">
        <v>20291231</v>
      </c>
      <c r="S82" t="n">
        <v>20240229</v>
      </c>
      <c r="T82" t="n">
        <v>20291231</v>
      </c>
      <c r="U82" t="n">
        <v>830</v>
      </c>
      <c r="V82" t="inlineStr">
        <is>
          <t>MXN</t>
        </is>
      </c>
      <c r="W82" t="inlineStr">
        <is>
          <t>M3</t>
        </is>
      </c>
      <c r="X82" t="n">
        <v>500</v>
      </c>
      <c r="Y82" t="inlineStr">
        <is>
          <t>MXN</t>
        </is>
      </c>
      <c r="Z82" t="inlineStr">
        <is>
          <t>M3</t>
        </is>
      </c>
      <c r="AA82" t="inlineStr">
        <is>
          <t>D342</t>
        </is>
      </c>
      <c r="AB82" t="inlineStr">
        <is>
          <t>PD0268 SAMARIA II -PLANTA 2</t>
        </is>
      </c>
      <c r="AC82" t="n">
        <v>56103637</v>
      </c>
      <c r="AD82" t="n">
        <v>6644041540</v>
      </c>
      <c r="AE82" t="n">
        <v>4</v>
      </c>
      <c r="AF82" t="inlineStr">
        <is>
          <t>ENTREGA DIRECTA</t>
        </is>
      </c>
      <c r="AG82" t="n">
        <v>1.528</v>
      </c>
      <c r="AH82" t="inlineStr">
        <is>
          <t>M3</t>
        </is>
      </c>
      <c r="AI82" t="inlineStr">
        <is>
          <t>X</t>
        </is>
      </c>
      <c r="AJ82" t="n">
        <v>4</v>
      </c>
      <c r="AK82" t="inlineStr">
        <is>
          <t>V4</t>
        </is>
      </c>
      <c r="AL82" t="n">
        <v>20240307</v>
      </c>
      <c r="AM82" t="inlineStr">
        <is>
          <t>DW55-900007800-D342-10000541-4</t>
        </is>
      </c>
    </row>
    <row r="83">
      <c r="A83" t="inlineStr">
        <is>
          <t>900008330DW5510255395</t>
        </is>
      </c>
      <c r="B83" t="inlineStr">
        <is>
          <t>4600058389-20</t>
        </is>
      </c>
      <c r="C83" t="n">
        <v>4600058389</v>
      </c>
      <c r="D83" t="n">
        <v>20</v>
      </c>
      <c r="E83" t="inlineStr">
        <is>
          <t>MXPO</t>
        </is>
      </c>
      <c r="F83" t="inlineStr">
        <is>
          <t>MXL</t>
        </is>
      </c>
      <c r="G83" t="n">
        <v>900008330</v>
      </c>
      <c r="H83" t="inlineStr">
        <is>
          <t>SF TC-HOLCIM RZ</t>
        </is>
      </c>
      <c r="I83" t="n">
        <v>5075390</v>
      </c>
      <c r="J83" t="inlineStr">
        <is>
          <t>CORPORACION ANRROCA SA DE CV</t>
        </is>
      </c>
      <c r="K83" t="inlineStr">
        <is>
          <t>E90</t>
        </is>
      </c>
      <c r="L83" t="inlineStr">
        <is>
          <t>(AP) E-FACTOR 90 Dias</t>
        </is>
      </c>
      <c r="M83" t="n">
        <v>10255395</v>
      </c>
      <c r="N83" t="inlineStr">
        <is>
          <t>GRAVA TRITURADA CALIZA 20 MM - 3/4"</t>
        </is>
      </c>
      <c r="O83" t="inlineStr">
        <is>
          <t>DW55</t>
        </is>
      </c>
      <c r="P83" t="inlineStr">
        <is>
          <t>MX-CED. TABASCO</t>
        </is>
      </c>
      <c r="Q83" t="n">
        <v>20230818</v>
      </c>
      <c r="R83" t="n">
        <v>20291231</v>
      </c>
      <c r="S83" t="n">
        <v>20240318</v>
      </c>
      <c r="T83" t="n">
        <v>20291231</v>
      </c>
      <c r="U83" t="n">
        <v>350</v>
      </c>
      <c r="V83" t="inlineStr">
        <is>
          <t>MXN</t>
        </is>
      </c>
      <c r="W83" t="inlineStr">
        <is>
          <t>M3</t>
        </is>
      </c>
      <c r="X83" t="n">
        <v>0</v>
      </c>
      <c r="Y83" t="inlineStr">
        <is>
          <t>MXN</t>
        </is>
      </c>
      <c r="Z83" t="inlineStr">
        <is>
          <t>M3</t>
        </is>
      </c>
      <c r="AC83" t="n">
        <v>56103637</v>
      </c>
      <c r="AD83" t="n">
        <v>6644041540</v>
      </c>
      <c r="AE83" t="n">
        <v>1</v>
      </c>
      <c r="AF83" t="inlineStr">
        <is>
          <t>ENTREGADO</t>
        </is>
      </c>
      <c r="AG83" t="n">
        <v>1.448</v>
      </c>
      <c r="AH83" t="inlineStr">
        <is>
          <t>M3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20240320</v>
      </c>
      <c r="AM83" t="inlineStr">
        <is>
          <t>DW55-900008330-10255395</t>
        </is>
      </c>
    </row>
    <row r="84">
      <c r="A84" t="inlineStr">
        <is>
          <t>900008935DW55D34210217663</t>
        </is>
      </c>
      <c r="B84" t="inlineStr">
        <is>
          <t>4600070151-50</t>
        </is>
      </c>
      <c r="C84" t="n">
        <v>4600070151</v>
      </c>
      <c r="D84" t="n">
        <v>50</v>
      </c>
      <c r="E84" t="inlineStr">
        <is>
          <t>MXPO</t>
        </is>
      </c>
      <c r="F84" t="inlineStr">
        <is>
          <t>MXL</t>
        </is>
      </c>
      <c r="G84" t="n">
        <v>900008935</v>
      </c>
      <c r="H84" t="inlineStr">
        <is>
          <t>SF TC-ED CONCETAB</t>
        </is>
      </c>
      <c r="I84" t="n">
        <v>5093989</v>
      </c>
      <c r="J84" t="inlineStr">
        <is>
          <t>AGREGADOS Y CEMENTOS CONCETAB S DE</t>
        </is>
      </c>
      <c r="K84" t="inlineStr">
        <is>
          <t>N90</t>
        </is>
      </c>
      <c r="L84" t="inlineStr">
        <is>
          <t>(AP) NAFIN 90 Dias</t>
        </is>
      </c>
      <c r="M84" t="n">
        <v>10217663</v>
      </c>
      <c r="N84" t="inlineStr">
        <is>
          <t>ARENA CLASIFICADA RÍO MALLA 4 -TABASCO</t>
        </is>
      </c>
      <c r="O84" t="inlineStr">
        <is>
          <t>DW55</t>
        </is>
      </c>
      <c r="P84" t="inlineStr">
        <is>
          <t>MX-CED. TABASCO</t>
        </is>
      </c>
      <c r="Q84" t="n">
        <v>20240821</v>
      </c>
      <c r="R84" t="n">
        <v>20291231</v>
      </c>
      <c r="S84" t="n">
        <v>20240821</v>
      </c>
      <c r="T84" t="n">
        <v>20291231</v>
      </c>
      <c r="U84" t="n">
        <v>195</v>
      </c>
      <c r="V84" t="inlineStr">
        <is>
          <t>MXN</t>
        </is>
      </c>
      <c r="W84" t="inlineStr">
        <is>
          <t>M3</t>
        </is>
      </c>
      <c r="X84" t="n">
        <v>127</v>
      </c>
      <c r="Y84" t="inlineStr">
        <is>
          <t>MXN</t>
        </is>
      </c>
      <c r="Z84" t="inlineStr">
        <is>
          <t>M3</t>
        </is>
      </c>
      <c r="AA84" t="inlineStr">
        <is>
          <t>D342</t>
        </is>
      </c>
      <c r="AB84" t="inlineStr">
        <is>
          <t>PD0268 SAMARIA II -PLANTA 2</t>
        </is>
      </c>
      <c r="AC84" t="n">
        <v>56103638</v>
      </c>
      <c r="AD84" t="n">
        <v>6644041540</v>
      </c>
      <c r="AE84" t="n">
        <v>4</v>
      </c>
      <c r="AF84" t="inlineStr">
        <is>
          <t>ENTREGA DIRECTA</t>
        </is>
      </c>
      <c r="AG84" t="n">
        <v>1.456</v>
      </c>
      <c r="AH84" t="inlineStr">
        <is>
          <t>M3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20240826</v>
      </c>
      <c r="AM84" t="inlineStr">
        <is>
          <t>DW55-900008935-D342-10217663-4</t>
        </is>
      </c>
    </row>
    <row r="85">
      <c r="A85" t="inlineStr">
        <is>
          <t>900008935DW55D28410217663</t>
        </is>
      </c>
      <c r="B85" t="inlineStr">
        <is>
          <t>4600070151-30</t>
        </is>
      </c>
      <c r="C85" t="n">
        <v>4600070151</v>
      </c>
      <c r="D85" t="n">
        <v>30</v>
      </c>
      <c r="E85" t="inlineStr">
        <is>
          <t>MXPO</t>
        </is>
      </c>
      <c r="F85" t="inlineStr">
        <is>
          <t>MXL</t>
        </is>
      </c>
      <c r="G85" t="n">
        <v>900008935</v>
      </c>
      <c r="H85" t="inlineStr">
        <is>
          <t>SF TC-ED CONCETAB</t>
        </is>
      </c>
      <c r="I85" t="n">
        <v>5093989</v>
      </c>
      <c r="J85" t="inlineStr">
        <is>
          <t>AGREGADOS Y CEMENTOS CONCETAB S DE</t>
        </is>
      </c>
      <c r="K85" t="inlineStr">
        <is>
          <t>N90</t>
        </is>
      </c>
      <c r="L85" t="inlineStr">
        <is>
          <t>(AP) NAFIN 90 Dias</t>
        </is>
      </c>
      <c r="M85" t="n">
        <v>10217663</v>
      </c>
      <c r="N85" t="inlineStr">
        <is>
          <t>ARENA CLASIFICADA RÍO MALLA 4 -TABASCO</t>
        </is>
      </c>
      <c r="O85" t="inlineStr">
        <is>
          <t>DW55</t>
        </is>
      </c>
      <c r="P85" t="inlineStr">
        <is>
          <t>MX-CED. TABASCO</t>
        </is>
      </c>
      <c r="Q85" t="n">
        <v>20240821</v>
      </c>
      <c r="R85" t="n">
        <v>20291231</v>
      </c>
      <c r="S85" t="n">
        <v>20240821</v>
      </c>
      <c r="T85" t="n">
        <v>20291231</v>
      </c>
      <c r="U85" t="n">
        <v>145</v>
      </c>
      <c r="V85" t="inlineStr">
        <is>
          <t>MXN</t>
        </is>
      </c>
      <c r="W85" t="inlineStr">
        <is>
          <t>M3</t>
        </is>
      </c>
      <c r="X85" t="n">
        <v>77</v>
      </c>
      <c r="Y85" t="inlineStr">
        <is>
          <t>MXN</t>
        </is>
      </c>
      <c r="Z85" t="inlineStr">
        <is>
          <t>M3</t>
        </is>
      </c>
      <c r="AA85" t="inlineStr">
        <is>
          <t>D284</t>
        </is>
      </c>
      <c r="AB85" t="inlineStr">
        <is>
          <t>PD0183 VILLAHERMOSA</t>
        </is>
      </c>
      <c r="AC85" t="n">
        <v>56103638</v>
      </c>
      <c r="AD85" t="n">
        <v>6644041540</v>
      </c>
      <c r="AE85" t="n">
        <v>4</v>
      </c>
      <c r="AF85" t="inlineStr">
        <is>
          <t>ENTREGA DIRECTA</t>
        </is>
      </c>
      <c r="AG85" t="n">
        <v>1.456</v>
      </c>
      <c r="AH85" t="inlineStr">
        <is>
          <t>M3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20240826</v>
      </c>
      <c r="AM85" t="inlineStr">
        <is>
          <t>DW55-900008935-D284-10217663-4</t>
        </is>
      </c>
    </row>
    <row r="86">
      <c r="A86" t="inlineStr">
        <is>
          <t>900008935DW55D30910217663</t>
        </is>
      </c>
      <c r="B86" t="inlineStr">
        <is>
          <t>4600070151-20</t>
        </is>
      </c>
      <c r="C86" t="n">
        <v>4600070151</v>
      </c>
      <c r="D86" t="n">
        <v>20</v>
      </c>
      <c r="E86" t="inlineStr">
        <is>
          <t>MXPO</t>
        </is>
      </c>
      <c r="F86" t="inlineStr">
        <is>
          <t>MXL</t>
        </is>
      </c>
      <c r="G86" t="n">
        <v>900008935</v>
      </c>
      <c r="H86" t="inlineStr">
        <is>
          <t>SF TC-ED CONCETAB</t>
        </is>
      </c>
      <c r="I86" t="n">
        <v>5093989</v>
      </c>
      <c r="J86" t="inlineStr">
        <is>
          <t>AGREGADOS Y CEMENTOS CONCETAB S DE</t>
        </is>
      </c>
      <c r="K86" t="inlineStr">
        <is>
          <t>N90</t>
        </is>
      </c>
      <c r="L86" t="inlineStr">
        <is>
          <t>(AP) NAFIN 90 Dias</t>
        </is>
      </c>
      <c r="M86" t="n">
        <v>10217663</v>
      </c>
      <c r="N86" t="inlineStr">
        <is>
          <t>ARENA CLASIFICADA RÍO MALLA 4 -TABASCO</t>
        </is>
      </c>
      <c r="O86" t="inlineStr">
        <is>
          <t>DW55</t>
        </is>
      </c>
      <c r="P86" t="inlineStr">
        <is>
          <t>MX-CED. TABASCO</t>
        </is>
      </c>
      <c r="Q86" t="n">
        <v>20240821</v>
      </c>
      <c r="R86" t="n">
        <v>20291231</v>
      </c>
      <c r="S86" t="n">
        <v>20240821</v>
      </c>
      <c r="T86" t="n">
        <v>20291231</v>
      </c>
      <c r="U86" t="n">
        <v>111</v>
      </c>
      <c r="V86" t="inlineStr">
        <is>
          <t>MXN</t>
        </is>
      </c>
      <c r="W86" t="inlineStr">
        <is>
          <t>M3</t>
        </is>
      </c>
      <c r="X86" t="n">
        <v>43</v>
      </c>
      <c r="Y86" t="inlineStr">
        <is>
          <t>MXN</t>
        </is>
      </c>
      <c r="Z86" t="inlineStr">
        <is>
          <t>M3</t>
        </is>
      </c>
      <c r="AA86" t="inlineStr">
        <is>
          <t>D309</t>
        </is>
      </c>
      <c r="AB86" t="inlineStr">
        <is>
          <t>PD0477 CARDENAS</t>
        </is>
      </c>
      <c r="AC86" t="n">
        <v>56103638</v>
      </c>
      <c r="AD86" t="n">
        <v>6644041540</v>
      </c>
      <c r="AE86" t="n">
        <v>4</v>
      </c>
      <c r="AF86" t="inlineStr">
        <is>
          <t>ENTREGA DIRECTA</t>
        </is>
      </c>
      <c r="AG86" t="n">
        <v>1.456</v>
      </c>
      <c r="AH86" t="inlineStr">
        <is>
          <t>M3</t>
        </is>
      </c>
      <c r="AI86" t="inlineStr">
        <is>
          <t>X</t>
        </is>
      </c>
      <c r="AJ86" t="n">
        <v>4</v>
      </c>
      <c r="AK86" t="inlineStr">
        <is>
          <t>V4</t>
        </is>
      </c>
      <c r="AL86" t="n">
        <v>20240826</v>
      </c>
      <c r="AM86" t="inlineStr">
        <is>
          <t>DW55-900008935-D309-10217663-4</t>
        </is>
      </c>
    </row>
    <row r="87">
      <c r="A87" t="inlineStr">
        <is>
          <t>900007952DW5510217663</t>
        </is>
      </c>
      <c r="B87" t="inlineStr">
        <is>
          <t>4600056000-10</t>
        </is>
      </c>
      <c r="C87" t="n">
        <v>4600056000</v>
      </c>
      <c r="D87" t="n">
        <v>10</v>
      </c>
      <c r="E87" t="inlineStr">
        <is>
          <t>MXPO</t>
        </is>
      </c>
      <c r="F87" t="inlineStr">
        <is>
          <t>MXL</t>
        </is>
      </c>
      <c r="G87" t="n">
        <v>900007952</v>
      </c>
      <c r="H87" t="inlineStr">
        <is>
          <t>SF TC-BANCO GARCIA</t>
        </is>
      </c>
      <c r="I87" t="n">
        <v>5067302</v>
      </c>
      <c r="J87" t="inlineStr">
        <is>
          <t>GARCIA BALTAZAR MIGUEL</t>
        </is>
      </c>
      <c r="K87" t="inlineStr">
        <is>
          <t>N90</t>
        </is>
      </c>
      <c r="L87" t="inlineStr">
        <is>
          <t>(AP) NAFIN 90 Dias</t>
        </is>
      </c>
      <c r="M87" t="n">
        <v>10217663</v>
      </c>
      <c r="N87" t="inlineStr">
        <is>
          <t>ARENA CLASIFICADA RÍO MALLA 4 -TABASCO</t>
        </is>
      </c>
      <c r="O87" t="inlineStr">
        <is>
          <t>DW55</t>
        </is>
      </c>
      <c r="P87" t="inlineStr">
        <is>
          <t>MX-CED. TABASCO</t>
        </is>
      </c>
      <c r="Q87" t="n">
        <v>20221220</v>
      </c>
      <c r="R87" t="n">
        <v>20291231</v>
      </c>
      <c r="S87" t="n">
        <v>20240313</v>
      </c>
      <c r="T87" t="n">
        <v>20291231</v>
      </c>
      <c r="U87" t="n">
        <v>74.5</v>
      </c>
      <c r="V87" t="inlineStr">
        <is>
          <t>MXN</t>
        </is>
      </c>
      <c r="W87" t="inlineStr">
        <is>
          <t>M3</t>
        </is>
      </c>
      <c r="X87" t="n">
        <v>0</v>
      </c>
      <c r="Y87" t="inlineStr">
        <is>
          <t>MXN</t>
        </is>
      </c>
      <c r="Z87" t="inlineStr">
        <is>
          <t>M3</t>
        </is>
      </c>
      <c r="AC87" t="n">
        <v>56103638</v>
      </c>
      <c r="AD87" t="n">
        <v>6644041540</v>
      </c>
      <c r="AE87" t="n">
        <v>1</v>
      </c>
      <c r="AF87" t="inlineStr">
        <is>
          <t>ENTREGADO</t>
        </is>
      </c>
      <c r="AG87" t="n">
        <v>1.456</v>
      </c>
      <c r="AH87" t="inlineStr">
        <is>
          <t>M3</t>
        </is>
      </c>
      <c r="AI87" t="inlineStr">
        <is>
          <t>X</t>
        </is>
      </c>
      <c r="AJ87" t="n">
        <v>4</v>
      </c>
      <c r="AK87" t="inlineStr">
        <is>
          <t>V4</t>
        </is>
      </c>
      <c r="AL87" t="n">
        <v>20240429</v>
      </c>
      <c r="AM87" t="inlineStr">
        <is>
          <t>DW55-900007952-10217663</t>
        </is>
      </c>
    </row>
    <row r="88">
      <c r="A88" t="inlineStr">
        <is>
          <t>900007603DW5510210260</t>
        </is>
      </c>
      <c r="B88" t="inlineStr">
        <is>
          <t>4600055630-10</t>
        </is>
      </c>
      <c r="C88" t="n">
        <v>4600055630</v>
      </c>
      <c r="D88" t="n">
        <v>10</v>
      </c>
      <c r="E88" t="inlineStr">
        <is>
          <t>MXPO</t>
        </is>
      </c>
      <c r="F88" t="inlineStr">
        <is>
          <t>MXL</t>
        </is>
      </c>
      <c r="G88" t="n">
        <v>900007603</v>
      </c>
      <c r="H88" t="inlineStr">
        <is>
          <t>SF TC-FRISO CONSMIN TAB</t>
        </is>
      </c>
      <c r="I88" t="n">
        <v>5083592</v>
      </c>
      <c r="J88" t="inlineStr">
        <is>
          <t>FRISO CONSMIN SA DE CV</t>
        </is>
      </c>
      <c r="K88" t="inlineStr">
        <is>
          <t>N45</t>
        </is>
      </c>
      <c r="L88" t="inlineStr">
        <is>
          <t>(AP) NAFIN 45 Dias</t>
        </is>
      </c>
      <c r="M88" t="n">
        <v>10210260</v>
      </c>
      <c r="N88" t="inlineStr">
        <is>
          <t>GRAVA TRITURADA CALIZA 20MM - 3/4"</t>
        </is>
      </c>
      <c r="O88" t="inlineStr">
        <is>
          <t>DW55</t>
        </is>
      </c>
      <c r="P88" t="inlineStr">
        <is>
          <t>MX-CED. TABASCO</t>
        </is>
      </c>
      <c r="Q88" t="n">
        <v>20220520</v>
      </c>
      <c r="R88" t="n">
        <v>20271231</v>
      </c>
      <c r="U88" t="n">
        <v>0</v>
      </c>
      <c r="V88" t="inlineStr">
        <is>
          <t>MXN</t>
        </is>
      </c>
      <c r="W88" t="inlineStr">
        <is>
          <t>M3</t>
        </is>
      </c>
      <c r="AC88" t="n">
        <v>56103637</v>
      </c>
      <c r="AD88" t="n">
        <v>6644041867</v>
      </c>
      <c r="AE88" t="n">
        <v>1</v>
      </c>
      <c r="AF88" t="inlineStr">
        <is>
          <t>ENTREGADO</t>
        </is>
      </c>
      <c r="AG88" t="n">
        <v>1.491</v>
      </c>
      <c r="AH88" t="inlineStr">
        <is>
          <t>M3</t>
        </is>
      </c>
      <c r="AI88" t="inlineStr">
        <is>
          <t>X</t>
        </is>
      </c>
      <c r="AJ88" t="n">
        <v>4</v>
      </c>
      <c r="AK88" t="inlineStr">
        <is>
          <t>V4</t>
        </is>
      </c>
      <c r="AL88" t="n">
        <v>20260422</v>
      </c>
      <c r="AM88" t="inlineStr">
        <is>
          <t>DW55-900007603-10210260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2026-09-14T14:21:33Z</dcterms:created>
  <dcterms:modified xsi:type="dcterms:W3CDTF">2026-09-14T14:21:34Z</dcterms:modified>
</cp:coreProperties>
</file>