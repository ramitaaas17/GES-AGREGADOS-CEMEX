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900000036</v>
      </c>
      <c r="D3" s="7">
        <f>IFERROR(VLOOKUP(C3,TRAOPE!$G:$H,2,0),"")</f>
        <v/>
      </c>
      <c r="E3" s="8" t="inlineStr">
        <is>
          <t>D822</t>
        </is>
      </c>
      <c r="F3" s="8" t="inlineStr">
        <is>
          <t>66844588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10000624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20190426</t>
        </is>
      </c>
      <c r="M3" s="8" t="inlineStr">
        <is>
          <t>20250127</t>
        </is>
      </c>
      <c r="N3" s="10" t="n">
        <v>50.03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900000036</v>
      </c>
      <c r="D4" s="7">
        <f>IFERROR(VLOOKUP(C4,TRAOPE!$G:$H,2,0),"")</f>
        <v/>
      </c>
      <c r="E4" s="8" t="inlineStr">
        <is>
          <t>D822</t>
        </is>
      </c>
      <c r="F4" s="8" t="inlineStr">
        <is>
          <t>66844588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10000630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20190426</t>
        </is>
      </c>
      <c r="M4" s="8" t="inlineStr">
        <is>
          <t>20250127</t>
        </is>
      </c>
      <c r="N4" s="10" t="n">
        <v>75.98999999999999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900000036</v>
      </c>
      <c r="D5" s="7">
        <f>IFERROR(VLOOKUP(C5,TRAOPE!$G:$H,2,0),"")</f>
        <v/>
      </c>
      <c r="E5" s="8" t="inlineStr">
        <is>
          <t>D822</t>
        </is>
      </c>
      <c r="F5" s="8" t="inlineStr">
        <is>
          <t>66844588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10000811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20190426</t>
        </is>
      </c>
      <c r="M5" s="8" t="inlineStr">
        <is>
          <t>20250127</t>
        </is>
      </c>
      <c r="N5" s="10" t="n">
        <v>54.43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900000036</v>
      </c>
      <c r="D6" s="7">
        <f>IFERROR(VLOOKUP(C6,TRAOPE!$G:$H,2,0),"")</f>
        <v/>
      </c>
      <c r="E6" s="8" t="inlineStr">
        <is>
          <t>D822</t>
        </is>
      </c>
      <c r="F6" s="8" t="inlineStr">
        <is>
          <t>66844588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10171624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20190426</t>
        </is>
      </c>
      <c r="M6" s="8" t="inlineStr">
        <is>
          <t>20250127</t>
        </is>
      </c>
      <c r="N6" s="10" t="n">
        <v>56.97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900005451</v>
      </c>
      <c r="D7" s="7">
        <f>IFERROR(VLOOKUP(C7,TRAOPE!$G:$H,2,0),"")</f>
        <v/>
      </c>
      <c r="E7" s="8" t="inlineStr">
        <is>
          <t>D822</t>
        </is>
      </c>
      <c r="F7" s="8" t="inlineStr">
        <is>
          <t>65003945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10151420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20190426</t>
        </is>
      </c>
      <c r="M7" s="8" t="inlineStr">
        <is>
          <t>20250127</t>
        </is>
      </c>
      <c r="N7" s="10" t="n">
        <v>52000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900005517</v>
      </c>
      <c r="D8" s="7">
        <f>IFERROR(VLOOKUP(C8,TRAOPE!$G:$H,2,0),"")</f>
        <v/>
      </c>
      <c r="E8" s="8" t="inlineStr">
        <is>
          <t>D822</t>
        </is>
      </c>
      <c r="F8" s="8" t="inlineStr">
        <is>
          <t>65908426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10149996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20190426</t>
        </is>
      </c>
      <c r="M8" s="8" t="inlineStr">
        <is>
          <t>20250127</t>
        </is>
      </c>
      <c r="N8" s="10" t="n">
        <v>52000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900005544</v>
      </c>
      <c r="D9" s="7">
        <f>IFERROR(VLOOKUP(C9,TRAOPE!$G:$H,2,0),"")</f>
        <v/>
      </c>
      <c r="E9" s="8" t="inlineStr">
        <is>
          <t>D822</t>
        </is>
      </c>
      <c r="F9" s="8" t="inlineStr">
        <is>
          <t>65908426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10149996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20190426</t>
        </is>
      </c>
      <c r="M9" s="8" t="inlineStr">
        <is>
          <t>20250127</t>
        </is>
      </c>
      <c r="N9" s="10" t="n">
        <v>2600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900007368</v>
      </c>
      <c r="D10" s="7">
        <f>IFERROR(VLOOKUP(C10,TRAOPE!$G:$H,2,0),"")</f>
        <v/>
      </c>
      <c r="E10" s="8" t="inlineStr">
        <is>
          <t>D822</t>
        </is>
      </c>
      <c r="F10" s="8" t="inlineStr">
        <is>
          <t>66542531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10000430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20190426</t>
        </is>
      </c>
      <c r="M10" s="8" t="inlineStr">
        <is>
          <t>20250127</t>
        </is>
      </c>
      <c r="N10" s="10" t="n">
        <v>145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900007628</v>
      </c>
      <c r="D11" s="7">
        <f>IFERROR(VLOOKUP(C11,TRAOPE!$G:$H,2,0),"")</f>
        <v/>
      </c>
      <c r="E11" s="8" t="inlineStr">
        <is>
          <t>D822</t>
        </is>
      </c>
      <c r="F11" s="8" t="inlineStr">
        <is>
          <t>66793832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10213469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20190426</t>
        </is>
      </c>
      <c r="M11" s="8" t="inlineStr">
        <is>
          <t>20250127</t>
        </is>
      </c>
      <c r="N11" s="10" t="n">
        <v>110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900007628</v>
      </c>
      <c r="D12" s="7">
        <f>IFERROR(VLOOKUP(C12,TRAOPE!$G:$H,2,0),"")</f>
        <v/>
      </c>
      <c r="E12" s="8" t="inlineStr">
        <is>
          <t>D822</t>
        </is>
      </c>
      <c r="F12" s="8" t="inlineStr">
        <is>
          <t>67158638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10213469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20190426</t>
        </is>
      </c>
      <c r="M12" s="8" t="inlineStr">
        <is>
          <t>20250127</t>
        </is>
      </c>
      <c r="N12" s="10" t="n">
        <v>124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900007628</v>
      </c>
      <c r="D13" s="7">
        <f>IFERROR(VLOOKUP(C13,TRAOPE!$G:$H,2,0),"")</f>
        <v/>
      </c>
      <c r="E13" s="8" t="inlineStr">
        <is>
          <t>D822</t>
        </is>
      </c>
      <c r="F13" s="8" t="inlineStr">
        <is>
          <t>67158638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10213931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20190426</t>
        </is>
      </c>
      <c r="M13" s="8" t="inlineStr">
        <is>
          <t>20250127</t>
        </is>
      </c>
      <c r="N13" s="10" t="n">
        <v>364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900007628</v>
      </c>
      <c r="D14" s="7">
        <f>IFERROR(VLOOKUP(C14,TRAOPE!$G:$H,2,0),"")</f>
        <v/>
      </c>
      <c r="E14" s="8" t="inlineStr">
        <is>
          <t>D822</t>
        </is>
      </c>
      <c r="F14" s="8" t="inlineStr">
        <is>
          <t>67169669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10213469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20240619</t>
        </is>
      </c>
      <c r="M14" s="8" t="inlineStr">
        <is>
          <t>20251031</t>
        </is>
      </c>
      <c r="N14" s="10" t="n">
        <v>120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900007901</v>
      </c>
      <c r="D15" s="7">
        <f>IFERROR(VLOOKUP(C15,TRAOPE!$G:$H,2,0),"")</f>
        <v/>
      </c>
      <c r="E15" s="8" t="inlineStr">
        <is>
          <t>D822</t>
        </is>
      </c>
      <c r="F15" s="8" t="inlineStr">
        <is>
          <t>67169669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10213931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20240619</t>
        </is>
      </c>
      <c r="M15" s="8" t="inlineStr">
        <is>
          <t>20251031</t>
        </is>
      </c>
      <c r="N15" s="10" t="n">
        <v>385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900008180</v>
      </c>
      <c r="D16" s="7">
        <f>IFERROR(VLOOKUP(C16,TRAOPE!$G:$H,2,0),"")</f>
        <v/>
      </c>
      <c r="E16" s="8" t="inlineStr">
        <is>
          <t>D822</t>
        </is>
      </c>
      <c r="F16" s="8" t="inlineStr">
        <is>
          <t>66793832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10213469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20240619</t>
        </is>
      </c>
      <c r="M16" s="8" t="inlineStr">
        <is>
          <t>20251031</t>
        </is>
      </c>
      <c r="N16" s="10" t="n">
        <v>125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900008720</v>
      </c>
      <c r="D17" s="7">
        <f>IFERROR(VLOOKUP(C17,TRAOPE!$G:$H,2,0),"")</f>
        <v/>
      </c>
      <c r="E17" s="8" t="inlineStr">
        <is>
          <t>D822</t>
        </is>
      </c>
      <c r="F17" s="8" t="inlineStr">
        <is>
          <t>67198558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10213469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20240619</t>
        </is>
      </c>
      <c r="M17" s="8" t="inlineStr">
        <is>
          <t>20251031</t>
        </is>
      </c>
      <c r="N17" s="10" t="n">
        <v>140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900008720</v>
      </c>
      <c r="D18" s="7">
        <f>IFERROR(VLOOKUP(C18,TRAOPE!$G:$H,2,0),"")</f>
        <v/>
      </c>
      <c r="E18" s="8" t="inlineStr">
        <is>
          <t>D822</t>
        </is>
      </c>
      <c r="F18" s="8" t="inlineStr">
        <is>
          <t>67198558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10237051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20240619</t>
        </is>
      </c>
      <c r="M18" s="8" t="inlineStr">
        <is>
          <t>20251031</t>
        </is>
      </c>
      <c r="N18" s="10" t="n">
        <v>380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900008720</v>
      </c>
      <c r="D19" s="7">
        <f>IFERROR(VLOOKUP(C19,TRAOPE!$G:$H,2,0),"")</f>
        <v/>
      </c>
      <c r="E19" s="8" t="inlineStr">
        <is>
          <t>D822</t>
        </is>
      </c>
      <c r="F19" s="8" t="inlineStr">
        <is>
          <t>67308815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10237051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20240619</t>
        </is>
      </c>
      <c r="M19" s="8" t="inlineStr">
        <is>
          <t>20251031</t>
        </is>
      </c>
      <c r="N19" s="10" t="n">
        <v>450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900005330</v>
      </c>
      <c r="D20" s="7">
        <f>IFERROR(VLOOKUP(C20,TRAOPE!$G:$H,2,0),"")</f>
        <v/>
      </c>
      <c r="E20" s="8" t="inlineStr">
        <is>
          <t>D822</t>
        </is>
      </c>
      <c r="F20" s="8" t="inlineStr">
        <is>
          <t>67135776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10139741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20241016</t>
        </is>
      </c>
      <c r="M20" s="8" t="inlineStr">
        <is>
          <t>99991231</t>
        </is>
      </c>
      <c r="N20" s="10" t="n">
        <v>17155.17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900005330</v>
      </c>
      <c r="D21" s="7">
        <f>IFERROR(VLOOKUP(C21,TRAOPE!$G:$H,2,0),"")</f>
        <v/>
      </c>
      <c r="E21" s="8" t="inlineStr">
        <is>
          <t>D822</t>
        </is>
      </c>
      <c r="F21" s="8" t="inlineStr">
        <is>
          <t>67246334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10139741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20250506</t>
        </is>
      </c>
      <c r="M21" s="8" t="inlineStr">
        <is>
          <t>99991231</t>
        </is>
      </c>
      <c r="N21" s="10" t="n">
        <v>17155.17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900008720</v>
      </c>
      <c r="D22" s="7">
        <f>IFERROR(VLOOKUP(C22,TRAOPE!$G:$H,2,0),"")</f>
        <v/>
      </c>
      <c r="E22" s="8" t="inlineStr">
        <is>
          <t>D822</t>
        </is>
      </c>
      <c r="F22" s="8" t="inlineStr">
        <is>
          <t>66793832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10213469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20240619</t>
        </is>
      </c>
      <c r="M22" s="8" t="inlineStr">
        <is>
          <t>99991231</t>
        </is>
      </c>
      <c r="N22" s="10" t="n">
        <v>180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900008720</v>
      </c>
      <c r="D23" s="7">
        <f>IFERROR(VLOOKUP(C23,TRAOPE!$G:$H,2,0),"")</f>
        <v/>
      </c>
      <c r="E23" s="8" t="inlineStr">
        <is>
          <t>D822</t>
        </is>
      </c>
      <c r="F23" s="8" t="inlineStr">
        <is>
          <t>67308815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10213469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20240619</t>
        </is>
      </c>
      <c r="M23" s="8" t="inlineStr">
        <is>
          <t>99991231</t>
        </is>
      </c>
      <c r="N23" s="10" t="n">
        <v>210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900009368</v>
      </c>
      <c r="D24" s="7">
        <f>IFERROR(VLOOKUP(C24,TRAOPE!$G:$H,2,0),"")</f>
        <v/>
      </c>
      <c r="E24" s="8" t="inlineStr">
        <is>
          <t>D822</t>
        </is>
      </c>
      <c r="F24" s="8" t="inlineStr">
        <is>
          <t>67323172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10237051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20251013</t>
        </is>
      </c>
      <c r="M24" s="8" t="inlineStr">
        <is>
          <t>99991231</t>
        </is>
      </c>
      <c r="N24" s="10" t="n">
        <v>275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900009368</v>
      </c>
      <c r="D25" s="7">
        <f>IFERROR(VLOOKUP(C25,TRAOPE!$G:$H,2,0),"")</f>
        <v/>
      </c>
      <c r="E25" s="8" t="inlineStr">
        <is>
          <t>D822</t>
        </is>
      </c>
      <c r="F25" s="8" t="inlineStr">
        <is>
          <t>67323172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10237052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20251013</t>
        </is>
      </c>
      <c r="M25" s="8" t="inlineStr">
        <is>
          <t>99991231</t>
        </is>
      </c>
      <c r="N25" s="10" t="n">
        <v>275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900005330</v>
      </c>
      <c r="D26" s="7">
        <f>IFERROR(VLOOKUP(C26,TRAOPE!$G:$H,2,0),"")</f>
        <v/>
      </c>
      <c r="E26" s="8" t="inlineStr">
        <is>
          <t>D822</t>
        </is>
      </c>
      <c r="F26" s="8" t="inlineStr">
        <is>
          <t>67135776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10139741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20240813</t>
        </is>
      </c>
      <c r="M26" s="8" t="inlineStr">
        <is>
          <t>20241108</t>
        </is>
      </c>
      <c r="N26" s="10" t="n">
        <v>17155.17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900005330</v>
      </c>
      <c r="D27" s="7">
        <f>IFERROR(VLOOKUP(C27,TRAOPE!$G:$H,2,0),"")</f>
        <v/>
      </c>
      <c r="E27" s="8" t="inlineStr">
        <is>
          <t>D822</t>
        </is>
      </c>
      <c r="F27" s="8" t="inlineStr">
        <is>
          <t>67246334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10139741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20250505</t>
        </is>
      </c>
      <c r="M27" s="8" t="inlineStr">
        <is>
          <t>20250507</t>
        </is>
      </c>
      <c r="N27" s="10" t="n">
        <v>17155.17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900008720</v>
      </c>
      <c r="D28" s="7">
        <f>IFERROR(VLOOKUP(C28,TRAOPE!$G:$H,2,0),"")</f>
        <v/>
      </c>
      <c r="E28" s="8" t="inlineStr">
        <is>
          <t>D822</t>
        </is>
      </c>
      <c r="F28" s="8" t="inlineStr">
        <is>
          <t>66793832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10213469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20250505</t>
        </is>
      </c>
      <c r="M28" s="8" t="inlineStr">
        <is>
          <t>20250507</t>
        </is>
      </c>
      <c r="N28" s="10" t="n">
        <v>180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900000036</t>
        </is>
      </c>
      <c r="B2" t="inlineStr">
        <is>
          <t>D822</t>
        </is>
      </c>
      <c r="C2" t="inlineStr">
        <is>
          <t>66844588</t>
        </is>
      </c>
      <c r="D2" t="inlineStr">
        <is>
          <t>10000624</t>
        </is>
      </c>
      <c r="E2" t="inlineStr"/>
      <c r="F2" s="11" t="n">
        <v>50.03</v>
      </c>
      <c r="G2" t="inlineStr"/>
      <c r="I2" t="inlineStr">
        <is>
          <t>M3</t>
        </is>
      </c>
      <c r="J2" t="inlineStr"/>
      <c r="K2" t="inlineStr">
        <is>
          <t>20190426</t>
        </is>
      </c>
      <c r="L2" t="inlineStr">
        <is>
          <t>20250127</t>
        </is>
      </c>
    </row>
    <row r="3">
      <c r="A3" t="inlineStr">
        <is>
          <t>900000036</t>
        </is>
      </c>
      <c r="B3" t="inlineStr">
        <is>
          <t>D822</t>
        </is>
      </c>
      <c r="C3" t="inlineStr">
        <is>
          <t>66844588</t>
        </is>
      </c>
      <c r="D3" t="inlineStr">
        <is>
          <t>10000630</t>
        </is>
      </c>
      <c r="E3" t="inlineStr"/>
      <c r="F3" s="11" t="n">
        <v>75.98999999999999</v>
      </c>
      <c r="G3" t="inlineStr"/>
      <c r="I3" t="inlineStr">
        <is>
          <t>M3</t>
        </is>
      </c>
      <c r="J3" t="inlineStr"/>
      <c r="K3" t="inlineStr">
        <is>
          <t>20190426</t>
        </is>
      </c>
      <c r="L3" t="inlineStr">
        <is>
          <t>20250127</t>
        </is>
      </c>
    </row>
    <row r="4">
      <c r="A4" t="inlineStr">
        <is>
          <t>900000036</t>
        </is>
      </c>
      <c r="B4" t="inlineStr">
        <is>
          <t>D822</t>
        </is>
      </c>
      <c r="C4" t="inlineStr">
        <is>
          <t>66844588</t>
        </is>
      </c>
      <c r="D4" t="inlineStr">
        <is>
          <t>10000811</t>
        </is>
      </c>
      <c r="E4" t="inlineStr"/>
      <c r="F4" s="11" t="n">
        <v>54.43</v>
      </c>
      <c r="G4" t="inlineStr"/>
      <c r="I4" t="inlineStr">
        <is>
          <t>M3</t>
        </is>
      </c>
      <c r="J4" t="inlineStr"/>
      <c r="K4" t="inlineStr">
        <is>
          <t>20190426</t>
        </is>
      </c>
      <c r="L4" t="inlineStr">
        <is>
          <t>20250127</t>
        </is>
      </c>
    </row>
    <row r="5">
      <c r="A5" t="inlineStr">
        <is>
          <t>900000036</t>
        </is>
      </c>
      <c r="B5" t="inlineStr">
        <is>
          <t>D822</t>
        </is>
      </c>
      <c r="C5" t="inlineStr">
        <is>
          <t>66844588</t>
        </is>
      </c>
      <c r="D5" t="inlineStr">
        <is>
          <t>10171624</t>
        </is>
      </c>
      <c r="E5" t="inlineStr"/>
      <c r="F5" s="11" t="n">
        <v>56.97</v>
      </c>
      <c r="G5" t="inlineStr"/>
      <c r="I5" t="inlineStr">
        <is>
          <t>M3</t>
        </is>
      </c>
      <c r="J5" t="inlineStr"/>
      <c r="K5" t="inlineStr">
        <is>
          <t>20190426</t>
        </is>
      </c>
      <c r="L5" t="inlineStr">
        <is>
          <t>20250127</t>
        </is>
      </c>
    </row>
    <row r="6">
      <c r="A6" t="inlineStr">
        <is>
          <t>900005451</t>
        </is>
      </c>
      <c r="B6" t="inlineStr">
        <is>
          <t>D822</t>
        </is>
      </c>
      <c r="C6" t="inlineStr">
        <is>
          <t>65003945</t>
        </is>
      </c>
      <c r="D6" t="inlineStr">
        <is>
          <t>10151420</t>
        </is>
      </c>
      <c r="E6" t="inlineStr"/>
      <c r="F6" s="11" t="n">
        <v>52000</v>
      </c>
      <c r="G6" t="inlineStr"/>
      <c r="I6" t="inlineStr">
        <is>
          <t>TN</t>
        </is>
      </c>
      <c r="J6" t="inlineStr"/>
      <c r="K6" t="inlineStr">
        <is>
          <t>20190426</t>
        </is>
      </c>
      <c r="L6" t="inlineStr">
        <is>
          <t>20250127</t>
        </is>
      </c>
    </row>
    <row r="7">
      <c r="A7" t="inlineStr">
        <is>
          <t>900005517</t>
        </is>
      </c>
      <c r="B7" t="inlineStr">
        <is>
          <t>D822</t>
        </is>
      </c>
      <c r="C7" t="inlineStr">
        <is>
          <t>65908426</t>
        </is>
      </c>
      <c r="D7" t="inlineStr">
        <is>
          <t>10149996</t>
        </is>
      </c>
      <c r="E7" t="inlineStr"/>
      <c r="F7" s="11" t="n">
        <v>52000</v>
      </c>
      <c r="G7" t="inlineStr"/>
      <c r="I7" t="inlineStr">
        <is>
          <t>TN</t>
        </is>
      </c>
      <c r="J7" t="inlineStr"/>
      <c r="K7" t="inlineStr">
        <is>
          <t>20190426</t>
        </is>
      </c>
      <c r="L7" t="inlineStr">
        <is>
          <t>20250127</t>
        </is>
      </c>
    </row>
    <row r="8">
      <c r="A8" t="inlineStr">
        <is>
          <t>900005544</t>
        </is>
      </c>
      <c r="B8" t="inlineStr">
        <is>
          <t>D822</t>
        </is>
      </c>
      <c r="C8" t="inlineStr">
        <is>
          <t>65908426</t>
        </is>
      </c>
      <c r="D8" t="inlineStr">
        <is>
          <t>10149996</t>
        </is>
      </c>
      <c r="E8" t="inlineStr"/>
      <c r="F8" s="11" t="n">
        <v>2600</v>
      </c>
      <c r="G8" t="inlineStr"/>
      <c r="I8" t="inlineStr">
        <is>
          <t>TN</t>
        </is>
      </c>
      <c r="J8" t="inlineStr"/>
      <c r="K8" t="inlineStr">
        <is>
          <t>20190426</t>
        </is>
      </c>
      <c r="L8" t="inlineStr">
        <is>
          <t>20250127</t>
        </is>
      </c>
    </row>
    <row r="9">
      <c r="A9" t="inlineStr">
        <is>
          <t>900007368</t>
        </is>
      </c>
      <c r="B9" t="inlineStr">
        <is>
          <t>D822</t>
        </is>
      </c>
      <c r="C9" t="inlineStr">
        <is>
          <t>66542531</t>
        </is>
      </c>
      <c r="D9" t="inlineStr">
        <is>
          <t>10000430</t>
        </is>
      </c>
      <c r="E9" t="inlineStr"/>
      <c r="F9" s="11" t="n">
        <v>145</v>
      </c>
      <c r="G9" t="inlineStr"/>
      <c r="I9" t="inlineStr">
        <is>
          <t>M3</t>
        </is>
      </c>
      <c r="J9" t="inlineStr"/>
      <c r="K9" t="inlineStr">
        <is>
          <t>20190426</t>
        </is>
      </c>
      <c r="L9" t="inlineStr">
        <is>
          <t>20250127</t>
        </is>
      </c>
    </row>
    <row r="10">
      <c r="A10" t="inlineStr">
        <is>
          <t>900007628</t>
        </is>
      </c>
      <c r="B10" t="inlineStr">
        <is>
          <t>D822</t>
        </is>
      </c>
      <c r="C10" t="inlineStr">
        <is>
          <t>66793832</t>
        </is>
      </c>
      <c r="D10" t="inlineStr">
        <is>
          <t>10213469</t>
        </is>
      </c>
      <c r="E10" t="inlineStr"/>
      <c r="F10" s="11" t="n">
        <v>110</v>
      </c>
      <c r="G10" t="inlineStr"/>
      <c r="I10" t="inlineStr">
        <is>
          <t>M3</t>
        </is>
      </c>
      <c r="J10" t="inlineStr"/>
      <c r="K10" t="inlineStr">
        <is>
          <t>20190426</t>
        </is>
      </c>
      <c r="L10" t="inlineStr">
        <is>
          <t>20250127</t>
        </is>
      </c>
    </row>
    <row r="11">
      <c r="A11" t="inlineStr">
        <is>
          <t>900007628</t>
        </is>
      </c>
      <c r="B11" t="inlineStr">
        <is>
          <t>D822</t>
        </is>
      </c>
      <c r="C11" t="inlineStr">
        <is>
          <t>67158638</t>
        </is>
      </c>
      <c r="D11" t="inlineStr">
        <is>
          <t>10213469</t>
        </is>
      </c>
      <c r="E11" t="inlineStr"/>
      <c r="F11" s="11" t="n">
        <v>124</v>
      </c>
      <c r="G11" t="inlineStr"/>
      <c r="I11" t="inlineStr">
        <is>
          <t>M3</t>
        </is>
      </c>
      <c r="J11" t="inlineStr"/>
      <c r="K11" t="inlineStr">
        <is>
          <t>20190426</t>
        </is>
      </c>
      <c r="L11" t="inlineStr">
        <is>
          <t>20250127</t>
        </is>
      </c>
    </row>
    <row r="12">
      <c r="A12" t="inlineStr">
        <is>
          <t>900007628</t>
        </is>
      </c>
      <c r="B12" t="inlineStr">
        <is>
          <t>D822</t>
        </is>
      </c>
      <c r="C12" t="inlineStr">
        <is>
          <t>67158638</t>
        </is>
      </c>
      <c r="D12" t="inlineStr">
        <is>
          <t>10213931</t>
        </is>
      </c>
      <c r="E12" t="inlineStr"/>
      <c r="F12" s="11" t="n">
        <v>364</v>
      </c>
      <c r="G12" t="inlineStr"/>
      <c r="I12" t="inlineStr">
        <is>
          <t>M3</t>
        </is>
      </c>
      <c r="J12" t="inlineStr"/>
      <c r="K12" t="inlineStr">
        <is>
          <t>20190426</t>
        </is>
      </c>
      <c r="L12" t="inlineStr">
        <is>
          <t>20250127</t>
        </is>
      </c>
    </row>
    <row r="13">
      <c r="A13" t="inlineStr">
        <is>
          <t>900007628</t>
        </is>
      </c>
      <c r="B13" t="inlineStr">
        <is>
          <t>D822</t>
        </is>
      </c>
      <c r="C13" t="inlineStr">
        <is>
          <t>67169669</t>
        </is>
      </c>
      <c r="D13" t="inlineStr">
        <is>
          <t>10213469</t>
        </is>
      </c>
      <c r="E13" t="inlineStr"/>
      <c r="F13" s="11" t="n">
        <v>120</v>
      </c>
      <c r="G13" t="inlineStr"/>
      <c r="I13" t="inlineStr">
        <is>
          <t>M3</t>
        </is>
      </c>
      <c r="J13" t="inlineStr"/>
      <c r="K13" t="inlineStr">
        <is>
          <t>20240619</t>
        </is>
      </c>
      <c r="L13" t="inlineStr">
        <is>
          <t>20251031</t>
        </is>
      </c>
    </row>
    <row r="14">
      <c r="A14" t="inlineStr">
        <is>
          <t>900007901</t>
        </is>
      </c>
      <c r="B14" t="inlineStr">
        <is>
          <t>D822</t>
        </is>
      </c>
      <c r="C14" t="inlineStr">
        <is>
          <t>67169669</t>
        </is>
      </c>
      <c r="D14" t="inlineStr">
        <is>
          <t>10213931</t>
        </is>
      </c>
      <c r="E14" t="inlineStr"/>
      <c r="F14" s="11" t="n">
        <v>385</v>
      </c>
      <c r="G14" t="inlineStr"/>
      <c r="I14" t="inlineStr">
        <is>
          <t>M3</t>
        </is>
      </c>
      <c r="J14" t="inlineStr"/>
      <c r="K14" t="inlineStr">
        <is>
          <t>20240619</t>
        </is>
      </c>
      <c r="L14" t="inlineStr">
        <is>
          <t>20251031</t>
        </is>
      </c>
    </row>
    <row r="15">
      <c r="A15" t="inlineStr">
        <is>
          <t>900008180</t>
        </is>
      </c>
      <c r="B15" t="inlineStr">
        <is>
          <t>D822</t>
        </is>
      </c>
      <c r="C15" t="inlineStr">
        <is>
          <t>66793832</t>
        </is>
      </c>
      <c r="D15" t="inlineStr">
        <is>
          <t>10213469</t>
        </is>
      </c>
      <c r="E15" t="inlineStr"/>
      <c r="F15" s="11" t="n">
        <v>125</v>
      </c>
      <c r="G15" t="inlineStr"/>
      <c r="I15" t="inlineStr">
        <is>
          <t>M3</t>
        </is>
      </c>
      <c r="J15" t="inlineStr"/>
      <c r="K15" t="inlineStr">
        <is>
          <t>20240619</t>
        </is>
      </c>
      <c r="L15" t="inlineStr">
        <is>
          <t>20251031</t>
        </is>
      </c>
    </row>
    <row r="16">
      <c r="A16" t="inlineStr">
        <is>
          <t>900008720</t>
        </is>
      </c>
      <c r="B16" t="inlineStr">
        <is>
          <t>D822</t>
        </is>
      </c>
      <c r="C16" t="inlineStr">
        <is>
          <t>67198558</t>
        </is>
      </c>
      <c r="D16" t="inlineStr">
        <is>
          <t>10213469</t>
        </is>
      </c>
      <c r="E16" t="inlineStr"/>
      <c r="F16" s="11" t="n">
        <v>140</v>
      </c>
      <c r="G16" t="inlineStr"/>
      <c r="I16" t="inlineStr">
        <is>
          <t>M3</t>
        </is>
      </c>
      <c r="J16" t="inlineStr"/>
      <c r="K16" t="inlineStr">
        <is>
          <t>20240619</t>
        </is>
      </c>
      <c r="L16" t="inlineStr">
        <is>
          <t>20251031</t>
        </is>
      </c>
    </row>
    <row r="17">
      <c r="A17" t="inlineStr">
        <is>
          <t>900008720</t>
        </is>
      </c>
      <c r="B17" t="inlineStr">
        <is>
          <t>D822</t>
        </is>
      </c>
      <c r="C17" t="inlineStr">
        <is>
          <t>67198558</t>
        </is>
      </c>
      <c r="D17" t="inlineStr">
        <is>
          <t>10237051</t>
        </is>
      </c>
      <c r="E17" t="inlineStr"/>
      <c r="F17" s="11" t="n">
        <v>380</v>
      </c>
      <c r="G17" t="inlineStr"/>
      <c r="I17" t="inlineStr">
        <is>
          <t>M3</t>
        </is>
      </c>
      <c r="J17" t="inlineStr"/>
      <c r="K17" t="inlineStr">
        <is>
          <t>20240619</t>
        </is>
      </c>
      <c r="L17" t="inlineStr">
        <is>
          <t>20251031</t>
        </is>
      </c>
    </row>
    <row r="18">
      <c r="A18" t="inlineStr">
        <is>
          <t>900008720</t>
        </is>
      </c>
      <c r="B18" t="inlineStr">
        <is>
          <t>D822</t>
        </is>
      </c>
      <c r="C18" t="inlineStr">
        <is>
          <t>67308815</t>
        </is>
      </c>
      <c r="D18" t="inlineStr">
        <is>
          <t>10237051</t>
        </is>
      </c>
      <c r="E18" t="inlineStr"/>
      <c r="F18" s="11" t="n">
        <v>450</v>
      </c>
      <c r="G18" t="inlineStr"/>
      <c r="I18" t="inlineStr">
        <is>
          <t>M3</t>
        </is>
      </c>
      <c r="J18" t="inlineStr"/>
      <c r="K18" t="inlineStr">
        <is>
          <t>20240619</t>
        </is>
      </c>
      <c r="L18" t="inlineStr">
        <is>
          <t>20251031</t>
        </is>
      </c>
    </row>
    <row r="19">
      <c r="A19" t="inlineStr">
        <is>
          <t>900005330</t>
        </is>
      </c>
      <c r="B19" t="inlineStr">
        <is>
          <t>D822</t>
        </is>
      </c>
      <c r="C19" t="inlineStr">
        <is>
          <t>67135776</t>
        </is>
      </c>
      <c r="D19" t="inlineStr">
        <is>
          <t>10139741</t>
        </is>
      </c>
      <c r="E19" t="inlineStr"/>
      <c r="F19" s="11" t="n">
        <v>17155.17</v>
      </c>
      <c r="G19" t="inlineStr"/>
      <c r="I19" t="inlineStr">
        <is>
          <t>TN</t>
        </is>
      </c>
      <c r="J19" t="inlineStr"/>
      <c r="K19" t="inlineStr">
        <is>
          <t>20241016</t>
        </is>
      </c>
      <c r="L19" t="inlineStr">
        <is>
          <t>99991231</t>
        </is>
      </c>
    </row>
    <row r="20">
      <c r="A20" t="inlineStr">
        <is>
          <t>900005330</t>
        </is>
      </c>
      <c r="B20" t="inlineStr">
        <is>
          <t>D822</t>
        </is>
      </c>
      <c r="C20" t="inlineStr">
        <is>
          <t>67246334</t>
        </is>
      </c>
      <c r="D20" t="inlineStr">
        <is>
          <t>10139741</t>
        </is>
      </c>
      <c r="E20" t="inlineStr"/>
      <c r="F20" s="11" t="n">
        <v>17155.17</v>
      </c>
      <c r="G20" t="inlineStr"/>
      <c r="I20" t="inlineStr">
        <is>
          <t>TN</t>
        </is>
      </c>
      <c r="J20" t="inlineStr"/>
      <c r="K20" t="inlineStr">
        <is>
          <t>20250506</t>
        </is>
      </c>
      <c r="L20" t="inlineStr">
        <is>
          <t>99991231</t>
        </is>
      </c>
    </row>
    <row r="21">
      <c r="A21" t="inlineStr">
        <is>
          <t>900008720</t>
        </is>
      </c>
      <c r="B21" t="inlineStr">
        <is>
          <t>D822</t>
        </is>
      </c>
      <c r="C21" t="inlineStr">
        <is>
          <t>66793832</t>
        </is>
      </c>
      <c r="D21" t="inlineStr">
        <is>
          <t>10213469</t>
        </is>
      </c>
      <c r="E21" t="inlineStr"/>
      <c r="F21" s="11" t="n">
        <v>180</v>
      </c>
      <c r="G21" t="inlineStr"/>
      <c r="I21" t="inlineStr">
        <is>
          <t>M3</t>
        </is>
      </c>
      <c r="J21" t="inlineStr"/>
      <c r="K21" t="inlineStr">
        <is>
          <t>20240619</t>
        </is>
      </c>
      <c r="L21" t="inlineStr">
        <is>
          <t>99991231</t>
        </is>
      </c>
    </row>
    <row r="22">
      <c r="A22" t="inlineStr">
        <is>
          <t>900008720</t>
        </is>
      </c>
      <c r="B22" t="inlineStr">
        <is>
          <t>D822</t>
        </is>
      </c>
      <c r="C22" t="inlineStr">
        <is>
          <t>67308815</t>
        </is>
      </c>
      <c r="D22" t="inlineStr">
        <is>
          <t>10213469</t>
        </is>
      </c>
      <c r="E22" t="inlineStr"/>
      <c r="F22" s="11" t="n">
        <v>210</v>
      </c>
      <c r="G22" t="inlineStr"/>
      <c r="I22" t="inlineStr">
        <is>
          <t>M3</t>
        </is>
      </c>
      <c r="J22" t="inlineStr"/>
      <c r="K22" t="inlineStr">
        <is>
          <t>20240619</t>
        </is>
      </c>
      <c r="L22" t="inlineStr">
        <is>
          <t>99991231</t>
        </is>
      </c>
    </row>
    <row r="23">
      <c r="A23" t="inlineStr">
        <is>
          <t>900009368</t>
        </is>
      </c>
      <c r="B23" t="inlineStr">
        <is>
          <t>D822</t>
        </is>
      </c>
      <c r="C23" t="inlineStr">
        <is>
          <t>67323172</t>
        </is>
      </c>
      <c r="D23" t="inlineStr">
        <is>
          <t>10237051</t>
        </is>
      </c>
      <c r="E23" t="inlineStr"/>
      <c r="F23" s="11" t="n">
        <v>275</v>
      </c>
      <c r="G23" t="inlineStr"/>
      <c r="I23" t="inlineStr">
        <is>
          <t>M3</t>
        </is>
      </c>
      <c r="J23" t="inlineStr"/>
      <c r="K23" t="inlineStr">
        <is>
          <t>20251013</t>
        </is>
      </c>
      <c r="L23" t="inlineStr">
        <is>
          <t>99991231</t>
        </is>
      </c>
    </row>
    <row r="24">
      <c r="A24" t="inlineStr">
        <is>
          <t>900009368</t>
        </is>
      </c>
      <c r="B24" t="inlineStr">
        <is>
          <t>D822</t>
        </is>
      </c>
      <c r="C24" t="inlineStr">
        <is>
          <t>67323172</t>
        </is>
      </c>
      <c r="D24" t="inlineStr">
        <is>
          <t>10237052</t>
        </is>
      </c>
      <c r="E24" t="inlineStr"/>
      <c r="F24" s="11" t="n">
        <v>275</v>
      </c>
      <c r="G24" t="inlineStr"/>
      <c r="I24" t="inlineStr">
        <is>
          <t>M3</t>
        </is>
      </c>
      <c r="J24" t="inlineStr"/>
      <c r="K24" t="inlineStr">
        <is>
          <t>20251013</t>
        </is>
      </c>
      <c r="L24" t="inlineStr">
        <is>
          <t>99991231</t>
        </is>
      </c>
    </row>
    <row r="25">
      <c r="A25" t="inlineStr">
        <is>
          <t>900005330</t>
        </is>
      </c>
      <c r="B25" t="inlineStr">
        <is>
          <t>D822</t>
        </is>
      </c>
      <c r="C25" t="inlineStr">
        <is>
          <t>67135776</t>
        </is>
      </c>
      <c r="D25" t="inlineStr">
        <is>
          <t>10139741</t>
        </is>
      </c>
      <c r="E25" t="inlineStr"/>
      <c r="F25" s="11" t="n">
        <v>17155.17</v>
      </c>
      <c r="G25" t="inlineStr"/>
      <c r="I25" t="inlineStr">
        <is>
          <t>TN</t>
        </is>
      </c>
      <c r="J25" t="inlineStr"/>
      <c r="K25" t="inlineStr">
        <is>
          <t>20240813</t>
        </is>
      </c>
      <c r="L25" t="inlineStr">
        <is>
          <t>20241108</t>
        </is>
      </c>
    </row>
    <row r="26">
      <c r="A26" t="inlineStr">
        <is>
          <t>900005330</t>
        </is>
      </c>
      <c r="B26" t="inlineStr">
        <is>
          <t>D822</t>
        </is>
      </c>
      <c r="C26" t="inlineStr">
        <is>
          <t>67246334</t>
        </is>
      </c>
      <c r="D26" t="inlineStr">
        <is>
          <t>10139741</t>
        </is>
      </c>
      <c r="E26" t="inlineStr"/>
      <c r="F26" s="11" t="n">
        <v>17155.17</v>
      </c>
      <c r="G26" t="inlineStr"/>
      <c r="I26" t="inlineStr">
        <is>
          <t>TN</t>
        </is>
      </c>
      <c r="J26" t="inlineStr"/>
      <c r="K26" t="inlineStr">
        <is>
          <t>20250505</t>
        </is>
      </c>
      <c r="L26" t="inlineStr">
        <is>
          <t>20250507</t>
        </is>
      </c>
    </row>
    <row r="27">
      <c r="A27" t="inlineStr">
        <is>
          <t>900008720</t>
        </is>
      </c>
      <c r="B27" t="inlineStr">
        <is>
          <t>D822</t>
        </is>
      </c>
      <c r="C27" t="inlineStr">
        <is>
          <t>66793832</t>
        </is>
      </c>
      <c r="D27" t="inlineStr">
        <is>
          <t>10213469</t>
        </is>
      </c>
      <c r="E27" t="inlineStr"/>
      <c r="F27" s="11" t="n">
        <v>180</v>
      </c>
      <c r="G27" t="inlineStr"/>
      <c r="I27" t="inlineStr">
        <is>
          <t>M3</t>
        </is>
      </c>
      <c r="J27" t="inlineStr"/>
      <c r="K27" t="inlineStr">
        <is>
          <t>20250505</t>
        </is>
      </c>
      <c r="L27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900005330D8226571380810139741</t>
        </is>
      </c>
      <c r="B2" t="inlineStr">
        <is>
          <t>900005330</t>
        </is>
      </c>
      <c r="C2" t="inlineStr">
        <is>
          <t>D822</t>
        </is>
      </c>
      <c r="D2" t="inlineStr">
        <is>
          <t>65713808</t>
        </is>
      </c>
      <c r="E2" t="inlineStr">
        <is>
          <t>2</t>
        </is>
      </c>
      <c r="F2" t="inlineStr">
        <is>
          <t>10139741</t>
        </is>
      </c>
      <c r="H2" t="inlineStr"/>
      <c r="J2" t="n">
        <v>0</v>
      </c>
      <c r="K2" t="inlineStr"/>
      <c r="M2" t="inlineStr">
        <is>
          <t>TN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900007628D8226715863810213469</t>
        </is>
      </c>
      <c r="B3" t="inlineStr">
        <is>
          <t>900007628</t>
        </is>
      </c>
      <c r="C3" t="inlineStr">
        <is>
          <t>D822</t>
        </is>
      </c>
      <c r="D3" t="inlineStr">
        <is>
          <t>67158638</t>
        </is>
      </c>
      <c r="E3" t="inlineStr">
        <is>
          <t>1</t>
        </is>
      </c>
      <c r="F3" t="inlineStr">
        <is>
          <t>10213469</t>
        </is>
      </c>
      <c r="H3" t="inlineStr"/>
      <c r="J3" t="n">
        <v>246</v>
      </c>
      <c r="K3" t="inlineStr"/>
      <c r="M3" t="inlineStr">
        <is>
          <t>M3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900007628D8226715863810213931</t>
        </is>
      </c>
      <c r="B4" t="inlineStr">
        <is>
          <t>900007628</t>
        </is>
      </c>
      <c r="C4" t="inlineStr">
        <is>
          <t>D822</t>
        </is>
      </c>
      <c r="D4" t="inlineStr">
        <is>
          <t>67158638</t>
        </is>
      </c>
      <c r="E4" t="inlineStr">
        <is>
          <t>1</t>
        </is>
      </c>
      <c r="F4" t="inlineStr">
        <is>
          <t>10213931</t>
        </is>
      </c>
      <c r="H4" t="inlineStr"/>
      <c r="J4" t="n">
        <v>246</v>
      </c>
      <c r="K4" t="inlineStr"/>
      <c r="M4" t="inlineStr">
        <is>
          <t>M3</t>
        </is>
      </c>
      <c r="N4" t="inlineStr"/>
      <c r="P4" t="inlineStr">
        <is>
          <t>20190426</t>
        </is>
      </c>
      <c r="Q4" t="inlineStr">
        <is>
          <t>20250127</t>
        </is>
      </c>
    </row>
    <row r="5">
      <c r="A5" t="inlineStr">
        <is>
          <t>900008720D8226719855810213469</t>
        </is>
      </c>
      <c r="B5" t="inlineStr">
        <is>
          <t>900008720</t>
        </is>
      </c>
      <c r="C5" t="inlineStr">
        <is>
          <t>D822</t>
        </is>
      </c>
      <c r="D5" t="inlineStr">
        <is>
          <t>67198558</t>
        </is>
      </c>
      <c r="E5" t="inlineStr">
        <is>
          <t>1</t>
        </is>
      </c>
      <c r="F5" t="inlineStr">
        <is>
          <t>10213469</t>
        </is>
      </c>
      <c r="H5" t="inlineStr"/>
      <c r="J5" t="n">
        <v>174.66</v>
      </c>
      <c r="K5" t="inlineStr"/>
      <c r="M5" t="inlineStr">
        <is>
          <t>M3</t>
        </is>
      </c>
      <c r="N5" t="inlineStr"/>
      <c r="P5" t="inlineStr">
        <is>
          <t>20230301</t>
        </is>
      </c>
      <c r="Q5" t="inlineStr">
        <is>
          <t>20251031</t>
        </is>
      </c>
    </row>
    <row r="6">
      <c r="A6" t="inlineStr">
        <is>
          <t>900008720D8226719855810237051</t>
        </is>
      </c>
      <c r="B6" t="inlineStr">
        <is>
          <t>900008720</t>
        </is>
      </c>
      <c r="C6" t="inlineStr">
        <is>
          <t>D822</t>
        </is>
      </c>
      <c r="D6" t="inlineStr">
        <is>
          <t>67198558</t>
        </is>
      </c>
      <c r="E6" t="inlineStr">
        <is>
          <t>1</t>
        </is>
      </c>
      <c r="F6" t="inlineStr">
        <is>
          <t>10237051</t>
        </is>
      </c>
      <c r="H6" t="inlineStr"/>
      <c r="J6" t="n">
        <v>174.66</v>
      </c>
      <c r="K6" t="inlineStr"/>
      <c r="M6" t="inlineStr">
        <is>
          <t>M3</t>
        </is>
      </c>
      <c r="N6" t="inlineStr"/>
      <c r="P6" t="inlineStr">
        <is>
          <t>20230301</t>
        </is>
      </c>
      <c r="Q6" t="inlineStr">
        <is>
          <t>20251031</t>
        </is>
      </c>
    </row>
    <row r="7">
      <c r="A7" t="inlineStr">
        <is>
          <t>900009368D8226732317210237051</t>
        </is>
      </c>
      <c r="B7" t="inlineStr">
        <is>
          <t>900009368</t>
        </is>
      </c>
      <c r="C7" t="inlineStr">
        <is>
          <t>D822</t>
        </is>
      </c>
      <c r="D7" t="inlineStr">
        <is>
          <t>67323172</t>
        </is>
      </c>
      <c r="E7" t="inlineStr">
        <is>
          <t>4</t>
        </is>
      </c>
      <c r="F7" t="inlineStr">
        <is>
          <t>10237051</t>
        </is>
      </c>
      <c r="H7" t="inlineStr"/>
      <c r="J7" t="n">
        <v>375</v>
      </c>
      <c r="K7" t="inlineStr"/>
      <c r="M7" t="inlineStr">
        <is>
          <t>M3</t>
        </is>
      </c>
      <c r="N7" t="inlineStr"/>
      <c r="P7" t="inlineStr">
        <is>
          <t>20251013</t>
        </is>
      </c>
      <c r="Q7" t="inlineStr">
        <is>
          <t>99991231</t>
        </is>
      </c>
    </row>
    <row r="8">
      <c r="A8" t="inlineStr">
        <is>
          <t>900009368D8226732317210237052</t>
        </is>
      </c>
      <c r="B8" t="inlineStr">
        <is>
          <t>900009368</t>
        </is>
      </c>
      <c r="C8" t="inlineStr">
        <is>
          <t>D822</t>
        </is>
      </c>
      <c r="D8" t="inlineStr">
        <is>
          <t>67323172</t>
        </is>
      </c>
      <c r="E8" t="inlineStr">
        <is>
          <t>4</t>
        </is>
      </c>
      <c r="F8" t="inlineStr">
        <is>
          <t>10237052</t>
        </is>
      </c>
      <c r="H8" t="inlineStr"/>
      <c r="J8" t="n">
        <v>375</v>
      </c>
      <c r="K8" t="inlineStr"/>
      <c r="M8" t="inlineStr">
        <is>
          <t>M3</t>
        </is>
      </c>
      <c r="N8" t="inlineStr"/>
      <c r="P8" t="inlineStr">
        <is>
          <t>20251013</t>
        </is>
      </c>
      <c r="Q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900007901D82210213931</t>
        </is>
      </c>
      <c r="B2" t="inlineStr">
        <is>
          <t>4600069319-10</t>
        </is>
      </c>
      <c r="C2" t="n">
        <v>4600069319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900007901</v>
      </c>
      <c r="H2" t="inlineStr">
        <is>
          <t>SF TP - AGREGADOS Y TRITURADOS</t>
        </is>
      </c>
      <c r="I2" t="n">
        <v>5036740</v>
      </c>
      <c r="J2" t="inlineStr">
        <is>
          <t>AGREGADOS Y TRITURADOS DEL PACIFICO</t>
        </is>
      </c>
      <c r="K2" t="inlineStr">
        <is>
          <t>Z03</t>
        </is>
      </c>
      <c r="L2" t="inlineStr">
        <is>
          <t>(AP) 15 Dias</t>
        </is>
      </c>
      <c r="M2" t="n">
        <v>10213931</v>
      </c>
      <c r="N2" t="inlineStr">
        <is>
          <t>GRAVA RIO 20 MM (3/4")</t>
        </is>
      </c>
      <c r="O2" t="inlineStr">
        <is>
          <t>D822</t>
        </is>
      </c>
      <c r="P2" t="inlineStr">
        <is>
          <t>MX-CED. ACAPULCO</t>
        </is>
      </c>
      <c r="Q2" t="n">
        <v>20240402</v>
      </c>
      <c r="R2" t="n">
        <v>20291231</v>
      </c>
      <c r="S2" t="n">
        <v>20240402</v>
      </c>
      <c r="T2" t="n">
        <v>20291231</v>
      </c>
      <c r="U2" t="n">
        <v>350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56103637</v>
      </c>
      <c r="AD2" t="n">
        <v>6622121540</v>
      </c>
      <c r="AE2" t="n">
        <v>1</v>
      </c>
      <c r="AF2" t="inlineStr">
        <is>
          <t>ENTREGADO</t>
        </is>
      </c>
      <c r="AG2" t="n">
        <v>1.462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20240403</v>
      </c>
      <c r="AM2" t="inlineStr">
        <is>
          <t>D822-900007901-10213931</t>
        </is>
      </c>
    </row>
    <row r="3">
      <c r="A3" t="inlineStr">
        <is>
          <t>900009368D8226732317210237051</t>
        </is>
      </c>
      <c r="B3" t="inlineStr">
        <is>
          <t>4600071708-10</t>
        </is>
      </c>
      <c r="C3" t="n">
        <v>4600071708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900009368</v>
      </c>
      <c r="H3" t="inlineStr">
        <is>
          <t>SF TP-ED PIEDRA DURA PAROTILLAS</t>
        </is>
      </c>
      <c r="I3" t="n">
        <v>5087603</v>
      </c>
      <c r="J3" t="inlineStr">
        <is>
          <t>PAPAGAYO CONSTRUCCIONES Y MAQUINARI</t>
        </is>
      </c>
      <c r="K3" t="inlineStr">
        <is>
          <t>N30</t>
        </is>
      </c>
      <c r="L3" t="inlineStr">
        <is>
          <t>(AP) NAFIN 30 Dias</t>
        </is>
      </c>
      <c r="M3" t="n">
        <v>10237051</v>
      </c>
      <c r="N3" t="inlineStr">
        <is>
          <t>GRAVA RIO 20 MM</t>
        </is>
      </c>
      <c r="O3" t="inlineStr">
        <is>
          <t>D822</t>
        </is>
      </c>
      <c r="P3" t="inlineStr">
        <is>
          <t>MX-CED. ACAPULCO</t>
        </is>
      </c>
      <c r="Q3" t="n">
        <v>20251013</v>
      </c>
      <c r="R3" t="n">
        <v>20301231</v>
      </c>
      <c r="S3" t="n">
        <v>20251013</v>
      </c>
      <c r="T3" t="n">
        <v>20301231</v>
      </c>
      <c r="U3" t="n">
        <v>575</v>
      </c>
      <c r="V3" t="inlineStr">
        <is>
          <t>MXN</t>
        </is>
      </c>
      <c r="W3" t="inlineStr">
        <is>
          <t>M3</t>
        </is>
      </c>
      <c r="X3" t="n">
        <v>375</v>
      </c>
      <c r="Y3" t="inlineStr">
        <is>
          <t>MXN</t>
        </is>
      </c>
      <c r="Z3" t="inlineStr">
        <is>
          <t>M3</t>
        </is>
      </c>
      <c r="AA3" t="inlineStr">
        <is>
          <t>67323172</t>
        </is>
      </c>
      <c r="AB3" t="inlineStr">
        <is>
          <t>CEMSA Acapulco Concretos Manzanillo</t>
        </is>
      </c>
      <c r="AC3" t="n">
        <v>56103637</v>
      </c>
      <c r="AD3" t="n">
        <v>6622121540</v>
      </c>
      <c r="AE3" t="n">
        <v>4</v>
      </c>
      <c r="AF3" t="inlineStr">
        <is>
          <t>ENTREGA DIRECTA</t>
        </is>
      </c>
      <c r="AG3" t="n">
        <v>1.468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20251021</v>
      </c>
      <c r="AM3" t="inlineStr">
        <is>
          <t>D822-900009368-67323172-10237051-4</t>
        </is>
      </c>
    </row>
    <row r="4">
      <c r="A4" t="inlineStr">
        <is>
          <t>900009368D8226732317210237052</t>
        </is>
      </c>
      <c r="B4" t="inlineStr">
        <is>
          <t>4600071708-20</t>
        </is>
      </c>
      <c r="C4" t="n">
        <v>4600071708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900009368</v>
      </c>
      <c r="H4" t="inlineStr">
        <is>
          <t>SF TP-ED PIEDRA DURA PAROTILLAS</t>
        </is>
      </c>
      <c r="I4" t="n">
        <v>5087603</v>
      </c>
      <c r="J4" t="inlineStr">
        <is>
          <t>PAPAGAYO CONSTRUCCIONES Y MAQUINARI</t>
        </is>
      </c>
      <c r="K4" t="inlineStr">
        <is>
          <t>N30</t>
        </is>
      </c>
      <c r="L4" t="inlineStr">
        <is>
          <t>(AP) NAFIN 30 Dias</t>
        </is>
      </c>
      <c r="M4" t="n">
        <v>10237052</v>
      </c>
      <c r="N4" t="inlineStr">
        <is>
          <t>GRAVA RIO 40 MM</t>
        </is>
      </c>
      <c r="O4" t="inlineStr">
        <is>
          <t>D822</t>
        </is>
      </c>
      <c r="P4" t="inlineStr">
        <is>
          <t>MX-CED. ACAPULCO</t>
        </is>
      </c>
      <c r="Q4" t="n">
        <v>20251013</v>
      </c>
      <c r="R4" t="n">
        <v>20301231</v>
      </c>
      <c r="S4" t="n">
        <v>20251013</v>
      </c>
      <c r="T4" t="n">
        <v>20301231</v>
      </c>
      <c r="U4" t="n">
        <v>575</v>
      </c>
      <c r="V4" t="inlineStr">
        <is>
          <t>MXN</t>
        </is>
      </c>
      <c r="W4" t="inlineStr">
        <is>
          <t>M3</t>
        </is>
      </c>
      <c r="X4" t="n">
        <v>375</v>
      </c>
      <c r="Y4" t="inlineStr">
        <is>
          <t>MXN</t>
        </is>
      </c>
      <c r="Z4" t="inlineStr">
        <is>
          <t>M3</t>
        </is>
      </c>
      <c r="AA4" t="inlineStr">
        <is>
          <t>67323172</t>
        </is>
      </c>
      <c r="AB4" t="inlineStr">
        <is>
          <t>CEMSA Acapulco Concretos Manzanillo</t>
        </is>
      </c>
      <c r="AC4" t="n">
        <v>56103637</v>
      </c>
      <c r="AD4" t="n">
        <v>6622121540</v>
      </c>
      <c r="AE4" t="n">
        <v>4</v>
      </c>
      <c r="AF4" t="inlineStr">
        <is>
          <t>ENTREGA DIRECTA</t>
        </is>
      </c>
      <c r="AG4" t="n">
        <v>1.584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20251021</v>
      </c>
      <c r="AM4" t="inlineStr">
        <is>
          <t>D822-900009368-67323172-10237052-4</t>
        </is>
      </c>
    </row>
    <row r="5">
      <c r="A5" t="inlineStr">
        <is>
          <t>900008720D82210237051</t>
        </is>
      </c>
      <c r="B5" t="inlineStr">
        <is>
          <t>4600069057-10</t>
        </is>
      </c>
      <c r="C5" t="n">
        <v>4600069057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900008720</v>
      </c>
      <c r="H5" t="inlineStr">
        <is>
          <t>SF TP-PIEDRA DURA PAROTILLAS</t>
        </is>
      </c>
      <c r="I5" t="n">
        <v>5087603</v>
      </c>
      <c r="J5" t="inlineStr">
        <is>
          <t>PAPAGAYO CONSTRUCCIONES Y MAQUINARI</t>
        </is>
      </c>
      <c r="K5" t="inlineStr">
        <is>
          <t>N30</t>
        </is>
      </c>
      <c r="L5" t="inlineStr">
        <is>
          <t>(AP) NAFIN 30 Dias</t>
        </is>
      </c>
      <c r="M5" t="n">
        <v>10237051</v>
      </c>
      <c r="N5" t="inlineStr">
        <is>
          <t>GRAVA RIO 20 MM</t>
        </is>
      </c>
      <c r="O5" t="inlineStr">
        <is>
          <t>D822</t>
        </is>
      </c>
      <c r="P5" t="inlineStr">
        <is>
          <t>MX-CED. ACAPULCO</t>
        </is>
      </c>
      <c r="Q5" t="n">
        <v>20240202</v>
      </c>
      <c r="R5" t="n">
        <v>20291231</v>
      </c>
      <c r="S5" t="n">
        <v>20240202</v>
      </c>
      <c r="T5" t="n">
        <v>20291231</v>
      </c>
      <c r="U5" t="n">
        <v>280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6622121540</v>
      </c>
      <c r="AE5" t="n">
        <v>1</v>
      </c>
      <c r="AF5" t="inlineStr">
        <is>
          <t>ENTREGADO</t>
        </is>
      </c>
      <c r="AG5" t="n">
        <v>1.468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20240206</v>
      </c>
      <c r="AM5" t="inlineStr">
        <is>
          <t>D822-900008720-10237051</t>
        </is>
      </c>
    </row>
    <row r="6">
      <c r="A6" t="inlineStr">
        <is>
          <t>900000036D82210000630</t>
        </is>
      </c>
      <c r="B6" t="inlineStr">
        <is>
          <t>4600046620-20</t>
        </is>
      </c>
      <c r="C6" t="n">
        <v>4600046620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900000036</v>
      </c>
      <c r="H6" t="inlineStr">
        <is>
          <t>SF PAPAGAYO</t>
        </is>
      </c>
      <c r="I6" t="n">
        <v>5001941</v>
      </c>
      <c r="J6" t="inlineStr">
        <is>
          <t>PAPAGAYO LA SABANA SA DE CV</t>
        </is>
      </c>
      <c r="K6" t="inlineStr">
        <is>
          <t>Z03</t>
        </is>
      </c>
      <c r="L6" t="inlineStr">
        <is>
          <t>(AP) 15 Dias</t>
        </is>
      </c>
      <c r="M6" t="n">
        <v>10000630</v>
      </c>
      <c r="N6" t="inlineStr">
        <is>
          <t>Grava Triturada Caliza 13 mm - 1/2"</t>
        </is>
      </c>
      <c r="O6" t="inlineStr">
        <is>
          <t>D822</t>
        </is>
      </c>
      <c r="P6" t="inlineStr">
        <is>
          <t>MX-CED. ACAPULCO</t>
        </is>
      </c>
      <c r="Q6" t="n">
        <v>20200220</v>
      </c>
      <c r="R6" t="n">
        <v>20301231</v>
      </c>
      <c r="S6" t="n">
        <v>20200220</v>
      </c>
      <c r="T6" t="n">
        <v>20301231</v>
      </c>
      <c r="U6" t="n">
        <v>1</v>
      </c>
      <c r="V6" t="inlineStr">
        <is>
          <t>MXN</t>
        </is>
      </c>
      <c r="W6" t="inlineStr">
        <is>
          <t>M3</t>
        </is>
      </c>
      <c r="AC6" t="n">
        <v>56103637</v>
      </c>
      <c r="AD6" t="n">
        <v>6622121540</v>
      </c>
      <c r="AE6" t="n">
        <v>1</v>
      </c>
      <c r="AF6" t="inlineStr">
        <is>
          <t>ENTREGADO</t>
        </is>
      </c>
      <c r="AG6" t="n">
        <v>1.4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D822-900000036-10000630</t>
        </is>
      </c>
    </row>
    <row r="7">
      <c r="A7" t="inlineStr">
        <is>
          <t>900000036D82210000811</t>
        </is>
      </c>
      <c r="B7" t="inlineStr">
        <is>
          <t>4600046620-30</t>
        </is>
      </c>
      <c r="C7" t="n">
        <v>4600046620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900000036</v>
      </c>
      <c r="H7" t="inlineStr">
        <is>
          <t>SF PAPAGAYO</t>
        </is>
      </c>
      <c r="I7" t="n">
        <v>5001941</v>
      </c>
      <c r="J7" t="inlineStr">
        <is>
          <t>PAPAGAYO LA SABANA SA DE CV</t>
        </is>
      </c>
      <c r="K7" t="inlineStr">
        <is>
          <t>Z03</t>
        </is>
      </c>
      <c r="L7" t="inlineStr">
        <is>
          <t>(AP) 15 Dias</t>
        </is>
      </c>
      <c r="M7" t="n">
        <v>10000811</v>
      </c>
      <c r="N7" t="inlineStr">
        <is>
          <t>Grava Triturada Caliza 20 mm - 3/4"</t>
        </is>
      </c>
      <c r="O7" t="inlineStr">
        <is>
          <t>D822</t>
        </is>
      </c>
      <c r="P7" t="inlineStr">
        <is>
          <t>MX-CED. ACAPULCO</t>
        </is>
      </c>
      <c r="Q7" t="n">
        <v>20200220</v>
      </c>
      <c r="R7" t="n">
        <v>20301231</v>
      </c>
      <c r="S7" t="n">
        <v>20200220</v>
      </c>
      <c r="T7" t="n">
        <v>20301231</v>
      </c>
      <c r="U7" t="n">
        <v>1</v>
      </c>
      <c r="V7" t="inlineStr">
        <is>
          <t>MXN</t>
        </is>
      </c>
      <c r="W7" t="inlineStr">
        <is>
          <t>M3</t>
        </is>
      </c>
      <c r="AC7" t="n">
        <v>56103637</v>
      </c>
      <c r="AD7" t="n">
        <v>6622121540</v>
      </c>
      <c r="AE7" t="n">
        <v>1</v>
      </c>
      <c r="AF7" t="inlineStr">
        <is>
          <t>ENTREGADO</t>
        </is>
      </c>
      <c r="AG7" t="n">
        <v>1.447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D822-900000036-10000811</t>
        </is>
      </c>
    </row>
    <row r="8">
      <c r="A8" t="inlineStr">
        <is>
          <t>900000036D82210000624</t>
        </is>
      </c>
      <c r="B8" t="inlineStr">
        <is>
          <t>4600046620-10</t>
        </is>
      </c>
      <c r="C8" t="n">
        <v>4600046620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900000036</v>
      </c>
      <c r="H8" t="inlineStr">
        <is>
          <t>SF PAPAGAYO</t>
        </is>
      </c>
      <c r="I8" t="n">
        <v>5001941</v>
      </c>
      <c r="J8" t="inlineStr">
        <is>
          <t>PAPAGAYO LA SABANA SA DE CV</t>
        </is>
      </c>
      <c r="K8" t="inlineStr">
        <is>
          <t>Z03</t>
        </is>
      </c>
      <c r="L8" t="inlineStr">
        <is>
          <t>(AP) 15 Dias</t>
        </is>
      </c>
      <c r="M8" t="n">
        <v>10000624</v>
      </c>
      <c r="N8" t="inlineStr">
        <is>
          <t>Grava Triturada Caliza 40 mm - 1 1/2"</t>
        </is>
      </c>
      <c r="O8" t="inlineStr">
        <is>
          <t>D822</t>
        </is>
      </c>
      <c r="P8" t="inlineStr">
        <is>
          <t>MX-CED. ACAPULCO</t>
        </is>
      </c>
      <c r="Q8" t="n">
        <v>20200220</v>
      </c>
      <c r="R8" t="n">
        <v>20301231</v>
      </c>
      <c r="S8" t="n">
        <v>20200220</v>
      </c>
      <c r="T8" t="n">
        <v>20301231</v>
      </c>
      <c r="U8" t="n">
        <v>1</v>
      </c>
      <c r="V8" t="inlineStr">
        <is>
          <t>MXN</t>
        </is>
      </c>
      <c r="W8" t="inlineStr">
        <is>
          <t>M3</t>
        </is>
      </c>
      <c r="AC8" t="n">
        <v>56103637</v>
      </c>
      <c r="AD8" t="n">
        <v>6622121540</v>
      </c>
      <c r="AG8" t="n">
        <v>1.45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D822-900000036-10000624</t>
        </is>
      </c>
    </row>
    <row r="9">
      <c r="A9" t="inlineStr">
        <is>
          <t>900007368D82210000430</t>
        </is>
      </c>
      <c r="B9" t="inlineStr">
        <is>
          <t>4600052426-10</t>
        </is>
      </c>
      <c r="C9" t="n">
        <v>4600052426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900007368</v>
      </c>
      <c r="H9" t="inlineStr">
        <is>
          <t>SF TP-TANSEL GUERRERO</t>
        </is>
      </c>
      <c r="I9" t="n">
        <v>5082231</v>
      </c>
      <c r="J9" t="inlineStr">
        <is>
          <t>CONSTRUCCION Y AGREGADOS TANSEL SA</t>
        </is>
      </c>
      <c r="K9" t="inlineStr">
        <is>
          <t>Z09</t>
        </is>
      </c>
      <c r="L9" t="inlineStr">
        <is>
          <t>(AP) 90 Dias</t>
        </is>
      </c>
      <c r="M9" t="n">
        <v>10000430</v>
      </c>
      <c r="N9" t="inlineStr">
        <is>
          <t>Grava Triturada Caliza 20 mm - 3/4"</t>
        </is>
      </c>
      <c r="O9" t="inlineStr">
        <is>
          <t>D822</t>
        </is>
      </c>
      <c r="P9" t="inlineStr">
        <is>
          <t>MX-CED. ACAPULCO</t>
        </is>
      </c>
      <c r="Q9" t="n">
        <v>20210411</v>
      </c>
      <c r="R9" t="n">
        <v>20261231</v>
      </c>
      <c r="S9" t="n">
        <v>20210411</v>
      </c>
      <c r="T9" t="n">
        <v>20261231</v>
      </c>
      <c r="U9" t="n">
        <v>135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6622121540</v>
      </c>
      <c r="AE9" t="n">
        <v>1</v>
      </c>
      <c r="AF9" t="inlineStr">
        <is>
          <t>ENTREGADO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D822-900007368-10000430</t>
        </is>
      </c>
    </row>
    <row r="10">
      <c r="A10" t="inlineStr">
        <is>
          <t>900007628D82210213469</t>
        </is>
      </c>
      <c r="B10" t="inlineStr">
        <is>
          <t>4600057065-10</t>
        </is>
      </c>
      <c r="C10" t="n">
        <v>4600057065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900007628</v>
      </c>
      <c r="H10" t="inlineStr">
        <is>
          <t>SF TP-COSTA CHICA</t>
        </is>
      </c>
      <c r="I10" t="n">
        <v>5006364</v>
      </c>
      <c r="J10" t="inlineStr">
        <is>
          <t>AGREGADOS COSTA CHICA SA DE CV</t>
        </is>
      </c>
      <c r="K10" t="inlineStr">
        <is>
          <t>Z09</t>
        </is>
      </c>
      <c r="L10" t="inlineStr">
        <is>
          <t>(AP) 90 Dias</t>
        </is>
      </c>
      <c r="M10" t="n">
        <v>10213469</v>
      </c>
      <c r="N10" t="inlineStr">
        <is>
          <t>ARENA DE RIO NO.4</t>
        </is>
      </c>
      <c r="O10" t="inlineStr">
        <is>
          <t>D822</t>
        </is>
      </c>
      <c r="P10" t="inlineStr">
        <is>
          <t>MX-CED. ACAPULCO</t>
        </is>
      </c>
      <c r="Q10" t="n">
        <v>20230328</v>
      </c>
      <c r="R10" t="n">
        <v>20281231</v>
      </c>
      <c r="S10" t="n">
        <v>20230328</v>
      </c>
      <c r="T10" t="n">
        <v>20281231</v>
      </c>
      <c r="U10" t="n">
        <v>100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6622121540</v>
      </c>
      <c r="AE10" t="n">
        <v>1</v>
      </c>
      <c r="AF10" t="inlineStr">
        <is>
          <t>ENTREGADO</t>
        </is>
      </c>
      <c r="AG10" t="n">
        <v>1.38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D822-900007628-10213469</t>
        </is>
      </c>
    </row>
    <row r="11">
      <c r="A11" t="inlineStr">
        <is>
          <t>900008180D82210213469</t>
        </is>
      </c>
      <c r="B11" t="inlineStr">
        <is>
          <t>4600057370-10</t>
        </is>
      </c>
      <c r="C11" t="n">
        <v>4600057370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900008180</v>
      </c>
      <c r="H11" t="inlineStr">
        <is>
          <t>SF TP-CERRO DE PIEDRA</t>
        </is>
      </c>
      <c r="I11" t="n">
        <v>5041380</v>
      </c>
      <c r="J11" t="inlineStr">
        <is>
          <t>SANTOYO GALEANA MARIA MAGDALENA</t>
        </is>
      </c>
      <c r="K11" t="inlineStr">
        <is>
          <t>Z04</t>
        </is>
      </c>
      <c r="L11" t="inlineStr">
        <is>
          <t>(AP) 30 Dias</t>
        </is>
      </c>
      <c r="M11" t="n">
        <v>10213469</v>
      </c>
      <c r="N11" t="inlineStr">
        <is>
          <t>ARENA DE RIO NO.4</t>
        </is>
      </c>
      <c r="O11" t="inlineStr">
        <is>
          <t>D822</t>
        </is>
      </c>
      <c r="P11" t="inlineStr">
        <is>
          <t>MX-CED. ACAPULCO</t>
        </is>
      </c>
      <c r="Q11" t="n">
        <v>20230426</v>
      </c>
      <c r="R11" t="n">
        <v>20281231</v>
      </c>
      <c r="S11" t="n">
        <v>20230426</v>
      </c>
      <c r="T11" t="n">
        <v>20281231</v>
      </c>
      <c r="U11" t="n">
        <v>110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6622121540</v>
      </c>
      <c r="AE11" t="n">
        <v>1</v>
      </c>
      <c r="AF11" t="inlineStr">
        <is>
          <t>ENTREGADO</t>
        </is>
      </c>
      <c r="AG11" t="n">
        <v>1.38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D822-900008180-10213469</t>
        </is>
      </c>
    </row>
    <row r="12">
      <c r="A12" t="inlineStr">
        <is>
          <t>900007628D82210213931</t>
        </is>
      </c>
      <c r="B12" t="inlineStr">
        <is>
          <t>4600057065-20</t>
        </is>
      </c>
      <c r="C12" t="n">
        <v>4600057065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900007628</v>
      </c>
      <c r="H12" t="inlineStr">
        <is>
          <t>SF TP-COSTA CHICA</t>
        </is>
      </c>
      <c r="I12" t="n">
        <v>5006364</v>
      </c>
      <c r="J12" t="inlineStr">
        <is>
          <t>AGREGADOS COSTA CHICA SA DE CV</t>
        </is>
      </c>
      <c r="K12" t="inlineStr">
        <is>
          <t>Z09</t>
        </is>
      </c>
      <c r="L12" t="inlineStr">
        <is>
          <t>(AP) 90 Dias</t>
        </is>
      </c>
      <c r="M12" t="n">
        <v>10213931</v>
      </c>
      <c r="N12" t="inlineStr">
        <is>
          <t>GRAVA RIO 20 MM (3/4")</t>
        </is>
      </c>
      <c r="O12" t="inlineStr">
        <is>
          <t>D822</t>
        </is>
      </c>
      <c r="P12" t="inlineStr">
        <is>
          <t>MX-CED. ACAPULCO</t>
        </is>
      </c>
      <c r="Q12" t="n">
        <v>20230328</v>
      </c>
      <c r="R12" t="n">
        <v>20281231</v>
      </c>
      <c r="S12" t="n">
        <v>20230811</v>
      </c>
      <c r="T12" t="n">
        <v>20281231</v>
      </c>
      <c r="U12" t="n">
        <v>350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6622121540</v>
      </c>
      <c r="AE12" t="n">
        <v>1</v>
      </c>
      <c r="AF12" t="inlineStr">
        <is>
          <t>ENTREGADO</t>
        </is>
      </c>
      <c r="AG12" t="n">
        <v>1.462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D822-900007628-10213931</t>
        </is>
      </c>
    </row>
    <row r="13">
      <c r="A13" t="inlineStr">
        <is>
          <t>900005330D82210139741</t>
        </is>
      </c>
      <c r="B13" t="inlineStr">
        <is>
          <t>4600039007-10</t>
        </is>
      </c>
      <c r="C13" t="n">
        <v>4600039007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900005330</v>
      </c>
      <c r="H13" t="inlineStr">
        <is>
          <t>TP-CEMEX CHINA</t>
        </is>
      </c>
      <c r="I13" t="n">
        <v>5059655</v>
      </c>
      <c r="J13" t="inlineStr">
        <is>
          <t>AJL CONCRETE SOLUTIONS SA DE CV</t>
        </is>
      </c>
      <c r="K13" t="inlineStr">
        <is>
          <t>N90</t>
        </is>
      </c>
      <c r="L13" t="inlineStr">
        <is>
          <t>(AP) NAFIN 90 Dias</t>
        </is>
      </c>
      <c r="M13" t="n">
        <v>10139741</v>
      </c>
      <c r="N13" t="inlineStr">
        <is>
          <t>MICROSILICA</t>
        </is>
      </c>
      <c r="O13" t="inlineStr">
        <is>
          <t>D822</t>
        </is>
      </c>
      <c r="P13" t="inlineStr">
        <is>
          <t>MX-CED. ACAPULCO</t>
        </is>
      </c>
      <c r="Q13" t="n">
        <v>20170728</v>
      </c>
      <c r="R13" t="n">
        <v>20291231</v>
      </c>
      <c r="S13" t="n">
        <v>20170728</v>
      </c>
      <c r="T13" t="n">
        <v>20241231</v>
      </c>
      <c r="U13" t="n">
        <v>410</v>
      </c>
      <c r="V13" t="inlineStr">
        <is>
          <t>USD</t>
        </is>
      </c>
      <c r="W13" t="inlineStr">
        <is>
          <t>TN</t>
        </is>
      </c>
      <c r="X13" t="n">
        <v>0</v>
      </c>
      <c r="Y13" t="inlineStr">
        <is>
          <t>USD</t>
        </is>
      </c>
      <c r="Z13" t="inlineStr">
        <is>
          <t>TN</t>
        </is>
      </c>
      <c r="AC13" t="n">
        <v>56103638</v>
      </c>
      <c r="AD13" t="n">
        <v>6622121540</v>
      </c>
      <c r="AE13" t="n">
        <v>1</v>
      </c>
      <c r="AF13" t="inlineStr">
        <is>
          <t>ENTREGADO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D822-900005330-10139741</t>
        </is>
      </c>
    </row>
    <row r="14">
      <c r="A14" t="inlineStr">
        <is>
          <t>900005224D82210139741</t>
        </is>
      </c>
      <c r="B14" t="inlineStr">
        <is>
          <t>4600037861-10</t>
        </is>
      </c>
      <c r="C14" t="n">
        <v>4600037861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900005224</v>
      </c>
      <c r="H14" t="inlineStr">
        <is>
          <t>TP-HOCESA</t>
        </is>
      </c>
      <c r="I14" t="n">
        <v>5006995</v>
      </c>
      <c r="J14" t="inlineStr">
        <is>
          <t>INDUSTRIAL HOCESA SA DE CV</t>
        </is>
      </c>
      <c r="K14" t="inlineStr">
        <is>
          <t>N120</t>
        </is>
      </c>
      <c r="L14" t="inlineStr">
        <is>
          <t>(AP) NAFIN 120 Dias</t>
        </is>
      </c>
      <c r="M14" t="n">
        <v>10139741</v>
      </c>
      <c r="N14" t="inlineStr">
        <is>
          <t>MICROSILICA</t>
        </is>
      </c>
      <c r="O14" t="inlineStr">
        <is>
          <t>D822</t>
        </is>
      </c>
      <c r="P14" t="inlineStr">
        <is>
          <t>MX-CED. ACAPULCO</t>
        </is>
      </c>
      <c r="Q14" t="n">
        <v>20170510</v>
      </c>
      <c r="R14" t="n">
        <v>20241231</v>
      </c>
      <c r="S14" t="n">
        <v>20170510</v>
      </c>
      <c r="T14" t="n">
        <v>20241231</v>
      </c>
      <c r="U14" t="n">
        <v>10065</v>
      </c>
      <c r="V14" t="inlineStr">
        <is>
          <t>MXN</t>
        </is>
      </c>
      <c r="W14" t="inlineStr">
        <is>
          <t>TN</t>
        </is>
      </c>
      <c r="X14" t="n">
        <v>0</v>
      </c>
      <c r="Y14" t="inlineStr">
        <is>
          <t>MXN</t>
        </is>
      </c>
      <c r="Z14" t="inlineStr">
        <is>
          <t>TN</t>
        </is>
      </c>
      <c r="AC14" t="n">
        <v>56103638</v>
      </c>
      <c r="AD14" t="n">
        <v>6622121540</v>
      </c>
      <c r="AE14" t="n">
        <v>2</v>
      </c>
      <c r="AF14" t="inlineStr">
        <is>
          <t>RECOGIDO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D822-900005224-10139741</t>
        </is>
      </c>
    </row>
    <row r="15">
      <c r="A15" t="inlineStr">
        <is>
          <t>900005812D82210151420</t>
        </is>
      </c>
      <c r="B15" t="inlineStr">
        <is>
          <t>4600042946-10</t>
        </is>
      </c>
      <c r="C15" t="n">
        <v>4600042946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900005812</v>
      </c>
      <c r="H15" t="inlineStr">
        <is>
          <t>SF TP-PROPEX FABRICS DE MEXICO</t>
        </is>
      </c>
      <c r="I15" t="n">
        <v>5005136</v>
      </c>
      <c r="J15" t="inlineStr">
        <is>
          <t>PROPEX FABRICS DE MEXICO SA DE CV</t>
        </is>
      </c>
      <c r="K15" t="inlineStr">
        <is>
          <t>Z09</t>
        </is>
      </c>
      <c r="L15" t="inlineStr">
        <is>
          <t>(AP) 90 Dias</t>
        </is>
      </c>
      <c r="M15" t="n">
        <v>10151420</v>
      </c>
      <c r="N15" t="inlineStr">
        <is>
          <t>FIBRA POLIPROPILENO PARA CONCRETO</t>
        </is>
      </c>
      <c r="O15" t="inlineStr">
        <is>
          <t>D822</t>
        </is>
      </c>
      <c r="P15" t="inlineStr">
        <is>
          <t>MX-CED. ACAPULCO</t>
        </is>
      </c>
      <c r="Q15" t="n">
        <v>20180913</v>
      </c>
      <c r="R15" t="n">
        <v>20241231</v>
      </c>
      <c r="S15" t="n">
        <v>20180912</v>
      </c>
      <c r="T15" t="n">
        <v>20241231</v>
      </c>
      <c r="U15" t="n">
        <v>60000</v>
      </c>
      <c r="V15" t="inlineStr">
        <is>
          <t>MXN</t>
        </is>
      </c>
      <c r="W15" t="inlineStr">
        <is>
          <t>TN</t>
        </is>
      </c>
      <c r="X15" t="n">
        <v>0</v>
      </c>
      <c r="Y15" t="inlineStr">
        <is>
          <t>MXN</t>
        </is>
      </c>
      <c r="Z15" t="inlineStr">
        <is>
          <t>TN</t>
        </is>
      </c>
      <c r="AC15" t="n">
        <v>56103591</v>
      </c>
      <c r="AD15" t="n">
        <v>6622121540</v>
      </c>
      <c r="AE15" t="n">
        <v>2</v>
      </c>
      <c r="AF15" t="inlineStr">
        <is>
          <t>RECOGIDO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D822-900005812-10151420</t>
        </is>
      </c>
    </row>
    <row r="16">
      <c r="A16" t="inlineStr">
        <is>
          <t>900005451D82210151420</t>
        </is>
      </c>
      <c r="B16" t="inlineStr">
        <is>
          <t>4600041352-10</t>
        </is>
      </c>
      <c r="C16" t="n">
        <v>4600041352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900005451</v>
      </c>
      <c r="H16" t="inlineStr">
        <is>
          <t>TP-COFISA</t>
        </is>
      </c>
      <c r="I16" t="n">
        <v>5001422</v>
      </c>
      <c r="J16" t="inlineStr">
        <is>
          <t>COFISA DE MONTERREY SA DE CV</t>
        </is>
      </c>
      <c r="K16" t="inlineStr">
        <is>
          <t>N120</t>
        </is>
      </c>
      <c r="L16" t="inlineStr">
        <is>
          <t>(AP) NAFIN 120 Dias</t>
        </is>
      </c>
      <c r="M16" t="n">
        <v>10151420</v>
      </c>
      <c r="N16" t="inlineStr">
        <is>
          <t>FIBRA POLIPROPILENO PARA CONCRETO</t>
        </is>
      </c>
      <c r="O16" t="inlineStr">
        <is>
          <t>D822</t>
        </is>
      </c>
      <c r="P16" t="inlineStr">
        <is>
          <t>MX-CED. ACAPULCO</t>
        </is>
      </c>
      <c r="Q16" t="n">
        <v>20180226</v>
      </c>
      <c r="R16" t="n">
        <v>20241231</v>
      </c>
      <c r="S16" t="n">
        <v>20180226</v>
      </c>
      <c r="T16" t="n">
        <v>20241231</v>
      </c>
      <c r="U16" t="n">
        <v>44630</v>
      </c>
      <c r="V16" t="inlineStr">
        <is>
          <t>MXN</t>
        </is>
      </c>
      <c r="W16" t="inlineStr">
        <is>
          <t>TN</t>
        </is>
      </c>
      <c r="X16" t="n">
        <v>0</v>
      </c>
      <c r="Y16" t="inlineStr">
        <is>
          <t>MXN</t>
        </is>
      </c>
      <c r="Z16" t="inlineStr">
        <is>
          <t>TN</t>
        </is>
      </c>
      <c r="AC16" t="n">
        <v>56103591</v>
      </c>
      <c r="AD16" t="n">
        <v>6622121540</v>
      </c>
      <c r="AE16" t="n">
        <v>2</v>
      </c>
      <c r="AF16" t="inlineStr">
        <is>
          <t>RECOGIDO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D822-900005451-10151420</t>
        </is>
      </c>
    </row>
    <row r="17">
      <c r="A17" t="inlineStr">
        <is>
          <t>900005544D82210149996</t>
        </is>
      </c>
      <c r="B17" t="inlineStr">
        <is>
          <t>4600041325-10</t>
        </is>
      </c>
      <c r="C17" t="n">
        <v>4600041325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900005544</v>
      </c>
      <c r="H17" t="inlineStr">
        <is>
          <t>TP-FAPSA 2</t>
        </is>
      </c>
      <c r="I17" t="n">
        <v>5070357</v>
      </c>
      <c r="J17" t="inlineStr">
        <is>
          <t>JOSE DOMINGO GUTIERREZ SILVA</t>
        </is>
      </c>
      <c r="K17" t="inlineStr">
        <is>
          <t>Z03</t>
        </is>
      </c>
      <c r="L17" t="inlineStr">
        <is>
          <t>(AP) 15 Dias</t>
        </is>
      </c>
      <c r="M17" t="n">
        <v>10149996</v>
      </c>
      <c r="N17" t="inlineStr">
        <is>
          <t>ARENA SILICA MALLA 30 ENSACADA</t>
        </is>
      </c>
      <c r="O17" t="inlineStr">
        <is>
          <t>D822</t>
        </is>
      </c>
      <c r="P17" t="inlineStr">
        <is>
          <t>MX-CED. ACAPULCO</t>
        </is>
      </c>
      <c r="Q17" t="n">
        <v>20180223</v>
      </c>
      <c r="R17" t="n">
        <v>20241231</v>
      </c>
      <c r="S17" t="n">
        <v>20180223</v>
      </c>
      <c r="T17" t="n">
        <v>20241231</v>
      </c>
      <c r="U17" t="n">
        <v>42000</v>
      </c>
      <c r="V17" t="inlineStr">
        <is>
          <t>MXN</t>
        </is>
      </c>
      <c r="W17" t="inlineStr">
        <is>
          <t>TN</t>
        </is>
      </c>
      <c r="X17" t="n">
        <v>0</v>
      </c>
      <c r="Y17" t="inlineStr">
        <is>
          <t>MXN</t>
        </is>
      </c>
      <c r="Z17" t="inlineStr">
        <is>
          <t>TN</t>
        </is>
      </c>
      <c r="AC17" t="n">
        <v>56103638</v>
      </c>
      <c r="AD17" t="n">
        <v>6622121540</v>
      </c>
      <c r="AE17" t="n">
        <v>2</v>
      </c>
      <c r="AF17" t="inlineStr">
        <is>
          <t>RECOGIDO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D822-900005544-10149996</t>
        </is>
      </c>
    </row>
    <row r="18">
      <c r="A18" t="inlineStr">
        <is>
          <t>900005185D82210139741</t>
        </is>
      </c>
      <c r="B18" t="inlineStr">
        <is>
          <t>4600037793-10</t>
        </is>
      </c>
      <c r="C18" t="n">
        <v>4600037793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900005185</v>
      </c>
      <c r="H18" t="inlineStr">
        <is>
          <t>TP-ED  EUCOMEX</t>
        </is>
      </c>
      <c r="I18" t="n">
        <v>5003465</v>
      </c>
      <c r="J18" t="inlineStr">
        <is>
          <t>EUCOMEX SA DE CV</t>
        </is>
      </c>
      <c r="K18" t="inlineStr">
        <is>
          <t>N120</t>
        </is>
      </c>
      <c r="L18" t="inlineStr">
        <is>
          <t>(AP) NAFIN 120 Dias</t>
        </is>
      </c>
      <c r="M18" t="n">
        <v>10139741</v>
      </c>
      <c r="N18" t="inlineStr">
        <is>
          <t>MICROSILICA</t>
        </is>
      </c>
      <c r="O18" t="inlineStr">
        <is>
          <t>D822</t>
        </is>
      </c>
      <c r="P18" t="inlineStr">
        <is>
          <t>MX-CED. ACAPULCO</t>
        </is>
      </c>
      <c r="Q18" t="n">
        <v>20170503</v>
      </c>
      <c r="R18" t="n">
        <v>20241231</v>
      </c>
      <c r="S18" t="n">
        <v>20170503</v>
      </c>
      <c r="T18" t="n">
        <v>20241231</v>
      </c>
      <c r="U18" t="n">
        <v>10573</v>
      </c>
      <c r="V18" t="inlineStr">
        <is>
          <t>MXN</t>
        </is>
      </c>
      <c r="W18" t="inlineStr">
        <is>
          <t>TN</t>
        </is>
      </c>
      <c r="X18" t="n">
        <v>0</v>
      </c>
      <c r="Y18" t="inlineStr">
        <is>
          <t>MXN</t>
        </is>
      </c>
      <c r="Z18" t="inlineStr">
        <is>
          <t>TN</t>
        </is>
      </c>
      <c r="AC18" t="n">
        <v>56103638</v>
      </c>
      <c r="AD18" t="n">
        <v>6622121540</v>
      </c>
      <c r="AE18" t="n">
        <v>2</v>
      </c>
      <c r="AF18" t="inlineStr">
        <is>
          <t>RECOGIDO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D822-900005185-10139741</t>
        </is>
      </c>
    </row>
    <row r="19">
      <c r="A19" t="inlineStr">
        <is>
          <t>900005191D82210139741</t>
        </is>
      </c>
      <c r="B19" t="inlineStr">
        <is>
          <t>4600037863-10</t>
        </is>
      </c>
      <c r="C19" t="n">
        <v>4600037863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900005191</v>
      </c>
      <c r="H19" t="inlineStr">
        <is>
          <t>TP-BASF MEXICANA</t>
        </is>
      </c>
      <c r="I19" t="n">
        <v>5014141</v>
      </c>
      <c r="J19" t="inlineStr">
        <is>
          <t>BASF MEXICANA SA DE CV</t>
        </is>
      </c>
      <c r="K19" t="inlineStr">
        <is>
          <t>N90</t>
        </is>
      </c>
      <c r="L19" t="inlineStr">
        <is>
          <t>(AP) NAFIN 90 Dias</t>
        </is>
      </c>
      <c r="M19" t="n">
        <v>10139741</v>
      </c>
      <c r="N19" t="inlineStr">
        <is>
          <t>MICROSILICA</t>
        </is>
      </c>
      <c r="O19" t="inlineStr">
        <is>
          <t>D822</t>
        </is>
      </c>
      <c r="P19" t="inlineStr">
        <is>
          <t>MX-CED. ACAPULCO</t>
        </is>
      </c>
      <c r="Q19" t="n">
        <v>20170510</v>
      </c>
      <c r="R19" t="n">
        <v>20241231</v>
      </c>
      <c r="S19" t="n">
        <v>20170510</v>
      </c>
      <c r="T19" t="n">
        <v>20241231</v>
      </c>
      <c r="U19" t="n">
        <v>21630</v>
      </c>
      <c r="V19" t="inlineStr">
        <is>
          <t>MXN</t>
        </is>
      </c>
      <c r="W19" t="inlineStr">
        <is>
          <t>TN</t>
        </is>
      </c>
      <c r="X19" t="n">
        <v>0</v>
      </c>
      <c r="Y19" t="inlineStr">
        <is>
          <t>MXN</t>
        </is>
      </c>
      <c r="Z19" t="inlineStr">
        <is>
          <t>TN</t>
        </is>
      </c>
      <c r="AC19" t="n">
        <v>56103638</v>
      </c>
      <c r="AD19" t="n">
        <v>6622121540</v>
      </c>
      <c r="AE19" t="n">
        <v>2</v>
      </c>
      <c r="AF19" t="inlineStr">
        <is>
          <t>RECOGIDO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D822-900005191-10139741</t>
        </is>
      </c>
    </row>
    <row r="20">
      <c r="A20" t="inlineStr">
        <is>
          <t>900005056D82210139741</t>
        </is>
      </c>
      <c r="B20" t="inlineStr">
        <is>
          <t>4600038055-10</t>
        </is>
      </c>
      <c r="C20" t="n">
        <v>4600038055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900005056</v>
      </c>
      <c r="H20" t="inlineStr">
        <is>
          <t>TP-AJL SILICA</t>
        </is>
      </c>
      <c r="I20" t="n">
        <v>5059655</v>
      </c>
      <c r="J20" t="inlineStr">
        <is>
          <t>AJL CONCRETE SOLUTIONS SA DE CV</t>
        </is>
      </c>
      <c r="K20" t="inlineStr">
        <is>
          <t>N90</t>
        </is>
      </c>
      <c r="L20" t="inlineStr">
        <is>
          <t>(AP) NAFIN 90 Dias</t>
        </is>
      </c>
      <c r="M20" t="n">
        <v>10139741</v>
      </c>
      <c r="N20" t="inlineStr">
        <is>
          <t>MICROSILICA</t>
        </is>
      </c>
      <c r="O20" t="inlineStr">
        <is>
          <t>D822</t>
        </is>
      </c>
      <c r="P20" t="inlineStr">
        <is>
          <t>MX-CED. ACAPULCO</t>
        </is>
      </c>
      <c r="Q20" t="n">
        <v>20170523</v>
      </c>
      <c r="R20" t="n">
        <v>20241231</v>
      </c>
      <c r="S20" t="n">
        <v>20170523</v>
      </c>
      <c r="T20" t="n">
        <v>20241231</v>
      </c>
      <c r="U20" t="n">
        <v>500</v>
      </c>
      <c r="V20" t="inlineStr">
        <is>
          <t>USD</t>
        </is>
      </c>
      <c r="W20" t="inlineStr">
        <is>
          <t>TN</t>
        </is>
      </c>
      <c r="X20" t="n">
        <v>0</v>
      </c>
      <c r="Y20" t="inlineStr">
        <is>
          <t>USD</t>
        </is>
      </c>
      <c r="Z20" t="inlineStr">
        <is>
          <t>TN</t>
        </is>
      </c>
      <c r="AC20" t="n">
        <v>56103638</v>
      </c>
      <c r="AD20" t="n">
        <v>6622121540</v>
      </c>
      <c r="AE20" t="n">
        <v>2</v>
      </c>
      <c r="AF20" t="inlineStr">
        <is>
          <t>RECOGIDO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D822-900005056-10139741</t>
        </is>
      </c>
    </row>
    <row r="21">
      <c r="A21" t="inlineStr">
        <is>
          <t>900005451D82210151420</t>
        </is>
      </c>
      <c r="B21" t="inlineStr">
        <is>
          <t>4600041077-10</t>
        </is>
      </c>
      <c r="C21" t="n">
        <v>4600041077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900005451</v>
      </c>
      <c r="H21" t="inlineStr">
        <is>
          <t>TP-COFISA</t>
        </is>
      </c>
      <c r="I21" t="n">
        <v>5001422</v>
      </c>
      <c r="J21" t="inlineStr">
        <is>
          <t>COFISA DE MONTERREY SA DE CV</t>
        </is>
      </c>
      <c r="K21" t="inlineStr">
        <is>
          <t>N120</t>
        </is>
      </c>
      <c r="L21" t="inlineStr">
        <is>
          <t>(AP) NAFIN 120 Dias</t>
        </is>
      </c>
      <c r="M21" t="n">
        <v>10151420</v>
      </c>
      <c r="N21" t="inlineStr">
        <is>
          <t>FIBRA POLIPROPILENO PARA CONCRETO</t>
        </is>
      </c>
      <c r="O21" t="inlineStr">
        <is>
          <t>D822</t>
        </is>
      </c>
      <c r="P21" t="inlineStr">
        <is>
          <t>MX-CED. ACAPULCO</t>
        </is>
      </c>
      <c r="Q21" t="n">
        <v>20180131</v>
      </c>
      <c r="R21" t="n">
        <v>20241231</v>
      </c>
      <c r="S21" t="n">
        <v>20180130</v>
      </c>
      <c r="T21" t="n">
        <v>20241231</v>
      </c>
      <c r="U21" t="n">
        <v>44630</v>
      </c>
      <c r="V21" t="inlineStr">
        <is>
          <t>MXN</t>
        </is>
      </c>
      <c r="W21" t="inlineStr">
        <is>
          <t>TN</t>
        </is>
      </c>
      <c r="X21" t="n">
        <v>0</v>
      </c>
      <c r="Y21" t="inlineStr">
        <is>
          <t>MXN</t>
        </is>
      </c>
      <c r="Z21" t="inlineStr">
        <is>
          <t>TN</t>
        </is>
      </c>
      <c r="AC21" t="n">
        <v>56103591</v>
      </c>
      <c r="AD21" t="n">
        <v>6622121540</v>
      </c>
      <c r="AE21" t="n">
        <v>2</v>
      </c>
      <c r="AF21" t="inlineStr">
        <is>
          <t>RECOGIDO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D822-900005451-10151420</t>
        </is>
      </c>
    </row>
    <row r="22">
      <c r="A22" t="inlineStr">
        <is>
          <t>900005517D82210149996</t>
        </is>
      </c>
      <c r="B22" t="inlineStr">
        <is>
          <t>4600041125-10</t>
        </is>
      </c>
      <c r="C22" t="n">
        <v>4600041125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900005517</v>
      </c>
      <c r="H22" t="inlineStr">
        <is>
          <t>TP-FAPSA</t>
        </is>
      </c>
      <c r="I22" t="n">
        <v>5070357</v>
      </c>
      <c r="J22" t="inlineStr">
        <is>
          <t>JOSE DOMINGO GUTIERREZ SILVA</t>
        </is>
      </c>
      <c r="K22" t="inlineStr">
        <is>
          <t>Z03</t>
        </is>
      </c>
      <c r="L22" t="inlineStr">
        <is>
          <t>(AP) 15 Dias</t>
        </is>
      </c>
      <c r="M22" t="n">
        <v>10149996</v>
      </c>
      <c r="N22" t="inlineStr">
        <is>
          <t>ARENA SILICA MALLA 30 ENSACADA</t>
        </is>
      </c>
      <c r="O22" t="inlineStr">
        <is>
          <t>D822</t>
        </is>
      </c>
      <c r="P22" t="inlineStr">
        <is>
          <t>MX-CED. ACAPULCO</t>
        </is>
      </c>
      <c r="Q22" t="n">
        <v>20180207</v>
      </c>
      <c r="R22" t="n">
        <v>20241231</v>
      </c>
      <c r="S22" t="n">
        <v>20180207</v>
      </c>
      <c r="T22" t="n">
        <v>20241231</v>
      </c>
      <c r="U22" t="n">
        <v>42000</v>
      </c>
      <c r="V22" t="inlineStr">
        <is>
          <t>MXN</t>
        </is>
      </c>
      <c r="W22" t="inlineStr">
        <is>
          <t>TN</t>
        </is>
      </c>
      <c r="X22" t="n">
        <v>0</v>
      </c>
      <c r="Y22" t="inlineStr">
        <is>
          <t>MXN</t>
        </is>
      </c>
      <c r="Z22" t="inlineStr">
        <is>
          <t>TN</t>
        </is>
      </c>
      <c r="AC22" t="n">
        <v>56103638</v>
      </c>
      <c r="AD22" t="n">
        <v>6622121540</v>
      </c>
      <c r="AE22" t="n">
        <v>2</v>
      </c>
      <c r="AF22" t="inlineStr">
        <is>
          <t>RECOGIDO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D822-900005517-10149996</t>
        </is>
      </c>
    </row>
    <row r="23">
      <c r="A23" t="inlineStr">
        <is>
          <t>900005333D82210139741</t>
        </is>
      </c>
      <c r="B23" t="inlineStr">
        <is>
          <t>4600039303-10</t>
        </is>
      </c>
      <c r="C23" t="n">
        <v>4600039303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900005333</v>
      </c>
      <c r="H23" t="inlineStr">
        <is>
          <t>TC-CEMEX CHINA</t>
        </is>
      </c>
      <c r="I23" t="n">
        <v>5059655</v>
      </c>
      <c r="J23" t="inlineStr">
        <is>
          <t>AJL CONCRETE SOLUTIONS SA DE CV</t>
        </is>
      </c>
      <c r="K23" t="inlineStr">
        <is>
          <t>N90</t>
        </is>
      </c>
      <c r="L23" t="inlineStr">
        <is>
          <t>(AP) NAFIN 90 Dias</t>
        </is>
      </c>
      <c r="M23" t="n">
        <v>10139741</v>
      </c>
      <c r="N23" t="inlineStr">
        <is>
          <t>MICROSILICA</t>
        </is>
      </c>
      <c r="O23" t="inlineStr">
        <is>
          <t>D822</t>
        </is>
      </c>
      <c r="P23" t="inlineStr">
        <is>
          <t>MX-CED. ACAPULCO</t>
        </is>
      </c>
      <c r="Q23" t="n">
        <v>20170801</v>
      </c>
      <c r="R23" t="n">
        <v>20241231</v>
      </c>
      <c r="S23" t="n">
        <v>20170801</v>
      </c>
      <c r="T23" t="n">
        <v>20241231</v>
      </c>
      <c r="U23" t="n">
        <v>410</v>
      </c>
      <c r="V23" t="inlineStr">
        <is>
          <t>USD</t>
        </is>
      </c>
      <c r="W23" t="inlineStr">
        <is>
          <t>TN</t>
        </is>
      </c>
      <c r="X23" t="n">
        <v>0</v>
      </c>
      <c r="Y23" t="inlineStr">
        <is>
          <t>USD</t>
        </is>
      </c>
      <c r="Z23" t="inlineStr">
        <is>
          <t>TN</t>
        </is>
      </c>
      <c r="AC23" t="n">
        <v>56103638</v>
      </c>
      <c r="AD23" t="n">
        <v>6622121540</v>
      </c>
      <c r="AE23" t="n">
        <v>1</v>
      </c>
      <c r="AF23" t="inlineStr">
        <is>
          <t>ENTREGADO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D822-900005333-10139741</t>
        </is>
      </c>
    </row>
    <row r="24">
      <c r="A24" t="inlineStr">
        <is>
          <t>900008720D82210213469</t>
        </is>
      </c>
      <c r="B24" t="inlineStr">
        <is>
          <t>4600069057-20</t>
        </is>
      </c>
      <c r="C24" t="n">
        <v>4600069057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900008720</v>
      </c>
      <c r="H24" t="inlineStr">
        <is>
          <t>SF TP-PIEDRA DURA PAROTILLAS</t>
        </is>
      </c>
      <c r="I24" t="n">
        <v>5087603</v>
      </c>
      <c r="J24" t="inlineStr">
        <is>
          <t>PAPAGAYO CONSTRUCCIONES Y MAQUINARI</t>
        </is>
      </c>
      <c r="K24" t="inlineStr">
        <is>
          <t>N30</t>
        </is>
      </c>
      <c r="L24" t="inlineStr">
        <is>
          <t>(AP) NAFIN 30 Dias</t>
        </is>
      </c>
      <c r="M24" t="n">
        <v>10213469</v>
      </c>
      <c r="N24" t="inlineStr">
        <is>
          <t>ARENA DE RIO NO.4</t>
        </is>
      </c>
      <c r="O24" t="inlineStr">
        <is>
          <t>D822</t>
        </is>
      </c>
      <c r="P24" t="inlineStr">
        <is>
          <t>MX-CED. ACAPULCO</t>
        </is>
      </c>
      <c r="Q24" t="n">
        <v>20240202</v>
      </c>
      <c r="R24" t="n">
        <v>20291231</v>
      </c>
      <c r="S24" t="n">
        <v>20250314</v>
      </c>
      <c r="T24" t="n">
        <v>20301231</v>
      </c>
      <c r="U24" t="n">
        <v>160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6622121540</v>
      </c>
      <c r="AE24" t="n">
        <v>1</v>
      </c>
      <c r="AF24" t="inlineStr">
        <is>
          <t>ENTREGADO</t>
        </is>
      </c>
      <c r="AG24" t="n">
        <v>1.38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20250320</v>
      </c>
      <c r="AM24" t="inlineStr">
        <is>
          <t>D822-900008720-10213469</t>
        </is>
      </c>
    </row>
    <row r="25">
      <c r="A25" t="inlineStr">
        <is>
          <t>900000036D82210171624</t>
        </is>
      </c>
      <c r="B25" t="inlineStr">
        <is>
          <t>4600046620-40</t>
        </is>
      </c>
      <c r="C25" t="n">
        <v>4600046620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900000036</v>
      </c>
      <c r="H25" t="inlineStr">
        <is>
          <t>SF PAPAGAYO</t>
        </is>
      </c>
      <c r="I25" t="n">
        <v>5001941</v>
      </c>
      <c r="J25" t="inlineStr">
        <is>
          <t>PAPAGAYO LA SABANA SA DE CV</t>
        </is>
      </c>
      <c r="K25" t="inlineStr">
        <is>
          <t>Z03</t>
        </is>
      </c>
      <c r="L25" t="inlineStr">
        <is>
          <t>(AP) 15 Dias</t>
        </is>
      </c>
      <c r="M25" t="n">
        <v>10171624</v>
      </c>
      <c r="N25" t="inlineStr">
        <is>
          <t>ARENA TRITURADA CALIZA MALLA 4</t>
        </is>
      </c>
      <c r="O25" t="inlineStr">
        <is>
          <t>D822</t>
        </is>
      </c>
      <c r="P25" t="inlineStr">
        <is>
          <t>MX-CED. ACAPULCO</t>
        </is>
      </c>
      <c r="Q25" t="n">
        <v>20200220</v>
      </c>
      <c r="R25" t="n">
        <v>20301231</v>
      </c>
      <c r="S25" t="n">
        <v>20200220</v>
      </c>
      <c r="T25" t="n">
        <v>20301231</v>
      </c>
      <c r="U25" t="n">
        <v>1</v>
      </c>
      <c r="V25" t="inlineStr">
        <is>
          <t>MXN</t>
        </is>
      </c>
      <c r="W25" t="inlineStr">
        <is>
          <t>M3</t>
        </is>
      </c>
      <c r="AC25" t="n">
        <v>56103638</v>
      </c>
      <c r="AD25" t="n">
        <v>6622121540</v>
      </c>
      <c r="AE25" t="n">
        <v>1</v>
      </c>
      <c r="AF25" t="inlineStr">
        <is>
          <t>ENTREGADO</t>
        </is>
      </c>
      <c r="AG25" t="n">
        <v>1.675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D822-900000036-10171624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2026-09-14T14:18:46Z</dcterms:created>
  <dcterms:modified xsi:type="dcterms:W3CDTF">2026-09-14T14:18:47Z</dcterms:modified>
</cp:coreProperties>
</file>