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46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900005110</t>
        </is>
      </c>
      <c r="B3" s="8" t="inlineStr">
        <is>
          <t>TP- GRAKO</t>
        </is>
      </c>
      <c r="C3" s="7" t="inlineStr">
        <is>
          <t>D846</t>
        </is>
      </c>
      <c r="D3" s="7" t="inlineStr">
        <is>
          <t>65604651</t>
        </is>
      </c>
      <c r="E3" s="7" t="inlineStr"/>
      <c r="F3" s="8" t="inlineStr"/>
      <c r="G3" s="8" t="inlineStr">
        <is>
          <t>10000382</t>
        </is>
      </c>
      <c r="H3" s="8" t="inlineStr">
        <is>
          <t>Grava Triturada Basalto 20 mm - 3/4"</t>
        </is>
      </c>
      <c r="I3" s="9" t="n">
        <v>1323</v>
      </c>
      <c r="J3" s="7" t="inlineStr">
        <is>
          <t>20170210</t>
        </is>
      </c>
      <c r="K3" s="7" t="inlineStr">
        <is>
          <t>20241206</t>
        </is>
      </c>
      <c r="L3" s="10" t="n">
        <v>90.09999999999999</v>
      </c>
      <c r="M3" s="10" t="n"/>
      <c r="N3" s="7" t="inlineStr">
        <is>
          <t>TN</t>
        </is>
      </c>
      <c r="O3" s="10" t="n">
        <v>138</v>
      </c>
      <c r="P3" s="7" t="inlineStr">
        <is>
          <t>TN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900006180</t>
        </is>
      </c>
      <c r="B4" s="8" t="inlineStr"/>
      <c r="C4" s="7" t="inlineStr">
        <is>
          <t>D846</t>
        </is>
      </c>
      <c r="D4" s="7" t="inlineStr">
        <is>
          <t>66868659</t>
        </is>
      </c>
      <c r="E4" s="7" t="inlineStr">
        <is>
          <t>4</t>
        </is>
      </c>
      <c r="F4" s="8" t="inlineStr"/>
      <c r="G4" s="8" t="inlineStr">
        <is>
          <t>10169742</t>
        </is>
      </c>
      <c r="H4" s="8" t="inlineStr">
        <is>
          <t>ARENA TRITURADA BASALTO MALLA 4</t>
        </is>
      </c>
      <c r="I4" s="9" t="n">
        <v>1501</v>
      </c>
      <c r="J4" s="7" t="inlineStr">
        <is>
          <t>20170210</t>
        </is>
      </c>
      <c r="K4" s="7" t="inlineStr">
        <is>
          <t>20241206</t>
        </is>
      </c>
      <c r="L4" s="10" t="n">
        <v>165</v>
      </c>
      <c r="M4" s="10" t="n">
        <v>150</v>
      </c>
      <c r="N4" s="7" t="inlineStr">
        <is>
          <t>M3</t>
        </is>
      </c>
      <c r="O4" s="10" t="n"/>
      <c r="P4" s="7" t="inlineStr"/>
      <c r="Q4" s="10">
        <f>IF(AND(N4="TN",P4="TN"),L4+N(M4),IF(E4&amp;""="1",N(I4)*L4,(L4+N(M4))*N(I4)))</f>
        <v/>
      </c>
      <c r="R4" s="10">
        <f>O4-Q4</f>
        <v/>
      </c>
    </row>
    <row r="5">
      <c r="A5" s="7" t="inlineStr">
        <is>
          <t>900006262</t>
        </is>
      </c>
      <c r="B5" s="8" t="inlineStr"/>
      <c r="C5" s="7" t="inlineStr">
        <is>
          <t>D846</t>
        </is>
      </c>
      <c r="D5" s="7" t="inlineStr">
        <is>
          <t>66794395</t>
        </is>
      </c>
      <c r="E5" s="7" t="inlineStr">
        <is>
          <t>4</t>
        </is>
      </c>
      <c r="F5" s="8" t="inlineStr"/>
      <c r="G5" s="8" t="inlineStr">
        <is>
          <t>10000313</t>
        </is>
      </c>
      <c r="H5" s="8" t="inlineStr">
        <is>
          <t>Grava Triturada Basalto  10 mm - 3/8"</t>
        </is>
      </c>
      <c r="I5" s="9" t="n">
        <v>1320</v>
      </c>
      <c r="J5" s="7" t="inlineStr">
        <is>
          <t>20170210</t>
        </is>
      </c>
      <c r="K5" s="7" t="inlineStr">
        <is>
          <t>20241206</t>
        </is>
      </c>
      <c r="L5" s="10" t="n">
        <v>282</v>
      </c>
      <c r="M5" s="10" t="n">
        <v>77</v>
      </c>
      <c r="N5" s="7" t="inlineStr">
        <is>
          <t>M3</t>
        </is>
      </c>
      <c r="O5" s="10" t="n"/>
      <c r="P5" s="7" t="inlineStr"/>
      <c r="Q5" s="10">
        <f>IF(AND(N5="TN",P5="TN"),L5+N(M5),IF(E5&amp;""="1",N(I5)*L5,(L5+N(M5))*N(I5)))</f>
        <v/>
      </c>
      <c r="R5" s="10">
        <f>O5-Q5</f>
        <v/>
      </c>
    </row>
    <row r="6">
      <c r="A6" s="7" t="inlineStr">
        <is>
          <t>900006262</t>
        </is>
      </c>
      <c r="B6" s="8" t="inlineStr"/>
      <c r="C6" s="7" t="inlineStr">
        <is>
          <t>D846</t>
        </is>
      </c>
      <c r="D6" s="7" t="inlineStr">
        <is>
          <t>66794395</t>
        </is>
      </c>
      <c r="E6" s="7" t="inlineStr">
        <is>
          <t>4</t>
        </is>
      </c>
      <c r="F6" s="8" t="inlineStr"/>
      <c r="G6" s="8" t="inlineStr">
        <is>
          <t>10000755</t>
        </is>
      </c>
      <c r="H6" s="8" t="inlineStr">
        <is>
          <t>Grava Triturada Basalto  20 mm - 3/4"</t>
        </is>
      </c>
      <c r="I6" s="9" t="n">
        <v>1330</v>
      </c>
      <c r="J6" s="7" t="inlineStr">
        <is>
          <t>20170210</t>
        </is>
      </c>
      <c r="K6" s="7" t="inlineStr">
        <is>
          <t>20241206</t>
        </is>
      </c>
      <c r="L6" s="10" t="n">
        <v>185</v>
      </c>
      <c r="M6" s="10" t="n">
        <v>77</v>
      </c>
      <c r="N6" s="7" t="inlineStr">
        <is>
          <t>M3</t>
        </is>
      </c>
      <c r="O6" s="10" t="n"/>
      <c r="P6" s="7" t="inlineStr"/>
      <c r="Q6" s="10">
        <f>IF(AND(N6="TN",P6="TN"),L6+N(M6),IF(E6&amp;""="1",N(I6)*L6,(L6+N(M6))*N(I6)))</f>
        <v/>
      </c>
      <c r="R6" s="10">
        <f>O6-Q6</f>
        <v/>
      </c>
    </row>
    <row r="7">
      <c r="A7" s="7" t="inlineStr">
        <is>
          <t>900006262</t>
        </is>
      </c>
      <c r="B7" s="8" t="inlineStr"/>
      <c r="C7" s="7" t="inlineStr">
        <is>
          <t>D846</t>
        </is>
      </c>
      <c r="D7" s="7" t="inlineStr">
        <is>
          <t>66794395</t>
        </is>
      </c>
      <c r="E7" s="7" t="inlineStr">
        <is>
          <t>4</t>
        </is>
      </c>
      <c r="F7" s="8" t="inlineStr"/>
      <c r="G7" s="8" t="inlineStr">
        <is>
          <t>10156739</t>
        </is>
      </c>
      <c r="H7" s="8" t="inlineStr">
        <is>
          <t>ARENA CLASIFICADA BASALTO MALLA 4</t>
        </is>
      </c>
      <c r="I7" s="9" t="n">
        <v>1560</v>
      </c>
      <c r="J7" s="7" t="inlineStr">
        <is>
          <t>20170210</t>
        </is>
      </c>
      <c r="K7" s="7" t="inlineStr">
        <is>
          <t>20241206</t>
        </is>
      </c>
      <c r="L7" s="10" t="n">
        <v>194</v>
      </c>
      <c r="M7" s="10" t="n">
        <v>77</v>
      </c>
      <c r="N7" s="7" t="inlineStr">
        <is>
          <t>M3</t>
        </is>
      </c>
      <c r="O7" s="10" t="n"/>
      <c r="P7" s="7" t="inlineStr"/>
      <c r="Q7" s="10">
        <f>IF(AND(N7="TN",P7="TN"),L7+N(M7),IF(E7&amp;""="1",N(I7)*L7,(L7+N(M7))*N(I7)))</f>
        <v/>
      </c>
      <c r="R7" s="10">
        <f>O7-Q7</f>
        <v/>
      </c>
    </row>
    <row r="8">
      <c r="A8" s="7" t="inlineStr">
        <is>
          <t>900006262</t>
        </is>
      </c>
      <c r="B8" s="8" t="inlineStr"/>
      <c r="C8" s="7" t="inlineStr">
        <is>
          <t>D846</t>
        </is>
      </c>
      <c r="D8" s="7" t="inlineStr">
        <is>
          <t>66864630</t>
        </is>
      </c>
      <c r="E8" s="7" t="inlineStr">
        <is>
          <t>4</t>
        </is>
      </c>
      <c r="F8" s="8" t="inlineStr"/>
      <c r="G8" s="8" t="inlineStr">
        <is>
          <t>10000315</t>
        </is>
      </c>
      <c r="H8" s="8" t="inlineStr">
        <is>
          <t>Grava Triturada Basalto 40 mm - 1 1/2"</t>
        </is>
      </c>
      <c r="I8" s="9" t="n">
        <v>1277</v>
      </c>
      <c r="J8" s="7" t="inlineStr">
        <is>
          <t>20170210</t>
        </is>
      </c>
      <c r="K8" s="7" t="inlineStr">
        <is>
          <t>20241206</t>
        </is>
      </c>
      <c r="L8" s="10" t="n">
        <v>140.66</v>
      </c>
      <c r="M8" s="10" t="n">
        <v>142.24</v>
      </c>
      <c r="N8" s="7" t="inlineStr">
        <is>
          <t>M3</t>
        </is>
      </c>
      <c r="O8" s="10" t="n"/>
      <c r="P8" s="7" t="inlineStr"/>
      <c r="Q8" s="10">
        <f>IF(AND(N8="TN",P8="TN"),L8+N(M8),IF(E8&amp;""="1",N(I8)*L8,(L8+N(M8))*N(I8)))</f>
        <v/>
      </c>
      <c r="R8" s="10">
        <f>O8-Q8</f>
        <v/>
      </c>
    </row>
    <row r="9">
      <c r="A9" s="7" t="inlineStr">
        <is>
          <t>900006262</t>
        </is>
      </c>
      <c r="B9" s="8" t="inlineStr"/>
      <c r="C9" s="7" t="inlineStr">
        <is>
          <t>D846</t>
        </is>
      </c>
      <c r="D9" s="7" t="inlineStr">
        <is>
          <t>66864630</t>
        </is>
      </c>
      <c r="E9" s="7" t="inlineStr">
        <is>
          <t>4</t>
        </is>
      </c>
      <c r="F9" s="8" t="inlineStr"/>
      <c r="G9" s="8" t="inlineStr">
        <is>
          <t>10000755</t>
        </is>
      </c>
      <c r="H9" s="8" t="inlineStr">
        <is>
          <t>Grava Triturada Basalto  20 mm - 3/4"</t>
        </is>
      </c>
      <c r="I9" s="9" t="n">
        <v>1330</v>
      </c>
      <c r="J9" s="7" t="inlineStr">
        <is>
          <t>20170210</t>
        </is>
      </c>
      <c r="K9" s="7" t="inlineStr">
        <is>
          <t>20241206</t>
        </is>
      </c>
      <c r="L9" s="10" t="n">
        <v>155.32</v>
      </c>
      <c r="M9" s="10" t="n">
        <v>142.24</v>
      </c>
      <c r="N9" s="7" t="inlineStr">
        <is>
          <t>M3</t>
        </is>
      </c>
      <c r="O9" s="10" t="n"/>
      <c r="P9" s="7" t="inlineStr"/>
      <c r="Q9" s="10">
        <f>IF(AND(N9="TN",P9="TN"),L9+N(M9),IF(E9&amp;""="1",N(I9)*L9,(L9+N(M9))*N(I9)))</f>
        <v/>
      </c>
      <c r="R9" s="10">
        <f>O9-Q9</f>
        <v/>
      </c>
    </row>
    <row r="10">
      <c r="A10" s="7" t="inlineStr">
        <is>
          <t>900006262</t>
        </is>
      </c>
      <c r="B10" s="8" t="inlineStr"/>
      <c r="C10" s="7" t="inlineStr">
        <is>
          <t>D846</t>
        </is>
      </c>
      <c r="D10" s="7" t="inlineStr">
        <is>
          <t>66864630</t>
        </is>
      </c>
      <c r="E10" s="7" t="inlineStr">
        <is>
          <t>4</t>
        </is>
      </c>
      <c r="F10" s="8" t="inlineStr"/>
      <c r="G10" s="8" t="inlineStr">
        <is>
          <t>10156739</t>
        </is>
      </c>
      <c r="H10" s="8" t="inlineStr">
        <is>
          <t>ARENA CLASIFICADA BASALTO MALLA 4</t>
        </is>
      </c>
      <c r="I10" s="9" t="n">
        <v>1560</v>
      </c>
      <c r="J10" s="7" t="inlineStr">
        <is>
          <t>20170210</t>
        </is>
      </c>
      <c r="K10" s="7" t="inlineStr">
        <is>
          <t>20241206</t>
        </is>
      </c>
      <c r="L10" s="10" t="n">
        <v>113.06</v>
      </c>
      <c r="M10" s="10" t="n">
        <v>142.24</v>
      </c>
      <c r="N10" s="7" t="inlineStr">
        <is>
          <t>M3</t>
        </is>
      </c>
      <c r="O10" s="10" t="n"/>
      <c r="P10" s="7" t="inlineStr"/>
      <c r="Q10" s="10">
        <f>IF(AND(N10="TN",P10="TN"),L10+N(M10),IF(E10&amp;""="1",N(I10)*L10,(L10+N(M10))*N(I10)))</f>
        <v/>
      </c>
      <c r="R10" s="10">
        <f>O10-Q10</f>
        <v/>
      </c>
    </row>
    <row r="11">
      <c r="A11" s="7" t="inlineStr">
        <is>
          <t>900006262</t>
        </is>
      </c>
      <c r="B11" s="8" t="inlineStr"/>
      <c r="C11" s="7" t="inlineStr">
        <is>
          <t>D846</t>
        </is>
      </c>
      <c r="D11" s="7" t="inlineStr">
        <is>
          <t>66864631</t>
        </is>
      </c>
      <c r="E11" s="7" t="inlineStr">
        <is>
          <t>4</t>
        </is>
      </c>
      <c r="F11" s="8" t="inlineStr"/>
      <c r="G11" s="8" t="inlineStr">
        <is>
          <t>10000315</t>
        </is>
      </c>
      <c r="H11" s="8" t="inlineStr">
        <is>
          <t>Grava Triturada Basalto 40 mm - 1 1/2"</t>
        </is>
      </c>
      <c r="I11" s="9" t="n">
        <v>1277</v>
      </c>
      <c r="J11" s="7" t="inlineStr">
        <is>
          <t>20170210</t>
        </is>
      </c>
      <c r="K11" s="7" t="inlineStr">
        <is>
          <t>20241206</t>
        </is>
      </c>
      <c r="L11" s="10" t="n">
        <v>140.66</v>
      </c>
      <c r="M11" s="10" t="n">
        <v>142.24</v>
      </c>
      <c r="N11" s="7" t="inlineStr">
        <is>
          <t>M3</t>
        </is>
      </c>
      <c r="O11" s="10" t="n"/>
      <c r="P11" s="7" t="inlineStr"/>
      <c r="Q11" s="10">
        <f>IF(AND(N11="TN",P11="TN"),L11+N(M11),IF(E11&amp;""="1",N(I11)*L11,(L11+N(M11))*N(I11)))</f>
        <v/>
      </c>
      <c r="R11" s="10">
        <f>O11-Q11</f>
        <v/>
      </c>
    </row>
    <row r="12">
      <c r="A12" s="7" t="inlineStr">
        <is>
          <t>900006262</t>
        </is>
      </c>
      <c r="B12" s="8" t="inlineStr"/>
      <c r="C12" s="7" t="inlineStr">
        <is>
          <t>D846</t>
        </is>
      </c>
      <c r="D12" s="7" t="inlineStr">
        <is>
          <t>66864631</t>
        </is>
      </c>
      <c r="E12" s="7" t="inlineStr">
        <is>
          <t>4</t>
        </is>
      </c>
      <c r="F12" s="8" t="inlineStr"/>
      <c r="G12" s="8" t="inlineStr">
        <is>
          <t>10000755</t>
        </is>
      </c>
      <c r="H12" s="8" t="inlineStr">
        <is>
          <t>Grava Triturada Basalto  20 mm - 3/4"</t>
        </is>
      </c>
      <c r="I12" s="9" t="n">
        <v>1330</v>
      </c>
      <c r="J12" s="7" t="inlineStr">
        <is>
          <t>20170210</t>
        </is>
      </c>
      <c r="K12" s="7" t="inlineStr">
        <is>
          <t>20241206</t>
        </is>
      </c>
      <c r="L12" s="10" t="n">
        <v>155.32</v>
      </c>
      <c r="M12" s="10" t="n">
        <v>142.24</v>
      </c>
      <c r="N12" s="7" t="inlineStr">
        <is>
          <t>M3</t>
        </is>
      </c>
      <c r="O12" s="10" t="n"/>
      <c r="P12" s="7" t="inlineStr"/>
      <c r="Q12" s="10">
        <f>IF(AND(N12="TN",P12="TN"),L12+N(M12),IF(E12&amp;""="1",N(I12)*L12,(L12+N(M12))*N(I12)))</f>
        <v/>
      </c>
      <c r="R12" s="10">
        <f>O12-Q12</f>
        <v/>
      </c>
    </row>
    <row r="13">
      <c r="A13" s="7" t="inlineStr">
        <is>
          <t>900006262</t>
        </is>
      </c>
      <c r="B13" s="8" t="inlineStr"/>
      <c r="C13" s="7" t="inlineStr">
        <is>
          <t>D846</t>
        </is>
      </c>
      <c r="D13" s="7" t="inlineStr">
        <is>
          <t>66864631</t>
        </is>
      </c>
      <c r="E13" s="7" t="inlineStr">
        <is>
          <t>4</t>
        </is>
      </c>
      <c r="F13" s="8" t="inlineStr"/>
      <c r="G13" s="8" t="inlineStr">
        <is>
          <t>10156739</t>
        </is>
      </c>
      <c r="H13" s="8" t="inlineStr">
        <is>
          <t>ARENA CLASIFICADA BASALTO MALLA 4</t>
        </is>
      </c>
      <c r="I13" s="9" t="n">
        <v>1560</v>
      </c>
      <c r="J13" s="7" t="inlineStr">
        <is>
          <t>20170210</t>
        </is>
      </c>
      <c r="K13" s="7" t="inlineStr">
        <is>
          <t>20241206</t>
        </is>
      </c>
      <c r="L13" s="10" t="n">
        <v>113.06</v>
      </c>
      <c r="M13" s="10" t="n">
        <v>142.24</v>
      </c>
      <c r="N13" s="7" t="inlineStr">
        <is>
          <t>M3</t>
        </is>
      </c>
      <c r="O13" s="10" t="n"/>
      <c r="P13" s="7" t="inlineStr"/>
      <c r="Q13" s="10">
        <f>IF(AND(N13="TN",P13="TN"),L13+N(M13),IF(E13&amp;""="1",N(I13)*L13,(L13+N(M13))*N(I13)))</f>
        <v/>
      </c>
      <c r="R13" s="10">
        <f>O13-Q13</f>
        <v/>
      </c>
    </row>
    <row r="14">
      <c r="A14" s="7" t="inlineStr">
        <is>
          <t>900006262</t>
        </is>
      </c>
      <c r="B14" s="8" t="inlineStr"/>
      <c r="C14" s="7" t="inlineStr">
        <is>
          <t>D846</t>
        </is>
      </c>
      <c r="D14" s="7" t="inlineStr">
        <is>
          <t>66875000</t>
        </is>
      </c>
      <c r="E14" s="7" t="inlineStr">
        <is>
          <t>4</t>
        </is>
      </c>
      <c r="F14" s="8" t="inlineStr"/>
      <c r="G14" s="8" t="inlineStr">
        <is>
          <t>10000315</t>
        </is>
      </c>
      <c r="H14" s="8" t="inlineStr">
        <is>
          <t>Grava Triturada Basalto 40 mm - 1 1/2"</t>
        </is>
      </c>
      <c r="I14" s="9" t="n">
        <v>1277</v>
      </c>
      <c r="J14" s="7" t="inlineStr">
        <is>
          <t>20170210</t>
        </is>
      </c>
      <c r="K14" s="7" t="inlineStr">
        <is>
          <t>20241206</t>
        </is>
      </c>
      <c r="L14" s="10" t="n">
        <v>140.66</v>
      </c>
      <c r="M14" s="10" t="n">
        <v>142.24</v>
      </c>
      <c r="N14" s="7" t="inlineStr">
        <is>
          <t>M3</t>
        </is>
      </c>
      <c r="O14" s="10" t="n"/>
      <c r="P14" s="7" t="inlineStr"/>
      <c r="Q14" s="10">
        <f>IF(AND(N14="TN",P14="TN"),L14+N(M14),IF(E14&amp;""="1",N(I14)*L14,(L14+N(M14))*N(I14)))</f>
        <v/>
      </c>
      <c r="R14" s="10">
        <f>O14-Q14</f>
        <v/>
      </c>
    </row>
    <row r="15">
      <c r="A15" s="7" t="inlineStr">
        <is>
          <t>900006262</t>
        </is>
      </c>
      <c r="B15" s="8" t="inlineStr"/>
      <c r="C15" s="7" t="inlineStr">
        <is>
          <t>D846</t>
        </is>
      </c>
      <c r="D15" s="7" t="inlineStr">
        <is>
          <t>66875000</t>
        </is>
      </c>
      <c r="E15" s="7" t="inlineStr">
        <is>
          <t>4</t>
        </is>
      </c>
      <c r="F15" s="8" t="inlineStr"/>
      <c r="G15" s="8" t="inlineStr">
        <is>
          <t>10000755</t>
        </is>
      </c>
      <c r="H15" s="8" t="inlineStr">
        <is>
          <t>Grava Triturada Basalto  20 mm - 3/4"</t>
        </is>
      </c>
      <c r="I15" s="9" t="n">
        <v>1330</v>
      </c>
      <c r="J15" s="7" t="inlineStr">
        <is>
          <t>20170210</t>
        </is>
      </c>
      <c r="K15" s="7" t="inlineStr">
        <is>
          <t>20241206</t>
        </is>
      </c>
      <c r="L15" s="10" t="n">
        <v>155.32</v>
      </c>
      <c r="M15" s="10" t="n">
        <v>142.24</v>
      </c>
      <c r="N15" s="7" t="inlineStr">
        <is>
          <t>M3</t>
        </is>
      </c>
      <c r="O15" s="10" t="n"/>
      <c r="P15" s="7" t="inlineStr"/>
      <c r="Q15" s="10">
        <f>IF(AND(N15="TN",P15="TN"),L15+N(M15),IF(E15&amp;""="1",N(I15)*L15,(L15+N(M15))*N(I15)))</f>
        <v/>
      </c>
      <c r="R15" s="10">
        <f>O15-Q15</f>
        <v/>
      </c>
    </row>
    <row r="16">
      <c r="A16" s="7" t="inlineStr">
        <is>
          <t>900006262</t>
        </is>
      </c>
      <c r="B16" s="8" t="inlineStr"/>
      <c r="C16" s="7" t="inlineStr">
        <is>
          <t>D846</t>
        </is>
      </c>
      <c r="D16" s="7" t="inlineStr">
        <is>
          <t>66875000</t>
        </is>
      </c>
      <c r="E16" s="7" t="inlineStr">
        <is>
          <t>4</t>
        </is>
      </c>
      <c r="F16" s="8" t="inlineStr"/>
      <c r="G16" s="8" t="inlineStr">
        <is>
          <t>10156739</t>
        </is>
      </c>
      <c r="H16" s="8" t="inlineStr">
        <is>
          <t>ARENA CLASIFICADA BASALTO MALLA 4</t>
        </is>
      </c>
      <c r="I16" s="9" t="n">
        <v>1560</v>
      </c>
      <c r="J16" s="7" t="inlineStr">
        <is>
          <t>20170210</t>
        </is>
      </c>
      <c r="K16" s="7" t="inlineStr">
        <is>
          <t>20241206</t>
        </is>
      </c>
      <c r="L16" s="10" t="n">
        <v>113.06</v>
      </c>
      <c r="M16" s="10" t="n">
        <v>142.24</v>
      </c>
      <c r="N16" s="7" t="inlineStr">
        <is>
          <t>M3</t>
        </is>
      </c>
      <c r="O16" s="10" t="n"/>
      <c r="P16" s="7" t="inlineStr"/>
      <c r="Q16" s="10">
        <f>IF(AND(N16="TN",P16="TN"),L16+N(M16),IF(E16&amp;""="1",N(I16)*L16,(L16+N(M16))*N(I16)))</f>
        <v/>
      </c>
      <c r="R16" s="10">
        <f>O16-Q16</f>
        <v/>
      </c>
    </row>
    <row r="17">
      <c r="A17" s="7" t="inlineStr">
        <is>
          <t>900006262</t>
        </is>
      </c>
      <c r="B17" s="8" t="inlineStr"/>
      <c r="C17" s="7" t="inlineStr">
        <is>
          <t>D846</t>
        </is>
      </c>
      <c r="D17" s="7" t="inlineStr">
        <is>
          <t>66984618</t>
        </is>
      </c>
      <c r="E17" s="7" t="inlineStr">
        <is>
          <t>4</t>
        </is>
      </c>
      <c r="F17" s="8" t="inlineStr"/>
      <c r="G17" s="8" t="inlineStr">
        <is>
          <t>10000315</t>
        </is>
      </c>
      <c r="H17" s="8" t="inlineStr">
        <is>
          <t>Grava Triturada Basalto 40 mm - 1 1/2"</t>
        </is>
      </c>
      <c r="I17" s="9" t="n">
        <v>1277</v>
      </c>
      <c r="J17" s="7" t="inlineStr">
        <is>
          <t>20170210</t>
        </is>
      </c>
      <c r="K17" s="7" t="inlineStr">
        <is>
          <t>20241206</t>
        </is>
      </c>
      <c r="L17" s="10" t="n">
        <v>196</v>
      </c>
      <c r="M17" s="10" t="n">
        <v>86</v>
      </c>
      <c r="N17" s="7" t="inlineStr">
        <is>
          <t>M3</t>
        </is>
      </c>
      <c r="O17" s="10" t="n"/>
      <c r="P17" s="7" t="inlineStr"/>
      <c r="Q17" s="10">
        <f>IF(AND(N17="TN",P17="TN"),L17+N(M17),IF(E17&amp;""="1",N(I17)*L17,(L17+N(M17))*N(I17)))</f>
        <v/>
      </c>
      <c r="R17" s="10">
        <f>O17-Q17</f>
        <v/>
      </c>
    </row>
    <row r="18">
      <c r="A18" s="7" t="inlineStr">
        <is>
          <t>900006262</t>
        </is>
      </c>
      <c r="B18" s="8" t="inlineStr"/>
      <c r="C18" s="7" t="inlineStr">
        <is>
          <t>D846</t>
        </is>
      </c>
      <c r="D18" s="7" t="inlineStr">
        <is>
          <t>67061226</t>
        </is>
      </c>
      <c r="E18" s="7" t="inlineStr">
        <is>
          <t>4</t>
        </is>
      </c>
      <c r="F18" s="8" t="inlineStr"/>
      <c r="G18" s="8" t="inlineStr">
        <is>
          <t>10000315</t>
        </is>
      </c>
      <c r="H18" s="8" t="inlineStr">
        <is>
          <t>Grava Triturada Basalto 40 mm - 1 1/2"</t>
        </is>
      </c>
      <c r="I18" s="9" t="n">
        <v>1277</v>
      </c>
      <c r="J18" s="7" t="inlineStr">
        <is>
          <t>20170210</t>
        </is>
      </c>
      <c r="K18" s="7" t="inlineStr">
        <is>
          <t>20241206</t>
        </is>
      </c>
      <c r="L18" s="10" t="n">
        <v>231</v>
      </c>
      <c r="M18" s="10" t="n">
        <v>86</v>
      </c>
      <c r="N18" s="7" t="inlineStr">
        <is>
          <t>M3</t>
        </is>
      </c>
      <c r="O18" s="10" t="n"/>
      <c r="P18" s="7" t="inlineStr"/>
      <c r="Q18" s="10">
        <f>IF(AND(N18="TN",P18="TN"),L18+N(M18),IF(E18&amp;""="1",N(I18)*L18,(L18+N(M18))*N(I18)))</f>
        <v/>
      </c>
      <c r="R18" s="10">
        <f>O18-Q18</f>
        <v/>
      </c>
    </row>
    <row r="19">
      <c r="A19" s="7" t="inlineStr">
        <is>
          <t>900006301</t>
        </is>
      </c>
      <c r="B19" s="8" t="inlineStr"/>
      <c r="C19" s="7" t="inlineStr">
        <is>
          <t>D846</t>
        </is>
      </c>
      <c r="D19" s="7" t="inlineStr">
        <is>
          <t>66868659</t>
        </is>
      </c>
      <c r="E19" s="7" t="inlineStr">
        <is>
          <t>4</t>
        </is>
      </c>
      <c r="F19" s="8" t="inlineStr"/>
      <c r="G19" s="8" t="inlineStr">
        <is>
          <t>10169742</t>
        </is>
      </c>
      <c r="H19" s="8" t="inlineStr">
        <is>
          <t>ARENA TRITURADA BASALTO MALLA 4</t>
        </is>
      </c>
      <c r="I19" s="9" t="n">
        <v>1501</v>
      </c>
      <c r="J19" s="7" t="inlineStr">
        <is>
          <t>20170210</t>
        </is>
      </c>
      <c r="K19" s="7" t="inlineStr">
        <is>
          <t>20241206</t>
        </is>
      </c>
      <c r="L19" s="10" t="n">
        <v>165</v>
      </c>
      <c r="M19" s="10" t="n">
        <v>100</v>
      </c>
      <c r="N19" s="7" t="inlineStr">
        <is>
          <t>M3</t>
        </is>
      </c>
      <c r="O19" s="10" t="n"/>
      <c r="P19" s="7" t="inlineStr"/>
      <c r="Q19" s="10">
        <f>IF(AND(N19="TN",P19="TN"),L19+N(M19),IF(E19&amp;""="1",N(I19)*L19,(L19+N(M19))*N(I19)))</f>
        <v/>
      </c>
      <c r="R19" s="10">
        <f>O19-Q19</f>
        <v/>
      </c>
    </row>
    <row r="20">
      <c r="A20" s="7" t="inlineStr">
        <is>
          <t>900005110</t>
        </is>
      </c>
      <c r="B20" s="8" t="inlineStr">
        <is>
          <t>TP- GRAKO</t>
        </is>
      </c>
      <c r="C20" s="7" t="inlineStr">
        <is>
          <t>D846</t>
        </is>
      </c>
      <c r="D20" s="7" t="inlineStr">
        <is>
          <t>67227012</t>
        </is>
      </c>
      <c r="E20" s="7" t="inlineStr"/>
      <c r="F20" s="8" t="inlineStr"/>
      <c r="G20" s="8" t="inlineStr">
        <is>
          <t>10058507</t>
        </is>
      </c>
      <c r="H20" s="8" t="inlineStr">
        <is>
          <t>Base H Triturada Basalto 1 1/2" a Finos</t>
        </is>
      </c>
      <c r="I20" s="9" t="n">
        <v>1850</v>
      </c>
      <c r="J20" s="7" t="inlineStr">
        <is>
          <t>20191211</t>
        </is>
      </c>
      <c r="K20" s="7" t="inlineStr">
        <is>
          <t>20251031</t>
        </is>
      </c>
      <c r="L20" s="10" t="n">
        <v>118</v>
      </c>
      <c r="M20" s="10" t="n"/>
      <c r="N20" s="7" t="inlineStr">
        <is>
          <t>TN</t>
        </is>
      </c>
      <c r="O20" s="10" t="n">
        <v>102</v>
      </c>
      <c r="P20" s="7" t="inlineStr">
        <is>
          <t>TN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900005110</t>
        </is>
      </c>
      <c r="B21" s="8" t="inlineStr">
        <is>
          <t>TP- GRAKO</t>
        </is>
      </c>
      <c r="C21" s="7" t="inlineStr">
        <is>
          <t>D846</t>
        </is>
      </c>
      <c r="D21" s="7" t="inlineStr">
        <is>
          <t>67234490</t>
        </is>
      </c>
      <c r="E21" s="7" t="inlineStr"/>
      <c r="F21" s="8" t="inlineStr"/>
      <c r="G21" s="8" t="inlineStr">
        <is>
          <t>10000382</t>
        </is>
      </c>
      <c r="H21" s="8" t="inlineStr">
        <is>
          <t>Grava Triturada Basalto 20 mm - 3/4"</t>
        </is>
      </c>
      <c r="I21" s="9" t="n">
        <v>1323</v>
      </c>
      <c r="J21" s="7" t="inlineStr">
        <is>
          <t>20191211</t>
        </is>
      </c>
      <c r="K21" s="7" t="inlineStr">
        <is>
          <t>20251031</t>
        </is>
      </c>
      <c r="L21" s="10" t="n">
        <v>151.5</v>
      </c>
      <c r="M21" s="10" t="n"/>
      <c r="N21" s="7" t="inlineStr">
        <is>
          <t>TN</t>
        </is>
      </c>
      <c r="O21" s="10" t="n">
        <v>138</v>
      </c>
      <c r="P21" s="7" t="inlineStr">
        <is>
          <t>TN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900005110</t>
        </is>
      </c>
      <c r="B22" s="8" t="inlineStr">
        <is>
          <t>TP- GRAKO</t>
        </is>
      </c>
      <c r="C22" s="7" t="inlineStr">
        <is>
          <t>D846</t>
        </is>
      </c>
      <c r="D22" s="7" t="inlineStr">
        <is>
          <t>67234490</t>
        </is>
      </c>
      <c r="E22" s="7" t="inlineStr"/>
      <c r="F22" s="8" t="inlineStr"/>
      <c r="G22" s="8" t="inlineStr">
        <is>
          <t>10000384</t>
        </is>
      </c>
      <c r="H22" s="8" t="inlineStr">
        <is>
          <t>Arena Triturada Basalto Malla 4</t>
        </is>
      </c>
      <c r="I22" s="9" t="n">
        <v>1610</v>
      </c>
      <c r="J22" s="7" t="inlineStr">
        <is>
          <t>20191211</t>
        </is>
      </c>
      <c r="K22" s="7" t="inlineStr">
        <is>
          <t>20251031</t>
        </is>
      </c>
      <c r="L22" s="10" t="n">
        <v>88</v>
      </c>
      <c r="M22" s="10" t="n"/>
      <c r="N22" s="7" t="inlineStr">
        <is>
          <t>TN</t>
        </is>
      </c>
      <c r="O22" s="10" t="n">
        <v>80</v>
      </c>
      <c r="P22" s="7" t="inlineStr">
        <is>
          <t>TN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900005110</t>
        </is>
      </c>
      <c r="B23" s="8" t="inlineStr">
        <is>
          <t>TP- GRAKO</t>
        </is>
      </c>
      <c r="C23" s="7" t="inlineStr">
        <is>
          <t>D846</t>
        </is>
      </c>
      <c r="D23" s="7" t="inlineStr">
        <is>
          <t>67234490</t>
        </is>
      </c>
      <c r="E23" s="7" t="inlineStr"/>
      <c r="F23" s="8" t="inlineStr"/>
      <c r="G23" s="8" t="inlineStr">
        <is>
          <t>10001077</t>
        </is>
      </c>
      <c r="H23" s="8" t="inlineStr">
        <is>
          <t>Crudo Basalto</t>
        </is>
      </c>
      <c r="I23" s="9" t="n">
        <v>1350</v>
      </c>
      <c r="J23" s="7" t="inlineStr">
        <is>
          <t>20191211</t>
        </is>
      </c>
      <c r="K23" s="7" t="inlineStr">
        <is>
          <t>20251031</t>
        </is>
      </c>
      <c r="L23" s="10" t="n">
        <v>98</v>
      </c>
      <c r="M23" s="10" t="n"/>
      <c r="N23" s="7" t="inlineStr">
        <is>
          <t>TN</t>
        </is>
      </c>
      <c r="O23" s="10" t="n">
        <v>89</v>
      </c>
      <c r="P23" s="7" t="inlineStr">
        <is>
          <t>TN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900005110</t>
        </is>
      </c>
      <c r="B24" s="8" t="inlineStr">
        <is>
          <t>TP- GRAKO</t>
        </is>
      </c>
      <c r="C24" s="7" t="inlineStr">
        <is>
          <t>D846</t>
        </is>
      </c>
      <c r="D24" s="7" t="inlineStr">
        <is>
          <t>67234490</t>
        </is>
      </c>
      <c r="E24" s="7" t="inlineStr"/>
      <c r="F24" s="8" t="inlineStr"/>
      <c r="G24" s="8" t="inlineStr">
        <is>
          <t>10058507</t>
        </is>
      </c>
      <c r="H24" s="8" t="inlineStr">
        <is>
          <t>Base H Triturada Basalto 1 1/2" a Finos</t>
        </is>
      </c>
      <c r="I24" s="9" t="n">
        <v>1850</v>
      </c>
      <c r="J24" s="7" t="inlineStr">
        <is>
          <t>20191211</t>
        </is>
      </c>
      <c r="K24" s="7" t="inlineStr">
        <is>
          <t>20251031</t>
        </is>
      </c>
      <c r="L24" s="10" t="n">
        <v>117</v>
      </c>
      <c r="M24" s="10" t="n"/>
      <c r="N24" s="7" t="inlineStr">
        <is>
          <t>TN</t>
        </is>
      </c>
      <c r="O24" s="10" t="n">
        <v>102</v>
      </c>
      <c r="P24" s="7" t="inlineStr">
        <is>
          <t>TN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900005110</t>
        </is>
      </c>
      <c r="B25" s="8" t="inlineStr">
        <is>
          <t>TP- GRAKO</t>
        </is>
      </c>
      <c r="C25" s="7" t="inlineStr">
        <is>
          <t>D846</t>
        </is>
      </c>
      <c r="D25" s="7" t="inlineStr">
        <is>
          <t>67234490</t>
        </is>
      </c>
      <c r="E25" s="7" t="inlineStr"/>
      <c r="F25" s="8" t="inlineStr"/>
      <c r="G25" s="8" t="inlineStr">
        <is>
          <t>10147486</t>
        </is>
      </c>
      <c r="H25" s="8" t="inlineStr">
        <is>
          <t>BALASTO TRITURADO</t>
        </is>
      </c>
      <c r="I25" s="9" t="n">
        <v>1560</v>
      </c>
      <c r="J25" s="7" t="inlineStr">
        <is>
          <t>20191211</t>
        </is>
      </c>
      <c r="K25" s="7" t="inlineStr">
        <is>
          <t>20251031</t>
        </is>
      </c>
      <c r="L25" s="10" t="n">
        <v>98</v>
      </c>
      <c r="M25" s="10" t="n"/>
      <c r="N25" s="7" t="inlineStr">
        <is>
          <t>TN</t>
        </is>
      </c>
      <c r="O25" s="10" t="n">
        <v>89</v>
      </c>
      <c r="P25" s="7" t="inlineStr">
        <is>
          <t>TN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900005110</t>
        </is>
      </c>
      <c r="B26" s="8" t="inlineStr">
        <is>
          <t>TP- GRAKO</t>
        </is>
      </c>
      <c r="C26" s="7" t="inlineStr">
        <is>
          <t>D846</t>
        </is>
      </c>
      <c r="D26" s="7" t="inlineStr">
        <is>
          <t>67234499</t>
        </is>
      </c>
      <c r="E26" s="7" t="inlineStr"/>
      <c r="F26" s="8" t="inlineStr"/>
      <c r="G26" s="8" t="inlineStr">
        <is>
          <t>10000382</t>
        </is>
      </c>
      <c r="H26" s="8" t="inlineStr">
        <is>
          <t>Grava Triturada Basalto 20 mm - 3/4"</t>
        </is>
      </c>
      <c r="I26" s="9" t="n">
        <v>1323</v>
      </c>
      <c r="J26" s="7" t="inlineStr">
        <is>
          <t>20191211</t>
        </is>
      </c>
      <c r="K26" s="7" t="inlineStr">
        <is>
          <t>20251031</t>
        </is>
      </c>
      <c r="L26" s="10" t="n">
        <v>151.5</v>
      </c>
      <c r="M26" s="10" t="n"/>
      <c r="N26" s="7" t="inlineStr">
        <is>
          <t>TN</t>
        </is>
      </c>
      <c r="O26" s="10" t="n">
        <v>138</v>
      </c>
      <c r="P26" s="7" t="inlineStr">
        <is>
          <t>TN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900005110</t>
        </is>
      </c>
      <c r="B27" s="8" t="inlineStr">
        <is>
          <t>TP- GRAKO</t>
        </is>
      </c>
      <c r="C27" s="7" t="inlineStr">
        <is>
          <t>D846</t>
        </is>
      </c>
      <c r="D27" s="7" t="inlineStr">
        <is>
          <t>67234529</t>
        </is>
      </c>
      <c r="E27" s="7" t="inlineStr"/>
      <c r="F27" s="8" t="inlineStr"/>
      <c r="G27" s="8" t="inlineStr">
        <is>
          <t>10000382</t>
        </is>
      </c>
      <c r="H27" s="8" t="inlineStr">
        <is>
          <t>Grava Triturada Basalto 20 mm - 3/4"</t>
        </is>
      </c>
      <c r="I27" s="9" t="n">
        <v>1323</v>
      </c>
      <c r="J27" s="7" t="inlineStr">
        <is>
          <t>20191211</t>
        </is>
      </c>
      <c r="K27" s="7" t="inlineStr">
        <is>
          <t>20251031</t>
        </is>
      </c>
      <c r="L27" s="10" t="n">
        <v>151.5</v>
      </c>
      <c r="M27" s="10" t="n"/>
      <c r="N27" s="7" t="inlineStr">
        <is>
          <t>TN</t>
        </is>
      </c>
      <c r="O27" s="10" t="n">
        <v>138</v>
      </c>
      <c r="P27" s="7" t="inlineStr">
        <is>
          <t>TN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900005110</t>
        </is>
      </c>
      <c r="B28" s="8" t="inlineStr">
        <is>
          <t>TP- GRAKO</t>
        </is>
      </c>
      <c r="C28" s="7" t="inlineStr">
        <is>
          <t>D846</t>
        </is>
      </c>
      <c r="D28" s="7" t="inlineStr">
        <is>
          <t>67234529</t>
        </is>
      </c>
      <c r="E28" s="7" t="inlineStr"/>
      <c r="F28" s="8" t="inlineStr"/>
      <c r="G28" s="8" t="inlineStr">
        <is>
          <t>10000384</t>
        </is>
      </c>
      <c r="H28" s="8" t="inlineStr">
        <is>
          <t>Arena Triturada Basalto Malla 4</t>
        </is>
      </c>
      <c r="I28" s="9" t="n">
        <v>1610</v>
      </c>
      <c r="J28" s="7" t="inlineStr">
        <is>
          <t>20191211</t>
        </is>
      </c>
      <c r="K28" s="7" t="inlineStr">
        <is>
          <t>20251031</t>
        </is>
      </c>
      <c r="L28" s="10" t="n">
        <v>88</v>
      </c>
      <c r="M28" s="10" t="n"/>
      <c r="N28" s="7" t="inlineStr">
        <is>
          <t>TN</t>
        </is>
      </c>
      <c r="O28" s="10" t="n">
        <v>80</v>
      </c>
      <c r="P28" s="7" t="inlineStr">
        <is>
          <t>TN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900005110</t>
        </is>
      </c>
      <c r="B29" s="8" t="inlineStr">
        <is>
          <t>TP- GRAKO</t>
        </is>
      </c>
      <c r="C29" s="7" t="inlineStr">
        <is>
          <t>D846</t>
        </is>
      </c>
      <c r="D29" s="7" t="inlineStr">
        <is>
          <t>67234529</t>
        </is>
      </c>
      <c r="E29" s="7" t="inlineStr"/>
      <c r="F29" s="8" t="inlineStr"/>
      <c r="G29" s="8" t="inlineStr">
        <is>
          <t>10001077</t>
        </is>
      </c>
      <c r="H29" s="8" t="inlineStr">
        <is>
          <t>Crudo Basalto</t>
        </is>
      </c>
      <c r="I29" s="9" t="n">
        <v>1350</v>
      </c>
      <c r="J29" s="7" t="inlineStr">
        <is>
          <t>20191211</t>
        </is>
      </c>
      <c r="K29" s="7" t="inlineStr">
        <is>
          <t>20251031</t>
        </is>
      </c>
      <c r="L29" s="10" t="n">
        <v>98</v>
      </c>
      <c r="M29" s="10" t="n"/>
      <c r="N29" s="7" t="inlineStr">
        <is>
          <t>TN</t>
        </is>
      </c>
      <c r="O29" s="10" t="n">
        <v>89</v>
      </c>
      <c r="P29" s="7" t="inlineStr">
        <is>
          <t>TN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900005110</t>
        </is>
      </c>
      <c r="B30" s="8" t="inlineStr">
        <is>
          <t>TP- GRAKO</t>
        </is>
      </c>
      <c r="C30" s="7" t="inlineStr">
        <is>
          <t>D846</t>
        </is>
      </c>
      <c r="D30" s="7" t="inlineStr">
        <is>
          <t>67234529</t>
        </is>
      </c>
      <c r="E30" s="7" t="inlineStr"/>
      <c r="F30" s="8" t="inlineStr"/>
      <c r="G30" s="8" t="inlineStr">
        <is>
          <t>10058507</t>
        </is>
      </c>
      <c r="H30" s="8" t="inlineStr">
        <is>
          <t>Base H Triturada Basalto 1 1/2" a Finos</t>
        </is>
      </c>
      <c r="I30" s="9" t="n">
        <v>1850</v>
      </c>
      <c r="J30" s="7" t="inlineStr">
        <is>
          <t>20191211</t>
        </is>
      </c>
      <c r="K30" s="7" t="inlineStr">
        <is>
          <t>20251031</t>
        </is>
      </c>
      <c r="L30" s="10" t="n">
        <v>117</v>
      </c>
      <c r="M30" s="10" t="n"/>
      <c r="N30" s="7" t="inlineStr">
        <is>
          <t>TN</t>
        </is>
      </c>
      <c r="O30" s="10" t="n">
        <v>102</v>
      </c>
      <c r="P30" s="7" t="inlineStr">
        <is>
          <t>TN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900005110</t>
        </is>
      </c>
      <c r="B31" s="8" t="inlineStr">
        <is>
          <t>TP- GRAKO</t>
        </is>
      </c>
      <c r="C31" s="7" t="inlineStr">
        <is>
          <t>D846</t>
        </is>
      </c>
      <c r="D31" s="7" t="inlineStr">
        <is>
          <t>67234529</t>
        </is>
      </c>
      <c r="E31" s="7" t="inlineStr"/>
      <c r="F31" s="8" t="inlineStr"/>
      <c r="G31" s="8" t="inlineStr">
        <is>
          <t>10147486</t>
        </is>
      </c>
      <c r="H31" s="8" t="inlineStr">
        <is>
          <t>BALASTO TRITURADO</t>
        </is>
      </c>
      <c r="I31" s="9" t="n">
        <v>1560</v>
      </c>
      <c r="J31" s="7" t="inlineStr">
        <is>
          <t>20191211</t>
        </is>
      </c>
      <c r="K31" s="7" t="inlineStr">
        <is>
          <t>20251031</t>
        </is>
      </c>
      <c r="L31" s="10" t="n">
        <v>98</v>
      </c>
      <c r="M31" s="10" t="n"/>
      <c r="N31" s="7" t="inlineStr">
        <is>
          <t>TN</t>
        </is>
      </c>
      <c r="O31" s="10" t="n">
        <v>89</v>
      </c>
      <c r="P31" s="7" t="inlineStr">
        <is>
          <t>TN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900005260</t>
        </is>
      </c>
      <c r="B32" s="8" t="inlineStr"/>
      <c r="C32" s="7" t="inlineStr">
        <is>
          <t>D846</t>
        </is>
      </c>
      <c r="D32" s="7" t="inlineStr">
        <is>
          <t>65438157</t>
        </is>
      </c>
      <c r="E32" s="7" t="inlineStr"/>
      <c r="F32" s="8" t="inlineStr">
        <is>
          <t>CONCRETOS VADICO.</t>
        </is>
      </c>
      <c r="G32" s="8" t="inlineStr">
        <is>
          <t>10000536</t>
        </is>
      </c>
      <c r="H32" s="8" t="inlineStr">
        <is>
          <t>Grava Triturada Caliza 40 mm - 1 1/2"</t>
        </is>
      </c>
      <c r="I32" s="9" t="n">
        <v>1326</v>
      </c>
      <c r="J32" s="7" t="inlineStr">
        <is>
          <t>20191211</t>
        </is>
      </c>
      <c r="K32" s="7" t="inlineStr">
        <is>
          <t>20251031</t>
        </is>
      </c>
      <c r="L32" s="10" t="n">
        <v>159</v>
      </c>
      <c r="M32" s="10" t="n"/>
      <c r="N32" s="7" t="inlineStr">
        <is>
          <t>TN</t>
        </is>
      </c>
      <c r="O32" s="10" t="n"/>
      <c r="P32" s="7" t="inlineStr"/>
      <c r="Q32" s="10">
        <f>IF(AND(N32="TN",P32="TN"),L32+N(M32),IF(E32&amp;""="1",N(I32)*L32,(L32+N(M32))*N(I32)))</f>
        <v/>
      </c>
      <c r="R32" s="10">
        <f>O32-Q32</f>
        <v/>
      </c>
    </row>
    <row r="33">
      <c r="A33" s="7" t="inlineStr">
        <is>
          <t>900005260</t>
        </is>
      </c>
      <c r="B33" s="8" t="inlineStr"/>
      <c r="C33" s="7" t="inlineStr">
        <is>
          <t>D846</t>
        </is>
      </c>
      <c r="D33" s="7" t="inlineStr">
        <is>
          <t>65438157</t>
        </is>
      </c>
      <c r="E33" s="7" t="inlineStr"/>
      <c r="F33" s="8" t="inlineStr">
        <is>
          <t>CONCRETOS VADICO.</t>
        </is>
      </c>
      <c r="G33" s="8" t="inlineStr">
        <is>
          <t>10000578</t>
        </is>
      </c>
      <c r="H33" s="8" t="inlineStr">
        <is>
          <t>Grava Triturada Caliza 20 mm - 3/4"</t>
        </is>
      </c>
      <c r="I33" s="9" t="n">
        <v>1541</v>
      </c>
      <c r="J33" s="7" t="inlineStr">
        <is>
          <t>20191211</t>
        </is>
      </c>
      <c r="K33" s="7" t="inlineStr">
        <is>
          <t>20251031</t>
        </is>
      </c>
      <c r="L33" s="10" t="n">
        <v>159</v>
      </c>
      <c r="M33" s="10" t="n"/>
      <c r="N33" s="7" t="inlineStr">
        <is>
          <t>TN</t>
        </is>
      </c>
      <c r="O33" s="10" t="n"/>
      <c r="P33" s="7" t="inlineStr"/>
      <c r="Q33" s="10">
        <f>IF(AND(N33="TN",P33="TN"),L33+N(M33),IF(E33&amp;""="1",N(I33)*L33,(L33+N(M33))*N(I33)))</f>
        <v/>
      </c>
      <c r="R33" s="10">
        <f>O33-Q33</f>
        <v/>
      </c>
    </row>
    <row r="34">
      <c r="A34" s="7" t="inlineStr">
        <is>
          <t>900005260</t>
        </is>
      </c>
      <c r="B34" s="8" t="inlineStr"/>
      <c r="C34" s="7" t="inlineStr">
        <is>
          <t>D846</t>
        </is>
      </c>
      <c r="D34" s="7" t="inlineStr">
        <is>
          <t>65438157</t>
        </is>
      </c>
      <c r="E34" s="7" t="inlineStr"/>
      <c r="F34" s="8" t="inlineStr">
        <is>
          <t>CONCRETOS VADICO.</t>
        </is>
      </c>
      <c r="G34" s="8" t="inlineStr">
        <is>
          <t>10000617</t>
        </is>
      </c>
      <c r="H34" s="8" t="inlineStr">
        <is>
          <t>Arena Triturada Caliza Malla 5</t>
        </is>
      </c>
      <c r="I34" s="9" t="n">
        <v>1560</v>
      </c>
      <c r="J34" s="7" t="inlineStr">
        <is>
          <t>20191211</t>
        </is>
      </c>
      <c r="K34" s="7" t="inlineStr">
        <is>
          <t>20251031</t>
        </is>
      </c>
      <c r="L34" s="10" t="n">
        <v>169</v>
      </c>
      <c r="M34" s="10" t="n"/>
      <c r="N34" s="7" t="inlineStr">
        <is>
          <t>TN</t>
        </is>
      </c>
      <c r="O34" s="10" t="n"/>
      <c r="P34" s="7" t="inlineStr"/>
      <c r="Q34" s="10">
        <f>IF(AND(N34="TN",P34="TN"),L34+N(M34),IF(E34&amp;""="1",N(I34)*L34,(L34+N(M34))*N(I34)))</f>
        <v/>
      </c>
      <c r="R34" s="10">
        <f>O34-Q34</f>
        <v/>
      </c>
    </row>
    <row r="35">
      <c r="A35" s="7" t="inlineStr">
        <is>
          <t>900005260</t>
        </is>
      </c>
      <c r="B35" s="8" t="inlineStr"/>
      <c r="C35" s="7" t="inlineStr">
        <is>
          <t>D846</t>
        </is>
      </c>
      <c r="D35" s="7" t="inlineStr">
        <is>
          <t>65438157</t>
        </is>
      </c>
      <c r="E35" s="7" t="inlineStr"/>
      <c r="F35" s="8" t="inlineStr">
        <is>
          <t>CONCRETOS VADICO.</t>
        </is>
      </c>
      <c r="G35" s="8" t="inlineStr">
        <is>
          <t>10000656</t>
        </is>
      </c>
      <c r="H35" s="8" t="inlineStr">
        <is>
          <t>Grava Triturada Caliza 10 mm - 3/8"</t>
        </is>
      </c>
      <c r="I35" s="9" t="n">
        <v>1400</v>
      </c>
      <c r="J35" s="7" t="inlineStr">
        <is>
          <t>20191211</t>
        </is>
      </c>
      <c r="K35" s="7" t="inlineStr">
        <is>
          <t>20251031</t>
        </is>
      </c>
      <c r="L35" s="10" t="n">
        <v>166</v>
      </c>
      <c r="M35" s="10" t="n"/>
      <c r="N35" s="7" t="inlineStr">
        <is>
          <t>TN</t>
        </is>
      </c>
      <c r="O35" s="10" t="n"/>
      <c r="P35" s="7" t="inlineStr"/>
      <c r="Q35" s="10">
        <f>IF(AND(N35="TN",P35="TN"),L35+N(M35),IF(E35&amp;""="1",N(I35)*L35,(L35+N(M35))*N(I35)))</f>
        <v/>
      </c>
      <c r="R35" s="10">
        <f>O35-Q35</f>
        <v/>
      </c>
    </row>
    <row r="36">
      <c r="A36" s="7" t="inlineStr">
        <is>
          <t>900005260</t>
        </is>
      </c>
      <c r="B36" s="8" t="inlineStr"/>
      <c r="C36" s="7" t="inlineStr">
        <is>
          <t>D846</t>
        </is>
      </c>
      <c r="D36" s="7" t="inlineStr">
        <is>
          <t>65438157</t>
        </is>
      </c>
      <c r="E36" s="7" t="inlineStr"/>
      <c r="F36" s="8" t="inlineStr">
        <is>
          <t>CONCRETOS VADICO.</t>
        </is>
      </c>
      <c r="G36" s="8" t="inlineStr">
        <is>
          <t>10169508</t>
        </is>
      </c>
      <c r="H36" s="8" t="inlineStr">
        <is>
          <t>GRAVA TRITURADA CALIZA 13 MM - 1/2"</t>
        </is>
      </c>
      <c r="I36" s="9" t="n">
        <v>1400</v>
      </c>
      <c r="J36" s="7" t="inlineStr">
        <is>
          <t>20191211</t>
        </is>
      </c>
      <c r="K36" s="7" t="inlineStr">
        <is>
          <t>20251031</t>
        </is>
      </c>
      <c r="L36" s="10" t="n">
        <v>172</v>
      </c>
      <c r="M36" s="10" t="n"/>
      <c r="N36" s="7" t="inlineStr">
        <is>
          <t>TN</t>
        </is>
      </c>
      <c r="O36" s="10" t="n"/>
      <c r="P36" s="7" t="inlineStr"/>
      <c r="Q36" s="10">
        <f>IF(AND(N36="TN",P36="TN"),L36+N(M36),IF(E36&amp;""="1",N(I36)*L36,(L36+N(M36))*N(I36)))</f>
        <v/>
      </c>
      <c r="R36" s="10">
        <f>O36-Q36</f>
        <v/>
      </c>
    </row>
    <row r="37">
      <c r="A37" s="7" t="inlineStr">
        <is>
          <t>900006074</t>
        </is>
      </c>
      <c r="B37" s="8" t="inlineStr">
        <is>
          <t>SF TP-ED- GRAMOL SLP</t>
        </is>
      </c>
      <c r="C37" s="7" t="inlineStr">
        <is>
          <t>D846</t>
        </is>
      </c>
      <c r="D37" s="7" t="inlineStr">
        <is>
          <t>65438157</t>
        </is>
      </c>
      <c r="E37" s="7" t="inlineStr">
        <is>
          <t>4</t>
        </is>
      </c>
      <c r="F37" s="8" t="inlineStr">
        <is>
          <t>CONCRETOS VADICO.</t>
        </is>
      </c>
      <c r="G37" s="8" t="inlineStr">
        <is>
          <t>10000536</t>
        </is>
      </c>
      <c r="H37" s="8" t="inlineStr">
        <is>
          <t>Grava Triturada Caliza 40 mm - 1 1/2"</t>
        </is>
      </c>
      <c r="I37" s="9" t="n">
        <v>1326</v>
      </c>
      <c r="J37" s="7" t="inlineStr">
        <is>
          <t>20191211</t>
        </is>
      </c>
      <c r="K37" s="7" t="inlineStr">
        <is>
          <t>20251031</t>
        </is>
      </c>
      <c r="L37" s="10" t="n">
        <v>159</v>
      </c>
      <c r="M37" s="10" t="n">
        <v>298</v>
      </c>
      <c r="N37" s="7" t="inlineStr">
        <is>
          <t>TN</t>
        </is>
      </c>
      <c r="O37" s="10" t="n">
        <v>434</v>
      </c>
      <c r="P37" s="7" t="inlineStr">
        <is>
          <t>TN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900006074</t>
        </is>
      </c>
      <c r="B38" s="8" t="inlineStr">
        <is>
          <t>SF TP-ED- GRAMOL SLP</t>
        </is>
      </c>
      <c r="C38" s="7" t="inlineStr">
        <is>
          <t>D846</t>
        </is>
      </c>
      <c r="D38" s="7" t="inlineStr">
        <is>
          <t>65438157</t>
        </is>
      </c>
      <c r="E38" s="7" t="inlineStr">
        <is>
          <t>4</t>
        </is>
      </c>
      <c r="F38" s="8" t="inlineStr">
        <is>
          <t>CONCRETOS VADICO.</t>
        </is>
      </c>
      <c r="G38" s="8" t="inlineStr">
        <is>
          <t>10000578</t>
        </is>
      </c>
      <c r="H38" s="8" t="inlineStr">
        <is>
          <t>Grava Triturada Caliza 20 mm - 3/4"</t>
        </is>
      </c>
      <c r="I38" s="9" t="n">
        <v>1541</v>
      </c>
      <c r="J38" s="7" t="inlineStr">
        <is>
          <t>20191211</t>
        </is>
      </c>
      <c r="K38" s="7" t="inlineStr">
        <is>
          <t>20251031</t>
        </is>
      </c>
      <c r="L38" s="10" t="n">
        <v>159</v>
      </c>
      <c r="M38" s="10" t="n">
        <v>298</v>
      </c>
      <c r="N38" s="7" t="inlineStr">
        <is>
          <t>TN</t>
        </is>
      </c>
      <c r="O38" s="10" t="n">
        <v>434</v>
      </c>
      <c r="P38" s="7" t="inlineStr">
        <is>
          <t>TN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900006074</t>
        </is>
      </c>
      <c r="B39" s="8" t="inlineStr">
        <is>
          <t>SF TP-ED- GRAMOL SLP</t>
        </is>
      </c>
      <c r="C39" s="7" t="inlineStr">
        <is>
          <t>D846</t>
        </is>
      </c>
      <c r="D39" s="7" t="inlineStr">
        <is>
          <t>65438157</t>
        </is>
      </c>
      <c r="E39" s="7" t="inlineStr">
        <is>
          <t>4</t>
        </is>
      </c>
      <c r="F39" s="8" t="inlineStr">
        <is>
          <t>CONCRETOS VADICO.</t>
        </is>
      </c>
      <c r="G39" s="8" t="inlineStr">
        <is>
          <t>10000617</t>
        </is>
      </c>
      <c r="H39" s="8" t="inlineStr">
        <is>
          <t>Arena Triturada Caliza Malla 5</t>
        </is>
      </c>
      <c r="I39" s="9" t="n">
        <v>1560</v>
      </c>
      <c r="J39" s="7" t="inlineStr">
        <is>
          <t>20191211</t>
        </is>
      </c>
      <c r="K39" s="7" t="inlineStr">
        <is>
          <t>20251031</t>
        </is>
      </c>
      <c r="L39" s="10" t="n">
        <v>169</v>
      </c>
      <c r="M39" s="10" t="n">
        <v>297</v>
      </c>
      <c r="N39" s="7" t="inlineStr">
        <is>
          <t>TN</t>
        </is>
      </c>
      <c r="O39" s="10" t="n">
        <v>444</v>
      </c>
      <c r="P39" s="7" t="inlineStr">
        <is>
          <t>TN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900006074</t>
        </is>
      </c>
      <c r="B40" s="8" t="inlineStr">
        <is>
          <t>SF TP-ED- GRAMOL SLP</t>
        </is>
      </c>
      <c r="C40" s="7" t="inlineStr">
        <is>
          <t>D846</t>
        </is>
      </c>
      <c r="D40" s="7" t="inlineStr">
        <is>
          <t>65438157</t>
        </is>
      </c>
      <c r="E40" s="7" t="inlineStr">
        <is>
          <t>4</t>
        </is>
      </c>
      <c r="F40" s="8" t="inlineStr">
        <is>
          <t>CONCRETOS VADICO.</t>
        </is>
      </c>
      <c r="G40" s="8" t="inlineStr">
        <is>
          <t>10000656</t>
        </is>
      </c>
      <c r="H40" s="8" t="inlineStr">
        <is>
          <t>Grava Triturada Caliza 10 mm - 3/8"</t>
        </is>
      </c>
      <c r="I40" s="9" t="n">
        <v>1400</v>
      </c>
      <c r="J40" s="7" t="inlineStr">
        <is>
          <t>20191211</t>
        </is>
      </c>
      <c r="K40" s="7" t="inlineStr">
        <is>
          <t>20251031</t>
        </is>
      </c>
      <c r="L40" s="10" t="n">
        <v>166</v>
      </c>
      <c r="M40" s="10" t="n">
        <v>298</v>
      </c>
      <c r="N40" s="7" t="inlineStr">
        <is>
          <t>TN</t>
        </is>
      </c>
      <c r="O40" s="10" t="n">
        <v>442</v>
      </c>
      <c r="P40" s="7" t="inlineStr">
        <is>
          <t>TN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900006074</t>
        </is>
      </c>
      <c r="B41" s="8" t="inlineStr">
        <is>
          <t>SF TP-ED- GRAMOL SLP</t>
        </is>
      </c>
      <c r="C41" s="7" t="inlineStr">
        <is>
          <t>D846</t>
        </is>
      </c>
      <c r="D41" s="7" t="inlineStr">
        <is>
          <t>65438157</t>
        </is>
      </c>
      <c r="E41" s="7" t="inlineStr">
        <is>
          <t>4</t>
        </is>
      </c>
      <c r="F41" s="8" t="inlineStr">
        <is>
          <t>CONCRETOS VADICO.</t>
        </is>
      </c>
      <c r="G41" s="8" t="inlineStr">
        <is>
          <t>10169508</t>
        </is>
      </c>
      <c r="H41" s="8" t="inlineStr">
        <is>
          <t>GRAVA TRITURADA CALIZA 13 MM - 1/2"</t>
        </is>
      </c>
      <c r="I41" s="9" t="n">
        <v>1400</v>
      </c>
      <c r="J41" s="7" t="inlineStr">
        <is>
          <t>20191211</t>
        </is>
      </c>
      <c r="K41" s="7" t="inlineStr">
        <is>
          <t>20251031</t>
        </is>
      </c>
      <c r="L41" s="10" t="n">
        <v>172</v>
      </c>
      <c r="M41" s="10" t="n">
        <v>297</v>
      </c>
      <c r="N41" s="7" t="inlineStr">
        <is>
          <t>TN</t>
        </is>
      </c>
      <c r="O41" s="10" t="n">
        <v>446</v>
      </c>
      <c r="P41" s="7" t="inlineStr">
        <is>
          <t>TN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900008596</t>
        </is>
      </c>
      <c r="B42" s="8" t="inlineStr">
        <is>
          <t>SF TP BANCO LA LUZ</t>
        </is>
      </c>
      <c r="C42" s="7" t="inlineStr">
        <is>
          <t>D846</t>
        </is>
      </c>
      <c r="D42" s="7" t="inlineStr">
        <is>
          <t>67228508</t>
        </is>
      </c>
      <c r="E42" s="7" t="inlineStr"/>
      <c r="F42" s="8" t="inlineStr"/>
      <c r="G42" s="8" t="inlineStr">
        <is>
          <t>10058507</t>
        </is>
      </c>
      <c r="H42" s="8" t="inlineStr">
        <is>
          <t>Base H Triturada Basalto 1 1/2" a Finos</t>
        </is>
      </c>
      <c r="I42" s="9" t="n">
        <v>1850</v>
      </c>
      <c r="J42" s="7" t="inlineStr">
        <is>
          <t>20191211</t>
        </is>
      </c>
      <c r="K42" s="7" t="inlineStr">
        <is>
          <t>20251031</t>
        </is>
      </c>
      <c r="L42" s="10" t="n">
        <v>216</v>
      </c>
      <c r="M42" s="10" t="n"/>
      <c r="N42" s="7" t="inlineStr">
        <is>
          <t>M3</t>
        </is>
      </c>
      <c r="O42" s="10" t="n">
        <v>187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900008596</t>
        </is>
      </c>
      <c r="B43" s="8" t="inlineStr">
        <is>
          <t>SF TP BANCO LA LUZ</t>
        </is>
      </c>
      <c r="C43" s="7" t="inlineStr">
        <is>
          <t>D846</t>
        </is>
      </c>
      <c r="D43" s="7" t="inlineStr">
        <is>
          <t>67234490</t>
        </is>
      </c>
      <c r="E43" s="7" t="inlineStr"/>
      <c r="F43" s="8" t="inlineStr"/>
      <c r="G43" s="8" t="inlineStr">
        <is>
          <t>10000231</t>
        </is>
      </c>
      <c r="H43" s="8" t="inlineStr">
        <is>
          <t>Grava Triturada Basalto 20 mm - 3/4"</t>
        </is>
      </c>
      <c r="I43" s="9" t="n">
        <v>1565</v>
      </c>
      <c r="J43" s="7" t="inlineStr">
        <is>
          <t>20191211</t>
        </is>
      </c>
      <c r="K43" s="7" t="inlineStr">
        <is>
          <t>20251031</t>
        </is>
      </c>
      <c r="L43" s="10" t="n">
        <v>230</v>
      </c>
      <c r="M43" s="10" t="n"/>
      <c r="N43" s="7" t="inlineStr">
        <is>
          <t>M3</t>
        </is>
      </c>
      <c r="O43" s="10" t="n">
        <v>198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900008596</t>
        </is>
      </c>
      <c r="B44" s="8" t="inlineStr">
        <is>
          <t>SF TP BANCO LA LUZ</t>
        </is>
      </c>
      <c r="C44" s="7" t="inlineStr">
        <is>
          <t>D846</t>
        </is>
      </c>
      <c r="D44" s="7" t="inlineStr">
        <is>
          <t>67234490</t>
        </is>
      </c>
      <c r="E44" s="7" t="inlineStr"/>
      <c r="F44" s="8" t="inlineStr"/>
      <c r="G44" s="8" t="inlineStr">
        <is>
          <t>10000570</t>
        </is>
      </c>
      <c r="H44" s="8" t="inlineStr">
        <is>
          <t>Grava Triturada Basalto 40 mm - 1 1/2"</t>
        </is>
      </c>
      <c r="I44" s="9" t="n">
        <v>1500</v>
      </c>
      <c r="J44" s="7" t="inlineStr">
        <is>
          <t>20191211</t>
        </is>
      </c>
      <c r="K44" s="7" t="inlineStr">
        <is>
          <t>20251031</t>
        </is>
      </c>
      <c r="L44" s="10" t="n">
        <v>216</v>
      </c>
      <c r="M44" s="10" t="n"/>
      <c r="N44" s="7" t="inlineStr">
        <is>
          <t>M3</t>
        </is>
      </c>
      <c r="O44" s="10" t="n">
        <v>187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900008596</t>
        </is>
      </c>
      <c r="B45" s="8" t="inlineStr">
        <is>
          <t>SF TP BANCO LA LUZ</t>
        </is>
      </c>
      <c r="C45" s="7" t="inlineStr">
        <is>
          <t>D846</t>
        </is>
      </c>
      <c r="D45" s="7" t="inlineStr">
        <is>
          <t>67234490</t>
        </is>
      </c>
      <c r="E45" s="7" t="inlineStr"/>
      <c r="F45" s="8" t="inlineStr"/>
      <c r="G45" s="8" t="inlineStr">
        <is>
          <t>10058507</t>
        </is>
      </c>
      <c r="H45" s="8" t="inlineStr">
        <is>
          <t>Base H Triturada Basalto 1 1/2" a Finos</t>
        </is>
      </c>
      <c r="I45" s="9" t="n">
        <v>1850</v>
      </c>
      <c r="J45" s="7" t="inlineStr">
        <is>
          <t>20191211</t>
        </is>
      </c>
      <c r="K45" s="7" t="inlineStr">
        <is>
          <t>20251031</t>
        </is>
      </c>
      <c r="L45" s="10" t="n">
        <v>216</v>
      </c>
      <c r="M45" s="10" t="n"/>
      <c r="N45" s="7" t="inlineStr">
        <is>
          <t>M3</t>
        </is>
      </c>
      <c r="O45" s="10" t="n">
        <v>187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900008596</t>
        </is>
      </c>
      <c r="B46" s="8" t="inlineStr">
        <is>
          <t>SF TP BANCO LA LUZ</t>
        </is>
      </c>
      <c r="C46" s="7" t="inlineStr">
        <is>
          <t>D846</t>
        </is>
      </c>
      <c r="D46" s="7" t="inlineStr">
        <is>
          <t>67234490</t>
        </is>
      </c>
      <c r="E46" s="7" t="inlineStr"/>
      <c r="F46" s="8" t="inlineStr"/>
      <c r="G46" s="8" t="inlineStr">
        <is>
          <t>10228149</t>
        </is>
      </c>
      <c r="H46" s="8" t="inlineStr">
        <is>
          <t>ARENA TRITURADA BASALTO MALLA 4</t>
        </is>
      </c>
      <c r="I46" s="9" t="n">
        <v>1717</v>
      </c>
      <c r="J46" s="7" t="inlineStr">
        <is>
          <t>20191211</t>
        </is>
      </c>
      <c r="K46" s="7" t="inlineStr">
        <is>
          <t>20251031</t>
        </is>
      </c>
      <c r="L46" s="10" t="n">
        <v>216</v>
      </c>
      <c r="M46" s="10" t="n"/>
      <c r="N46" s="7" t="inlineStr">
        <is>
          <t>M3</t>
        </is>
      </c>
      <c r="O46" s="10" t="n">
        <v>187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900008596</t>
        </is>
      </c>
      <c r="B47" s="8" t="inlineStr">
        <is>
          <t>SF TP BANCO LA LUZ</t>
        </is>
      </c>
      <c r="C47" s="7" t="inlineStr">
        <is>
          <t>D846</t>
        </is>
      </c>
      <c r="D47" s="7" t="inlineStr">
        <is>
          <t>67234499</t>
        </is>
      </c>
      <c r="E47" s="7" t="inlineStr"/>
      <c r="F47" s="8" t="inlineStr"/>
      <c r="G47" s="8" t="inlineStr">
        <is>
          <t>10000231</t>
        </is>
      </c>
      <c r="H47" s="8" t="inlineStr">
        <is>
          <t>Grava Triturada Basalto 20 mm - 3/4"</t>
        </is>
      </c>
      <c r="I47" s="9" t="n">
        <v>1565</v>
      </c>
      <c r="J47" s="7" t="inlineStr">
        <is>
          <t>20191211</t>
        </is>
      </c>
      <c r="K47" s="7" t="inlineStr">
        <is>
          <t>20251031</t>
        </is>
      </c>
      <c r="L47" s="10" t="n">
        <v>230</v>
      </c>
      <c r="M47" s="10" t="n"/>
      <c r="N47" s="7" t="inlineStr">
        <is>
          <t>M3</t>
        </is>
      </c>
      <c r="O47" s="10" t="n">
        <v>198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900008596</t>
        </is>
      </c>
      <c r="B48" s="8" t="inlineStr">
        <is>
          <t>SF TP BANCO LA LUZ</t>
        </is>
      </c>
      <c r="C48" s="7" t="inlineStr">
        <is>
          <t>D846</t>
        </is>
      </c>
      <c r="D48" s="7" t="inlineStr">
        <is>
          <t>67234499</t>
        </is>
      </c>
      <c r="E48" s="7" t="inlineStr"/>
      <c r="F48" s="8" t="inlineStr"/>
      <c r="G48" s="8" t="inlineStr">
        <is>
          <t>10000570</t>
        </is>
      </c>
      <c r="H48" s="8" t="inlineStr">
        <is>
          <t>Grava Triturada Basalto 40 mm - 1 1/2"</t>
        </is>
      </c>
      <c r="I48" s="9" t="n">
        <v>1500</v>
      </c>
      <c r="J48" s="7" t="inlineStr">
        <is>
          <t>20191211</t>
        </is>
      </c>
      <c r="K48" s="7" t="inlineStr">
        <is>
          <t>20251031</t>
        </is>
      </c>
      <c r="L48" s="10" t="n">
        <v>216</v>
      </c>
      <c r="M48" s="10" t="n"/>
      <c r="N48" s="7" t="inlineStr">
        <is>
          <t>M3</t>
        </is>
      </c>
      <c r="O48" s="10" t="n">
        <v>187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900008596</t>
        </is>
      </c>
      <c r="B49" s="8" t="inlineStr">
        <is>
          <t>SF TP BANCO LA LUZ</t>
        </is>
      </c>
      <c r="C49" s="7" t="inlineStr">
        <is>
          <t>D846</t>
        </is>
      </c>
      <c r="D49" s="7" t="inlineStr">
        <is>
          <t>67234499</t>
        </is>
      </c>
      <c r="E49" s="7" t="inlineStr"/>
      <c r="F49" s="8" t="inlineStr"/>
      <c r="G49" s="8" t="inlineStr">
        <is>
          <t>10228149</t>
        </is>
      </c>
      <c r="H49" s="8" t="inlineStr">
        <is>
          <t>ARENA TRITURADA BASALTO MALLA 4</t>
        </is>
      </c>
      <c r="I49" s="9" t="n">
        <v>1717</v>
      </c>
      <c r="J49" s="7" t="inlineStr">
        <is>
          <t>20191211</t>
        </is>
      </c>
      <c r="K49" s="7" t="inlineStr">
        <is>
          <t>20251031</t>
        </is>
      </c>
      <c r="L49" s="10" t="n">
        <v>216</v>
      </c>
      <c r="M49" s="10" t="n"/>
      <c r="N49" s="7" t="inlineStr">
        <is>
          <t>M3</t>
        </is>
      </c>
      <c r="O49" s="10" t="n">
        <v>187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900008596</t>
        </is>
      </c>
      <c r="B50" s="8" t="inlineStr">
        <is>
          <t>SF TP BANCO LA LUZ</t>
        </is>
      </c>
      <c r="C50" s="7" t="inlineStr">
        <is>
          <t>D846</t>
        </is>
      </c>
      <c r="D50" s="7" t="inlineStr">
        <is>
          <t>67234529</t>
        </is>
      </c>
      <c r="E50" s="7" t="inlineStr"/>
      <c r="F50" s="8" t="inlineStr"/>
      <c r="G50" s="8" t="inlineStr">
        <is>
          <t>10000231</t>
        </is>
      </c>
      <c r="H50" s="8" t="inlineStr">
        <is>
          <t>Grava Triturada Basalto 20 mm - 3/4"</t>
        </is>
      </c>
      <c r="I50" s="9" t="n">
        <v>1565</v>
      </c>
      <c r="J50" s="7" t="inlineStr">
        <is>
          <t>20191211</t>
        </is>
      </c>
      <c r="K50" s="7" t="inlineStr">
        <is>
          <t>20251031</t>
        </is>
      </c>
      <c r="L50" s="10" t="n">
        <v>230</v>
      </c>
      <c r="M50" s="10" t="n"/>
      <c r="N50" s="7" t="inlineStr">
        <is>
          <t>M3</t>
        </is>
      </c>
      <c r="O50" s="10" t="n">
        <v>198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900008596</t>
        </is>
      </c>
      <c r="B51" s="8" t="inlineStr">
        <is>
          <t>SF TP BANCO LA LUZ</t>
        </is>
      </c>
      <c r="C51" s="7" t="inlineStr">
        <is>
          <t>D846</t>
        </is>
      </c>
      <c r="D51" s="7" t="inlineStr">
        <is>
          <t>67234529</t>
        </is>
      </c>
      <c r="E51" s="7" t="inlineStr"/>
      <c r="F51" s="8" t="inlineStr"/>
      <c r="G51" s="8" t="inlineStr">
        <is>
          <t>10000570</t>
        </is>
      </c>
      <c r="H51" s="8" t="inlineStr">
        <is>
          <t>Grava Triturada Basalto 40 mm - 1 1/2"</t>
        </is>
      </c>
      <c r="I51" s="9" t="n">
        <v>1500</v>
      </c>
      <c r="J51" s="7" t="inlineStr">
        <is>
          <t>20191211</t>
        </is>
      </c>
      <c r="K51" s="7" t="inlineStr">
        <is>
          <t>20251031</t>
        </is>
      </c>
      <c r="L51" s="10" t="n">
        <v>216</v>
      </c>
      <c r="M51" s="10" t="n"/>
      <c r="N51" s="7" t="inlineStr">
        <is>
          <t>M3</t>
        </is>
      </c>
      <c r="O51" s="10" t="n">
        <v>187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900008596</t>
        </is>
      </c>
      <c r="B52" s="8" t="inlineStr">
        <is>
          <t>SF TP BANCO LA LUZ</t>
        </is>
      </c>
      <c r="C52" s="7" t="inlineStr">
        <is>
          <t>D846</t>
        </is>
      </c>
      <c r="D52" s="7" t="inlineStr">
        <is>
          <t>67234529</t>
        </is>
      </c>
      <c r="E52" s="7" t="inlineStr"/>
      <c r="F52" s="8" t="inlineStr"/>
      <c r="G52" s="8" t="inlineStr">
        <is>
          <t>10058507</t>
        </is>
      </c>
      <c r="H52" s="8" t="inlineStr">
        <is>
          <t>Base H Triturada Basalto 1 1/2" a Finos</t>
        </is>
      </c>
      <c r="I52" s="9" t="n">
        <v>1850</v>
      </c>
      <c r="J52" s="7" t="inlineStr">
        <is>
          <t>20191211</t>
        </is>
      </c>
      <c r="K52" s="7" t="inlineStr">
        <is>
          <t>20251031</t>
        </is>
      </c>
      <c r="L52" s="10" t="n">
        <v>216</v>
      </c>
      <c r="M52" s="10" t="n"/>
      <c r="N52" s="7" t="inlineStr">
        <is>
          <t>M3</t>
        </is>
      </c>
      <c r="O52" s="10" t="n">
        <v>187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900008596</t>
        </is>
      </c>
      <c r="B53" s="8" t="inlineStr">
        <is>
          <t>SF TP BANCO LA LUZ</t>
        </is>
      </c>
      <c r="C53" s="7" t="inlineStr">
        <is>
          <t>D846</t>
        </is>
      </c>
      <c r="D53" s="7" t="inlineStr">
        <is>
          <t>67234529</t>
        </is>
      </c>
      <c r="E53" s="7" t="inlineStr"/>
      <c r="F53" s="8" t="inlineStr"/>
      <c r="G53" s="8" t="inlineStr">
        <is>
          <t>10228149</t>
        </is>
      </c>
      <c r="H53" s="8" t="inlineStr">
        <is>
          <t>ARENA TRITURADA BASALTO MALLA 4</t>
        </is>
      </c>
      <c r="I53" s="9" t="n">
        <v>1717</v>
      </c>
      <c r="J53" s="7" t="inlineStr">
        <is>
          <t>20191211</t>
        </is>
      </c>
      <c r="K53" s="7" t="inlineStr">
        <is>
          <t>20251031</t>
        </is>
      </c>
      <c r="L53" s="10" t="n">
        <v>216</v>
      </c>
      <c r="M53" s="10" t="n"/>
      <c r="N53" s="7" t="inlineStr">
        <is>
          <t>M3</t>
        </is>
      </c>
      <c r="O53" s="10" t="n">
        <v>187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900005110</t>
        </is>
      </c>
      <c r="B54" s="8" t="inlineStr">
        <is>
          <t>TP- GRAKO</t>
        </is>
      </c>
      <c r="C54" s="7" t="inlineStr">
        <is>
          <t>D846</t>
        </is>
      </c>
      <c r="D54" s="7" t="inlineStr">
        <is>
          <t>67234499</t>
        </is>
      </c>
      <c r="E54" s="7" t="inlineStr"/>
      <c r="F54" s="8" t="inlineStr"/>
      <c r="G54" s="8" t="inlineStr">
        <is>
          <t>10000384</t>
        </is>
      </c>
      <c r="H54" s="8" t="inlineStr">
        <is>
          <t>Arena Triturada Basalto Malla 4</t>
        </is>
      </c>
      <c r="I54" s="9" t="n">
        <v>1610</v>
      </c>
      <c r="J54" s="7" t="inlineStr">
        <is>
          <t>20240919</t>
        </is>
      </c>
      <c r="K54" s="7" t="inlineStr">
        <is>
          <t>99991231</t>
        </is>
      </c>
      <c r="L54" s="10" t="n">
        <v>88</v>
      </c>
      <c r="M54" s="10" t="n"/>
      <c r="N54" s="7" t="inlineStr">
        <is>
          <t>TN</t>
        </is>
      </c>
      <c r="O54" s="10" t="n">
        <v>80</v>
      </c>
      <c r="P54" s="7" t="inlineStr">
        <is>
          <t>TN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900005110</t>
        </is>
      </c>
      <c r="B55" s="8" t="inlineStr">
        <is>
          <t>TP- GRAKO</t>
        </is>
      </c>
      <c r="C55" s="7" t="inlineStr">
        <is>
          <t>D846</t>
        </is>
      </c>
      <c r="D55" s="7" t="inlineStr">
        <is>
          <t>67234499</t>
        </is>
      </c>
      <c r="E55" s="7" t="inlineStr"/>
      <c r="F55" s="8" t="inlineStr"/>
      <c r="G55" s="8" t="inlineStr">
        <is>
          <t>10001077</t>
        </is>
      </c>
      <c r="H55" s="8" t="inlineStr">
        <is>
          <t>Crudo Basalto</t>
        </is>
      </c>
      <c r="I55" s="9" t="n">
        <v>1350</v>
      </c>
      <c r="J55" s="7" t="inlineStr">
        <is>
          <t>20240925</t>
        </is>
      </c>
      <c r="K55" s="7" t="inlineStr">
        <is>
          <t>99991231</t>
        </is>
      </c>
      <c r="L55" s="10" t="n">
        <v>98</v>
      </c>
      <c r="M55" s="10" t="n"/>
      <c r="N55" s="7" t="inlineStr">
        <is>
          <t>TN</t>
        </is>
      </c>
      <c r="O55" s="10" t="n">
        <v>89</v>
      </c>
      <c r="P55" s="7" t="inlineStr">
        <is>
          <t>TN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900005110</t>
        </is>
      </c>
      <c r="B56" s="8" t="inlineStr">
        <is>
          <t>TP- GRAKO</t>
        </is>
      </c>
      <c r="C56" s="7" t="inlineStr">
        <is>
          <t>D846</t>
        </is>
      </c>
      <c r="D56" s="7" t="inlineStr">
        <is>
          <t>67234499</t>
        </is>
      </c>
      <c r="E56" s="7" t="inlineStr"/>
      <c r="F56" s="8" t="inlineStr"/>
      <c r="G56" s="8" t="inlineStr">
        <is>
          <t>10058507</t>
        </is>
      </c>
      <c r="H56" s="8" t="inlineStr">
        <is>
          <t>Base H Triturada Basalto 1 1/2" a Finos</t>
        </is>
      </c>
      <c r="I56" s="9" t="n">
        <v>1850</v>
      </c>
      <c r="J56" s="7" t="inlineStr">
        <is>
          <t>20240712</t>
        </is>
      </c>
      <c r="K56" s="7" t="inlineStr">
        <is>
          <t>99991231</t>
        </is>
      </c>
      <c r="L56" s="10" t="n">
        <v>117</v>
      </c>
      <c r="M56" s="10" t="n"/>
      <c r="N56" s="7" t="inlineStr">
        <is>
          <t>TN</t>
        </is>
      </c>
      <c r="O56" s="10" t="n">
        <v>102</v>
      </c>
      <c r="P56" s="7" t="inlineStr">
        <is>
          <t>TN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900005110</t>
        </is>
      </c>
      <c r="B57" s="8" t="inlineStr">
        <is>
          <t>TP- GRAKO</t>
        </is>
      </c>
      <c r="C57" s="7" t="inlineStr">
        <is>
          <t>D846</t>
        </is>
      </c>
      <c r="D57" s="7" t="inlineStr">
        <is>
          <t>67234499</t>
        </is>
      </c>
      <c r="E57" s="7" t="inlineStr"/>
      <c r="F57" s="8" t="inlineStr"/>
      <c r="G57" s="8" t="inlineStr">
        <is>
          <t>10147486</t>
        </is>
      </c>
      <c r="H57" s="8" t="inlineStr">
        <is>
          <t>BALASTO TRITURADO</t>
        </is>
      </c>
      <c r="I57" s="9" t="n">
        <v>1560</v>
      </c>
      <c r="J57" s="7" t="inlineStr">
        <is>
          <t>20240925</t>
        </is>
      </c>
      <c r="K57" s="7" t="inlineStr">
        <is>
          <t>99991231</t>
        </is>
      </c>
      <c r="L57" s="10" t="n">
        <v>98</v>
      </c>
      <c r="M57" s="10" t="n"/>
      <c r="N57" s="7" t="inlineStr">
        <is>
          <t>TN</t>
        </is>
      </c>
      <c r="O57" s="10" t="n">
        <v>89</v>
      </c>
      <c r="P57" s="7" t="inlineStr">
        <is>
          <t>TN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900005110</t>
        </is>
      </c>
      <c r="B58" s="8" t="inlineStr">
        <is>
          <t>TP- GRAKO</t>
        </is>
      </c>
      <c r="C58" s="7" t="inlineStr">
        <is>
          <t>D846</t>
        </is>
      </c>
      <c r="D58" s="7" t="inlineStr">
        <is>
          <t>67280490</t>
        </is>
      </c>
      <c r="E58" s="7" t="inlineStr"/>
      <c r="F58" s="8" t="inlineStr"/>
      <c r="G58" s="8" t="inlineStr">
        <is>
          <t>10000384</t>
        </is>
      </c>
      <c r="H58" s="8" t="inlineStr">
        <is>
          <t>Arena Triturada Basalto Malla 4</t>
        </is>
      </c>
      <c r="I58" s="9" t="n">
        <v>1610</v>
      </c>
      <c r="J58" s="7" t="inlineStr">
        <is>
          <t>20241112</t>
        </is>
      </c>
      <c r="K58" s="7" t="inlineStr">
        <is>
          <t>99991231</t>
        </is>
      </c>
      <c r="L58" s="10" t="n">
        <v>110</v>
      </c>
      <c r="M58" s="10" t="n"/>
      <c r="N58" s="7" t="inlineStr">
        <is>
          <t>TN</t>
        </is>
      </c>
      <c r="O58" s="10" t="n">
        <v>80</v>
      </c>
      <c r="P58" s="7" t="inlineStr">
        <is>
          <t>TN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900007331</t>
        </is>
      </c>
      <c r="B59" s="8" t="inlineStr">
        <is>
          <t>SF TP-GRAKO QRO</t>
        </is>
      </c>
      <c r="C59" s="7" t="inlineStr">
        <is>
          <t>D846</t>
        </is>
      </c>
      <c r="D59" s="7" t="inlineStr">
        <is>
          <t>67327618</t>
        </is>
      </c>
      <c r="E59" s="7" t="inlineStr"/>
      <c r="F59" s="8" t="inlineStr"/>
      <c r="G59" s="8" t="inlineStr">
        <is>
          <t>10058507</t>
        </is>
      </c>
      <c r="H59" s="8" t="inlineStr">
        <is>
          <t>Base H Triturada Basalto 1 1/2" a Finos</t>
        </is>
      </c>
      <c r="I59" s="9" t="n">
        <v>1850</v>
      </c>
      <c r="J59" s="7" t="inlineStr">
        <is>
          <t>20251217</t>
        </is>
      </c>
      <c r="K59" s="7" t="inlineStr">
        <is>
          <t>99991231</t>
        </is>
      </c>
      <c r="L59" s="10" t="n">
        <v>169</v>
      </c>
      <c r="M59" s="10" t="n"/>
      <c r="N59" s="7" t="inlineStr">
        <is>
          <t>TN</t>
        </is>
      </c>
      <c r="O59" s="10" t="n">
        <v>160</v>
      </c>
      <c r="P59" s="7" t="inlineStr">
        <is>
          <t>TN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900008596</t>
        </is>
      </c>
      <c r="B60" s="8" t="inlineStr">
        <is>
          <t>SF TP BANCO LA LUZ</t>
        </is>
      </c>
      <c r="C60" s="7" t="inlineStr">
        <is>
          <t>D846</t>
        </is>
      </c>
      <c r="D60" s="7" t="inlineStr">
        <is>
          <t>67234499</t>
        </is>
      </c>
      <c r="E60" s="7" t="inlineStr"/>
      <c r="F60" s="8" t="inlineStr"/>
      <c r="G60" s="8" t="inlineStr">
        <is>
          <t>10058507</t>
        </is>
      </c>
      <c r="H60" s="8" t="inlineStr">
        <is>
          <t>Base H Triturada Basalto 1 1/2" a Finos</t>
        </is>
      </c>
      <c r="I60" s="9" t="n">
        <v>1850</v>
      </c>
      <c r="J60" s="7" t="inlineStr">
        <is>
          <t>20240425</t>
        </is>
      </c>
      <c r="K60" s="7" t="inlineStr">
        <is>
          <t>99991231</t>
        </is>
      </c>
      <c r="L60" s="10" t="n">
        <v>216</v>
      </c>
      <c r="M60" s="10" t="n"/>
      <c r="N60" s="7" t="inlineStr">
        <is>
          <t>M3</t>
        </is>
      </c>
      <c r="O60" s="10" t="n">
        <v>187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900009311</t>
        </is>
      </c>
      <c r="B61" s="8" t="inlineStr">
        <is>
          <t>SF TP-AGACEL BRUJAS</t>
        </is>
      </c>
      <c r="C61" s="7" t="inlineStr">
        <is>
          <t>D846</t>
        </is>
      </c>
      <c r="D61" s="7" t="inlineStr">
        <is>
          <t>67327618</t>
        </is>
      </c>
      <c r="E61" s="7" t="inlineStr"/>
      <c r="F61" s="8" t="inlineStr"/>
      <c r="G61" s="8" t="inlineStr">
        <is>
          <t>10058507</t>
        </is>
      </c>
      <c r="H61" s="8" t="inlineStr">
        <is>
          <t>Base H Triturada Basalto 1 1/2" a Finos</t>
        </is>
      </c>
      <c r="I61" s="9" t="n">
        <v>1850</v>
      </c>
      <c r="J61" s="7" t="inlineStr">
        <is>
          <t>20251128</t>
        </is>
      </c>
      <c r="K61" s="7" t="inlineStr">
        <is>
          <t>99991231</t>
        </is>
      </c>
      <c r="L61" s="10" t="n">
        <v>255</v>
      </c>
      <c r="M61" s="10" t="n"/>
      <c r="N61" s="7" t="inlineStr">
        <is>
          <t>M3</t>
        </is>
      </c>
      <c r="O61" s="10" t="n">
        <v>240</v>
      </c>
      <c r="P61" s="7" t="inlineStr">
        <is>
          <t>M3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900005110</t>
        </is>
      </c>
      <c r="B62" s="8" t="inlineStr">
        <is>
          <t>TP- GRAKO</t>
        </is>
      </c>
      <c r="C62" s="7" t="inlineStr">
        <is>
          <t>D846</t>
        </is>
      </c>
      <c r="D62" s="7" t="inlineStr">
        <is>
          <t>67234490</t>
        </is>
      </c>
      <c r="E62" s="7" t="inlineStr"/>
      <c r="F62" s="8" t="inlineStr"/>
      <c r="G62" s="8" t="inlineStr">
        <is>
          <t>10000382</t>
        </is>
      </c>
      <c r="H62" s="8" t="inlineStr">
        <is>
          <t>Grava Triturada Basalto 20 mm - 3/4"</t>
        </is>
      </c>
      <c r="I62" s="9" t="n">
        <v>1323</v>
      </c>
      <c r="J62" s="7" t="inlineStr">
        <is>
          <t>20240813</t>
        </is>
      </c>
      <c r="K62" s="7" t="inlineStr">
        <is>
          <t>20241108</t>
        </is>
      </c>
      <c r="L62" s="10" t="n">
        <v>151.5</v>
      </c>
      <c r="M62" s="10" t="n"/>
      <c r="N62" s="7" t="inlineStr">
        <is>
          <t>TN</t>
        </is>
      </c>
      <c r="O62" s="10" t="n">
        <v>138</v>
      </c>
      <c r="P62" s="7" t="inlineStr">
        <is>
          <t>TN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900005110</t>
        </is>
      </c>
      <c r="B63" s="8" t="inlineStr">
        <is>
          <t>TP- GRAKO</t>
        </is>
      </c>
      <c r="C63" s="7" t="inlineStr">
        <is>
          <t>D846</t>
        </is>
      </c>
      <c r="D63" s="7" t="inlineStr">
        <is>
          <t>67234490</t>
        </is>
      </c>
      <c r="E63" s="7" t="inlineStr"/>
      <c r="F63" s="8" t="inlineStr"/>
      <c r="G63" s="8" t="inlineStr">
        <is>
          <t>10000384</t>
        </is>
      </c>
      <c r="H63" s="8" t="inlineStr">
        <is>
          <t>Arena Triturada Basalto Malla 4</t>
        </is>
      </c>
      <c r="I63" s="9" t="n">
        <v>1610</v>
      </c>
      <c r="J63" s="7" t="inlineStr">
        <is>
          <t>20250505</t>
        </is>
      </c>
      <c r="K63" s="7" t="inlineStr">
        <is>
          <t>20250507</t>
        </is>
      </c>
      <c r="L63" s="10" t="n">
        <v>88</v>
      </c>
      <c r="M63" s="10" t="n"/>
      <c r="N63" s="7" t="inlineStr">
        <is>
          <t>TN</t>
        </is>
      </c>
      <c r="O63" s="10" t="n">
        <v>80</v>
      </c>
      <c r="P63" s="7" t="inlineStr">
        <is>
          <t>TN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900005110</t>
        </is>
      </c>
      <c r="B64" s="8" t="inlineStr">
        <is>
          <t>TP- GRAKO</t>
        </is>
      </c>
      <c r="C64" s="7" t="inlineStr">
        <is>
          <t>D846</t>
        </is>
      </c>
      <c r="D64" s="7" t="inlineStr">
        <is>
          <t>67234490</t>
        </is>
      </c>
      <c r="E64" s="7" t="inlineStr"/>
      <c r="F64" s="8" t="inlineStr"/>
      <c r="G64" s="8" t="inlineStr">
        <is>
          <t>10001077</t>
        </is>
      </c>
      <c r="H64" s="8" t="inlineStr">
        <is>
          <t>Crudo Basalto</t>
        </is>
      </c>
      <c r="I64" s="9" t="n">
        <v>1350</v>
      </c>
      <c r="J64" s="7" t="inlineStr">
        <is>
          <t>20240813</t>
        </is>
      </c>
      <c r="K64" s="7" t="inlineStr">
        <is>
          <t>20241108</t>
        </is>
      </c>
      <c r="L64" s="10" t="n">
        <v>98</v>
      </c>
      <c r="M64" s="10" t="n"/>
      <c r="N64" s="7" t="inlineStr">
        <is>
          <t>TN</t>
        </is>
      </c>
      <c r="O64" s="10" t="n">
        <v>89</v>
      </c>
      <c r="P64" s="7" t="inlineStr">
        <is>
          <t>TN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900005110</t>
        </is>
      </c>
      <c r="B65" s="8" t="inlineStr">
        <is>
          <t>TP- GRAKO</t>
        </is>
      </c>
      <c r="C65" s="7" t="inlineStr">
        <is>
          <t>D846</t>
        </is>
      </c>
      <c r="D65" s="7" t="inlineStr">
        <is>
          <t>67234490</t>
        </is>
      </c>
      <c r="E65" s="7" t="inlineStr"/>
      <c r="F65" s="8" t="inlineStr"/>
      <c r="G65" s="8" t="inlineStr">
        <is>
          <t>10058507</t>
        </is>
      </c>
      <c r="H65" s="8" t="inlineStr">
        <is>
          <t>Base H Triturada Basalto 1 1/2" a Finos</t>
        </is>
      </c>
      <c r="I65" s="9" t="n">
        <v>1850</v>
      </c>
      <c r="J65" s="7" t="inlineStr">
        <is>
          <t>20240425</t>
        </is>
      </c>
      <c r="K65" s="7" t="inlineStr">
        <is>
          <t>20240814</t>
        </is>
      </c>
      <c r="L65" s="10" t="n">
        <v>117</v>
      </c>
      <c r="M65" s="10" t="n"/>
      <c r="N65" s="7" t="inlineStr">
        <is>
          <t>TN</t>
        </is>
      </c>
      <c r="O65" s="10" t="n">
        <v>102</v>
      </c>
      <c r="P65" s="7" t="inlineStr">
        <is>
          <t>TN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900005110</t>
        </is>
      </c>
      <c r="B66" s="8" t="inlineStr">
        <is>
          <t>TP- GRAKO</t>
        </is>
      </c>
      <c r="C66" s="7" t="inlineStr">
        <is>
          <t>D846</t>
        </is>
      </c>
      <c r="D66" s="7" t="inlineStr">
        <is>
          <t>67234490</t>
        </is>
      </c>
      <c r="E66" s="7" t="inlineStr"/>
      <c r="F66" s="8" t="inlineStr"/>
      <c r="G66" s="8" t="inlineStr">
        <is>
          <t>10147486</t>
        </is>
      </c>
      <c r="H66" s="8" t="inlineStr">
        <is>
          <t>BALASTO TRITURADO</t>
        </is>
      </c>
      <c r="I66" s="9" t="n">
        <v>1560</v>
      </c>
      <c r="J66" s="7" t="inlineStr">
        <is>
          <t>20240813</t>
        </is>
      </c>
      <c r="K66" s="7" t="inlineStr">
        <is>
          <t>20241108</t>
        </is>
      </c>
      <c r="L66" s="10" t="n">
        <v>98</v>
      </c>
      <c r="M66" s="10" t="n"/>
      <c r="N66" s="7" t="inlineStr">
        <is>
          <t>TN</t>
        </is>
      </c>
      <c r="O66" s="10" t="n">
        <v>89</v>
      </c>
      <c r="P66" s="7" t="inlineStr">
        <is>
          <t>TN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900005110</t>
        </is>
      </c>
      <c r="B67" s="8" t="inlineStr">
        <is>
          <t>TP- GRAKO</t>
        </is>
      </c>
      <c r="C67" s="7" t="inlineStr">
        <is>
          <t>D846</t>
        </is>
      </c>
      <c r="D67" s="7" t="inlineStr">
        <is>
          <t>67234499</t>
        </is>
      </c>
      <c r="E67" s="7" t="inlineStr"/>
      <c r="F67" s="8" t="inlineStr"/>
      <c r="G67" s="8" t="inlineStr">
        <is>
          <t>10000382</t>
        </is>
      </c>
      <c r="H67" s="8" t="inlineStr">
        <is>
          <t>Grava Triturada Basalto 20 mm - 3/4"</t>
        </is>
      </c>
      <c r="I67" s="9" t="n">
        <v>1323</v>
      </c>
      <c r="J67" s="7" t="inlineStr">
        <is>
          <t>20250505</t>
        </is>
      </c>
      <c r="K67" s="7" t="inlineStr">
        <is>
          <t>20250507</t>
        </is>
      </c>
      <c r="L67" s="10" t="n">
        <v>151.5</v>
      </c>
      <c r="M67" s="10" t="n"/>
      <c r="N67" s="7" t="inlineStr">
        <is>
          <t>TN</t>
        </is>
      </c>
      <c r="O67" s="10" t="n">
        <v>138</v>
      </c>
      <c r="P67" s="7" t="inlineStr">
        <is>
          <t>TN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900005110</t>
        </is>
      </c>
      <c r="B68" s="8" t="inlineStr">
        <is>
          <t>TP- GRAKO</t>
        </is>
      </c>
      <c r="C68" s="7" t="inlineStr">
        <is>
          <t>D846</t>
        </is>
      </c>
      <c r="D68" s="7" t="inlineStr">
        <is>
          <t>67234499</t>
        </is>
      </c>
      <c r="E68" s="7" t="inlineStr"/>
      <c r="F68" s="8" t="inlineStr"/>
      <c r="G68" s="8" t="inlineStr">
        <is>
          <t>10000384</t>
        </is>
      </c>
      <c r="H68" s="8" t="inlineStr">
        <is>
          <t>Arena Triturada Basalto Malla 4</t>
        </is>
      </c>
      <c r="I68" s="9" t="n">
        <v>1610</v>
      </c>
      <c r="J68" s="7" t="inlineStr">
        <is>
          <t>20250505</t>
        </is>
      </c>
      <c r="K68" s="7" t="inlineStr">
        <is>
          <t>20250507</t>
        </is>
      </c>
      <c r="L68" s="10" t="n">
        <v>88</v>
      </c>
      <c r="M68" s="10" t="n"/>
      <c r="N68" s="7" t="inlineStr">
        <is>
          <t>TN</t>
        </is>
      </c>
      <c r="O68" s="10" t="n">
        <v>80</v>
      </c>
      <c r="P68" s="7" t="inlineStr">
        <is>
          <t>TN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900005110</t>
        </is>
      </c>
      <c r="B69" s="8" t="inlineStr">
        <is>
          <t>TP- GRAKO</t>
        </is>
      </c>
      <c r="C69" s="7" t="inlineStr">
        <is>
          <t>D846</t>
        </is>
      </c>
      <c r="D69" s="7" t="inlineStr">
        <is>
          <t>67234499</t>
        </is>
      </c>
      <c r="E69" s="7" t="inlineStr"/>
      <c r="F69" s="8" t="inlineStr"/>
      <c r="G69" s="8" t="inlineStr">
        <is>
          <t>10001077</t>
        </is>
      </c>
      <c r="H69" s="8" t="inlineStr">
        <is>
          <t>Crudo Basalto</t>
        </is>
      </c>
      <c r="I69" s="9" t="n">
        <v>1350</v>
      </c>
      <c r="J69" s="7" t="inlineStr">
        <is>
          <t>20240813</t>
        </is>
      </c>
      <c r="K69" s="7" t="inlineStr">
        <is>
          <t>20241108</t>
        </is>
      </c>
      <c r="L69" s="10" t="n">
        <v>98</v>
      </c>
      <c r="M69" s="10" t="n"/>
      <c r="N69" s="7" t="inlineStr">
        <is>
          <t>TN</t>
        </is>
      </c>
      <c r="O69" s="10" t="n">
        <v>89</v>
      </c>
      <c r="P69" s="7" t="inlineStr">
        <is>
          <t>TN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900005110</t>
        </is>
      </c>
      <c r="B70" s="8" t="inlineStr">
        <is>
          <t>TP- GRAKO</t>
        </is>
      </c>
      <c r="C70" s="7" t="inlineStr">
        <is>
          <t>D846</t>
        </is>
      </c>
      <c r="D70" s="7" t="inlineStr">
        <is>
          <t>67234499</t>
        </is>
      </c>
      <c r="E70" s="7" t="inlineStr"/>
      <c r="F70" s="8" t="inlineStr"/>
      <c r="G70" s="8" t="inlineStr">
        <is>
          <t>10058507</t>
        </is>
      </c>
      <c r="H70" s="8" t="inlineStr">
        <is>
          <t>Base H Triturada Basalto 1 1/2" a Finos</t>
        </is>
      </c>
      <c r="I70" s="9" t="n">
        <v>1850</v>
      </c>
      <c r="J70" s="7" t="inlineStr">
        <is>
          <t>20240425</t>
        </is>
      </c>
      <c r="K70" s="7" t="inlineStr">
        <is>
          <t>20240814</t>
        </is>
      </c>
      <c r="L70" s="10" t="n">
        <v>117</v>
      </c>
      <c r="M70" s="10" t="n"/>
      <c r="N70" s="7" t="inlineStr">
        <is>
          <t>TN</t>
        </is>
      </c>
      <c r="O70" s="10" t="n">
        <v>102</v>
      </c>
      <c r="P70" s="7" t="inlineStr">
        <is>
          <t>TN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900005110</t>
        </is>
      </c>
      <c r="B71" s="8" t="inlineStr">
        <is>
          <t>TP- GRAKO</t>
        </is>
      </c>
      <c r="C71" s="7" t="inlineStr">
        <is>
          <t>D846</t>
        </is>
      </c>
      <c r="D71" s="7" t="inlineStr">
        <is>
          <t>67234499</t>
        </is>
      </c>
      <c r="E71" s="7" t="inlineStr"/>
      <c r="F71" s="8" t="inlineStr"/>
      <c r="G71" s="8" t="inlineStr">
        <is>
          <t>10147486</t>
        </is>
      </c>
      <c r="H71" s="8" t="inlineStr">
        <is>
          <t>BALASTO TRITURADO</t>
        </is>
      </c>
      <c r="I71" s="9" t="n">
        <v>1560</v>
      </c>
      <c r="J71" s="7" t="inlineStr">
        <is>
          <t>20240813</t>
        </is>
      </c>
      <c r="K71" s="7" t="inlineStr">
        <is>
          <t>20241108</t>
        </is>
      </c>
      <c r="L71" s="10" t="n">
        <v>98</v>
      </c>
      <c r="M71" s="10" t="n"/>
      <c r="N71" s="7" t="inlineStr">
        <is>
          <t>TN</t>
        </is>
      </c>
      <c r="O71" s="10" t="n">
        <v>89</v>
      </c>
      <c r="P71" s="7" t="inlineStr">
        <is>
          <t>TN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900005110</t>
        </is>
      </c>
      <c r="B72" s="8" t="inlineStr">
        <is>
          <t>TP- GRAKO</t>
        </is>
      </c>
      <c r="C72" s="7" t="inlineStr">
        <is>
          <t>D846</t>
        </is>
      </c>
      <c r="D72" s="7" t="inlineStr">
        <is>
          <t>67234529</t>
        </is>
      </c>
      <c r="E72" s="7" t="inlineStr"/>
      <c r="F72" s="8" t="inlineStr"/>
      <c r="G72" s="8" t="inlineStr">
        <is>
          <t>10000382</t>
        </is>
      </c>
      <c r="H72" s="8" t="inlineStr">
        <is>
          <t>Grava Triturada Basalto 20 mm - 3/4"</t>
        </is>
      </c>
      <c r="I72" s="9" t="n">
        <v>1323</v>
      </c>
      <c r="J72" s="7" t="inlineStr">
        <is>
          <t>20250505</t>
        </is>
      </c>
      <c r="K72" s="7" t="inlineStr">
        <is>
          <t>20250507</t>
        </is>
      </c>
      <c r="L72" s="10" t="n">
        <v>151.5</v>
      </c>
      <c r="M72" s="10" t="n"/>
      <c r="N72" s="7" t="inlineStr">
        <is>
          <t>TN</t>
        </is>
      </c>
      <c r="O72" s="10" t="n">
        <v>138</v>
      </c>
      <c r="P72" s="7" t="inlineStr">
        <is>
          <t>TN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900005110</t>
        </is>
      </c>
      <c r="B73" s="8" t="inlineStr">
        <is>
          <t>TP- GRAKO</t>
        </is>
      </c>
      <c r="C73" s="7" t="inlineStr">
        <is>
          <t>D846</t>
        </is>
      </c>
      <c r="D73" s="7" t="inlineStr">
        <is>
          <t>67234529</t>
        </is>
      </c>
      <c r="E73" s="7" t="inlineStr"/>
      <c r="F73" s="8" t="inlineStr"/>
      <c r="G73" s="8" t="inlineStr">
        <is>
          <t>10000384</t>
        </is>
      </c>
      <c r="H73" s="8" t="inlineStr">
        <is>
          <t>Arena Triturada Basalto Malla 4</t>
        </is>
      </c>
      <c r="I73" s="9" t="n">
        <v>1610</v>
      </c>
      <c r="J73" s="7" t="inlineStr">
        <is>
          <t>20250505</t>
        </is>
      </c>
      <c r="K73" s="7" t="inlineStr">
        <is>
          <t>20250507</t>
        </is>
      </c>
      <c r="L73" s="10" t="n">
        <v>88</v>
      </c>
      <c r="M73" s="10" t="n"/>
      <c r="N73" s="7" t="inlineStr">
        <is>
          <t>TN</t>
        </is>
      </c>
      <c r="O73" s="10" t="n">
        <v>80</v>
      </c>
      <c r="P73" s="7" t="inlineStr">
        <is>
          <t>TN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900005110</t>
        </is>
      </c>
      <c r="B74" s="8" t="inlineStr">
        <is>
          <t>TP- GRAKO</t>
        </is>
      </c>
      <c r="C74" s="7" t="inlineStr">
        <is>
          <t>D846</t>
        </is>
      </c>
      <c r="D74" s="7" t="inlineStr">
        <is>
          <t>67234529</t>
        </is>
      </c>
      <c r="E74" s="7" t="inlineStr"/>
      <c r="F74" s="8" t="inlineStr"/>
      <c r="G74" s="8" t="inlineStr">
        <is>
          <t>10001077</t>
        </is>
      </c>
      <c r="H74" s="8" t="inlineStr">
        <is>
          <t>Crudo Basalto</t>
        </is>
      </c>
      <c r="I74" s="9" t="n">
        <v>1350</v>
      </c>
      <c r="J74" s="7" t="inlineStr">
        <is>
          <t>20240813</t>
        </is>
      </c>
      <c r="K74" s="7" t="inlineStr">
        <is>
          <t>20241108</t>
        </is>
      </c>
      <c r="L74" s="10" t="n">
        <v>98</v>
      </c>
      <c r="M74" s="10" t="n"/>
      <c r="N74" s="7" t="inlineStr">
        <is>
          <t>TN</t>
        </is>
      </c>
      <c r="O74" s="10" t="n">
        <v>89</v>
      </c>
      <c r="P74" s="7" t="inlineStr">
        <is>
          <t>TN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900005110</t>
        </is>
      </c>
      <c r="B75" s="8" t="inlineStr">
        <is>
          <t>TP- GRAKO</t>
        </is>
      </c>
      <c r="C75" s="7" t="inlineStr">
        <is>
          <t>D846</t>
        </is>
      </c>
      <c r="D75" s="7" t="inlineStr">
        <is>
          <t>67234529</t>
        </is>
      </c>
      <c r="E75" s="7" t="inlineStr"/>
      <c r="F75" s="8" t="inlineStr"/>
      <c r="G75" s="8" t="inlineStr">
        <is>
          <t>10058507</t>
        </is>
      </c>
      <c r="H75" s="8" t="inlineStr">
        <is>
          <t>Base H Triturada Basalto 1 1/2" a Finos</t>
        </is>
      </c>
      <c r="I75" s="9" t="n">
        <v>1850</v>
      </c>
      <c r="J75" s="7" t="inlineStr">
        <is>
          <t>20240425</t>
        </is>
      </c>
      <c r="K75" s="7" t="inlineStr">
        <is>
          <t>20240814</t>
        </is>
      </c>
      <c r="L75" s="10" t="n">
        <v>117</v>
      </c>
      <c r="M75" s="10" t="n"/>
      <c r="N75" s="7" t="inlineStr">
        <is>
          <t>TN</t>
        </is>
      </c>
      <c r="O75" s="10" t="n">
        <v>102</v>
      </c>
      <c r="P75" s="7" t="inlineStr">
        <is>
          <t>TN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900005110</t>
        </is>
      </c>
      <c r="B76" s="8" t="inlineStr">
        <is>
          <t>TP- GRAKO</t>
        </is>
      </c>
      <c r="C76" s="7" t="inlineStr">
        <is>
          <t>D846</t>
        </is>
      </c>
      <c r="D76" s="7" t="inlineStr">
        <is>
          <t>67234529</t>
        </is>
      </c>
      <c r="E76" s="7" t="inlineStr"/>
      <c r="F76" s="8" t="inlineStr"/>
      <c r="G76" s="8" t="inlineStr">
        <is>
          <t>10147486</t>
        </is>
      </c>
      <c r="H76" s="8" t="inlineStr">
        <is>
          <t>BALASTO TRITURADO</t>
        </is>
      </c>
      <c r="I76" s="9" t="n">
        <v>1560</v>
      </c>
      <c r="J76" s="7" t="inlineStr">
        <is>
          <t>20240813</t>
        </is>
      </c>
      <c r="K76" s="7" t="inlineStr">
        <is>
          <t>20241108</t>
        </is>
      </c>
      <c r="L76" s="10" t="n">
        <v>98</v>
      </c>
      <c r="M76" s="10" t="n"/>
      <c r="N76" s="7" t="inlineStr">
        <is>
          <t>TN</t>
        </is>
      </c>
      <c r="O76" s="10" t="n">
        <v>89</v>
      </c>
      <c r="P76" s="7" t="inlineStr">
        <is>
          <t>TN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900005110</t>
        </is>
      </c>
      <c r="B77" s="8" t="inlineStr">
        <is>
          <t>TP- GRAKO</t>
        </is>
      </c>
      <c r="C77" s="7" t="inlineStr">
        <is>
          <t>D846</t>
        </is>
      </c>
      <c r="D77" s="7" t="inlineStr">
        <is>
          <t>67280490</t>
        </is>
      </c>
      <c r="E77" s="7" t="inlineStr"/>
      <c r="F77" s="8" t="inlineStr"/>
      <c r="G77" s="8" t="inlineStr">
        <is>
          <t>10000384</t>
        </is>
      </c>
      <c r="H77" s="8" t="inlineStr">
        <is>
          <t>Arena Triturada Basalto Malla 4</t>
        </is>
      </c>
      <c r="I77" s="9" t="n">
        <v>1610</v>
      </c>
      <c r="J77" s="7" t="inlineStr">
        <is>
          <t>20250505</t>
        </is>
      </c>
      <c r="K77" s="7" t="inlineStr">
        <is>
          <t>20250507</t>
        </is>
      </c>
      <c r="L77" s="10" t="n">
        <v>110</v>
      </c>
      <c r="M77" s="10" t="n"/>
      <c r="N77" s="7" t="inlineStr">
        <is>
          <t>TN</t>
        </is>
      </c>
      <c r="O77" s="10" t="n">
        <v>80</v>
      </c>
      <c r="P77" s="7" t="inlineStr">
        <is>
          <t>TN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900005260</t>
        </is>
      </c>
      <c r="B78" s="8" t="inlineStr"/>
      <c r="C78" s="7" t="inlineStr">
        <is>
          <t>D846</t>
        </is>
      </c>
      <c r="D78" s="7" t="inlineStr">
        <is>
          <t>65438157</t>
        </is>
      </c>
      <c r="E78" s="7" t="inlineStr"/>
      <c r="F78" s="8" t="inlineStr">
        <is>
          <t>CONCRETOS VADICO.</t>
        </is>
      </c>
      <c r="G78" s="8" t="inlineStr">
        <is>
          <t>10000536</t>
        </is>
      </c>
      <c r="H78" s="8" t="inlineStr">
        <is>
          <t>Grava Triturada Caliza 40 mm - 1 1/2"</t>
        </is>
      </c>
      <c r="I78" s="9" t="n">
        <v>1326</v>
      </c>
      <c r="J78" s="7" t="inlineStr">
        <is>
          <t>20240425</t>
        </is>
      </c>
      <c r="K78" s="7" t="inlineStr">
        <is>
          <t>20240814</t>
        </is>
      </c>
      <c r="L78" s="10" t="n">
        <v>159</v>
      </c>
      <c r="M78" s="10" t="n"/>
      <c r="N78" s="7" t="inlineStr">
        <is>
          <t>TN</t>
        </is>
      </c>
      <c r="O78" s="10" t="n"/>
      <c r="P78" s="7" t="inlineStr"/>
      <c r="Q78" s="10">
        <f>IF(AND(N78="TN",P78="TN"),L78+N(M78),IF(E78&amp;""="1",N(I78)*L78,(L78+N(M78))*N(I78)))</f>
        <v/>
      </c>
      <c r="R78" s="10">
        <f>O78-Q78</f>
        <v/>
      </c>
    </row>
    <row r="79">
      <c r="A79" s="7" t="inlineStr">
        <is>
          <t>900005260</t>
        </is>
      </c>
      <c r="B79" s="8" t="inlineStr"/>
      <c r="C79" s="7" t="inlineStr">
        <is>
          <t>D846</t>
        </is>
      </c>
      <c r="D79" s="7" t="inlineStr">
        <is>
          <t>65438157</t>
        </is>
      </c>
      <c r="E79" s="7" t="inlineStr"/>
      <c r="F79" s="8" t="inlineStr">
        <is>
          <t>CONCRETOS VADICO.</t>
        </is>
      </c>
      <c r="G79" s="8" t="inlineStr">
        <is>
          <t>10000578</t>
        </is>
      </c>
      <c r="H79" s="8" t="inlineStr">
        <is>
          <t>Grava Triturada Caliza 20 mm - 3/4"</t>
        </is>
      </c>
      <c r="I79" s="9" t="n">
        <v>1541</v>
      </c>
      <c r="J79" s="7" t="inlineStr">
        <is>
          <t>20240425</t>
        </is>
      </c>
      <c r="K79" s="7" t="inlineStr">
        <is>
          <t>20240814</t>
        </is>
      </c>
      <c r="L79" s="10" t="n">
        <v>159</v>
      </c>
      <c r="M79" s="10" t="n"/>
      <c r="N79" s="7" t="inlineStr">
        <is>
          <t>TN</t>
        </is>
      </c>
      <c r="O79" s="10" t="n"/>
      <c r="P79" s="7" t="inlineStr"/>
      <c r="Q79" s="10">
        <f>IF(AND(N79="TN",P79="TN"),L79+N(M79),IF(E79&amp;""="1",N(I79)*L79,(L79+N(M79))*N(I79)))</f>
        <v/>
      </c>
      <c r="R79" s="10">
        <f>O79-Q79</f>
        <v/>
      </c>
    </row>
    <row r="80">
      <c r="A80" s="7" t="inlineStr">
        <is>
          <t>900005260</t>
        </is>
      </c>
      <c r="B80" s="8" t="inlineStr"/>
      <c r="C80" s="7" t="inlineStr">
        <is>
          <t>D846</t>
        </is>
      </c>
      <c r="D80" s="7" t="inlineStr">
        <is>
          <t>65438157</t>
        </is>
      </c>
      <c r="E80" s="7" t="inlineStr"/>
      <c r="F80" s="8" t="inlineStr">
        <is>
          <t>CONCRETOS VADICO.</t>
        </is>
      </c>
      <c r="G80" s="8" t="inlineStr">
        <is>
          <t>10000617</t>
        </is>
      </c>
      <c r="H80" s="8" t="inlineStr">
        <is>
          <t>Arena Triturada Caliza Malla 5</t>
        </is>
      </c>
      <c r="I80" s="9" t="n">
        <v>1560</v>
      </c>
      <c r="J80" s="7" t="inlineStr">
        <is>
          <t>20240425</t>
        </is>
      </c>
      <c r="K80" s="7" t="inlineStr">
        <is>
          <t>20240814</t>
        </is>
      </c>
      <c r="L80" s="10" t="n">
        <v>169</v>
      </c>
      <c r="M80" s="10" t="n"/>
      <c r="N80" s="7" t="inlineStr">
        <is>
          <t>TN</t>
        </is>
      </c>
      <c r="O80" s="10" t="n"/>
      <c r="P80" s="7" t="inlineStr"/>
      <c r="Q80" s="10">
        <f>IF(AND(N80="TN",P80="TN"),L80+N(M80),IF(E80&amp;""="1",N(I80)*L80,(L80+N(M80))*N(I80)))</f>
        <v/>
      </c>
      <c r="R80" s="10">
        <f>O80-Q80</f>
        <v/>
      </c>
    </row>
    <row r="81">
      <c r="A81" s="7" t="inlineStr">
        <is>
          <t>900005260</t>
        </is>
      </c>
      <c r="B81" s="8" t="inlineStr"/>
      <c r="C81" s="7" t="inlineStr">
        <is>
          <t>D846</t>
        </is>
      </c>
      <c r="D81" s="7" t="inlineStr">
        <is>
          <t>65438157</t>
        </is>
      </c>
      <c r="E81" s="7" t="inlineStr"/>
      <c r="F81" s="8" t="inlineStr">
        <is>
          <t>CONCRETOS VADICO.</t>
        </is>
      </c>
      <c r="G81" s="8" t="inlineStr">
        <is>
          <t>10000656</t>
        </is>
      </c>
      <c r="H81" s="8" t="inlineStr">
        <is>
          <t>Grava Triturada Caliza 10 mm - 3/8"</t>
        </is>
      </c>
      <c r="I81" s="9" t="n">
        <v>1400</v>
      </c>
      <c r="J81" s="7" t="inlineStr">
        <is>
          <t>20240425</t>
        </is>
      </c>
      <c r="K81" s="7" t="inlineStr">
        <is>
          <t>20240814</t>
        </is>
      </c>
      <c r="L81" s="10" t="n">
        <v>166</v>
      </c>
      <c r="M81" s="10" t="n"/>
      <c r="N81" s="7" t="inlineStr">
        <is>
          <t>TN</t>
        </is>
      </c>
      <c r="O81" s="10" t="n"/>
      <c r="P81" s="7" t="inlineStr"/>
      <c r="Q81" s="10">
        <f>IF(AND(N81="TN",P81="TN"),L81+N(M81),IF(E81&amp;""="1",N(I81)*L81,(L81+N(M81))*N(I81)))</f>
        <v/>
      </c>
      <c r="R81" s="10">
        <f>O81-Q81</f>
        <v/>
      </c>
    </row>
    <row r="82">
      <c r="A82" s="7" t="inlineStr">
        <is>
          <t>900005260</t>
        </is>
      </c>
      <c r="B82" s="8" t="inlineStr"/>
      <c r="C82" s="7" t="inlineStr">
        <is>
          <t>D846</t>
        </is>
      </c>
      <c r="D82" s="7" t="inlineStr">
        <is>
          <t>65438157</t>
        </is>
      </c>
      <c r="E82" s="7" t="inlineStr"/>
      <c r="F82" s="8" t="inlineStr">
        <is>
          <t>CONCRETOS VADICO.</t>
        </is>
      </c>
      <c r="G82" s="8" t="inlineStr">
        <is>
          <t>10169508</t>
        </is>
      </c>
      <c r="H82" s="8" t="inlineStr">
        <is>
          <t>GRAVA TRITURADA CALIZA 13 MM - 1/2"</t>
        </is>
      </c>
      <c r="I82" s="9" t="n">
        <v>1400</v>
      </c>
      <c r="J82" s="7" t="inlineStr">
        <is>
          <t>20240425</t>
        </is>
      </c>
      <c r="K82" s="7" t="inlineStr">
        <is>
          <t>20240814</t>
        </is>
      </c>
      <c r="L82" s="10" t="n">
        <v>172</v>
      </c>
      <c r="M82" s="10" t="n"/>
      <c r="N82" s="7" t="inlineStr">
        <is>
          <t>TN</t>
        </is>
      </c>
      <c r="O82" s="10" t="n"/>
      <c r="P82" s="7" t="inlineStr"/>
      <c r="Q82" s="10">
        <f>IF(AND(N82="TN",P82="TN"),L82+N(M82),IF(E82&amp;""="1",N(I82)*L82,(L82+N(M82))*N(I82)))</f>
        <v/>
      </c>
      <c r="R82" s="10">
        <f>O82-Q82</f>
        <v/>
      </c>
    </row>
    <row r="83">
      <c r="A83" s="7" t="inlineStr">
        <is>
          <t>900006074</t>
        </is>
      </c>
      <c r="B83" s="8" t="inlineStr">
        <is>
          <t>SF TP-ED- GRAMOL SLP</t>
        </is>
      </c>
      <c r="C83" s="7" t="inlineStr">
        <is>
          <t>D846</t>
        </is>
      </c>
      <c r="D83" s="7" t="inlineStr">
        <is>
          <t>65438157</t>
        </is>
      </c>
      <c r="E83" s="7" t="inlineStr">
        <is>
          <t>4</t>
        </is>
      </c>
      <c r="F83" s="8" t="inlineStr">
        <is>
          <t>CONCRETOS VADICO.</t>
        </is>
      </c>
      <c r="G83" s="8" t="inlineStr">
        <is>
          <t>10000536</t>
        </is>
      </c>
      <c r="H83" s="8" t="inlineStr">
        <is>
          <t>Grava Triturada Caliza 40 mm - 1 1/2"</t>
        </is>
      </c>
      <c r="I83" s="9" t="n">
        <v>1326</v>
      </c>
      <c r="J83" s="7" t="inlineStr">
        <is>
          <t>20240425</t>
        </is>
      </c>
      <c r="K83" s="7" t="inlineStr">
        <is>
          <t>20240814</t>
        </is>
      </c>
      <c r="L83" s="10" t="n">
        <v>159</v>
      </c>
      <c r="M83" s="10" t="n">
        <v>298</v>
      </c>
      <c r="N83" s="7" t="inlineStr">
        <is>
          <t>TN</t>
        </is>
      </c>
      <c r="O83" s="10" t="n">
        <v>434</v>
      </c>
      <c r="P83" s="7" t="inlineStr">
        <is>
          <t>TN</t>
        </is>
      </c>
      <c r="Q83" s="10">
        <f>IF(AND(N83="TN",P83="TN"),L83+N(M83),IF(E83&amp;""="1",N(I83)*L83,(L83+N(M83))*N(I83)))</f>
        <v/>
      </c>
      <c r="R83" s="11">
        <f>O83-Q83</f>
        <v/>
      </c>
    </row>
    <row r="84">
      <c r="A84" s="7" t="inlineStr">
        <is>
          <t>900006074</t>
        </is>
      </c>
      <c r="B84" s="8" t="inlineStr">
        <is>
          <t>SF TP-ED- GRAMOL SLP</t>
        </is>
      </c>
      <c r="C84" s="7" t="inlineStr">
        <is>
          <t>D846</t>
        </is>
      </c>
      <c r="D84" s="7" t="inlineStr">
        <is>
          <t>65438157</t>
        </is>
      </c>
      <c r="E84" s="7" t="inlineStr">
        <is>
          <t>4</t>
        </is>
      </c>
      <c r="F84" s="8" t="inlineStr">
        <is>
          <t>CONCRETOS VADICO.</t>
        </is>
      </c>
      <c r="G84" s="8" t="inlineStr">
        <is>
          <t>10000578</t>
        </is>
      </c>
      <c r="H84" s="8" t="inlineStr">
        <is>
          <t>Grava Triturada Caliza 20 mm - 3/4"</t>
        </is>
      </c>
      <c r="I84" s="9" t="n">
        <v>1541</v>
      </c>
      <c r="J84" s="7" t="inlineStr">
        <is>
          <t>20240425</t>
        </is>
      </c>
      <c r="K84" s="7" t="inlineStr">
        <is>
          <t>20240814</t>
        </is>
      </c>
      <c r="L84" s="10" t="n">
        <v>159</v>
      </c>
      <c r="M84" s="10" t="n">
        <v>298</v>
      </c>
      <c r="N84" s="7" t="inlineStr">
        <is>
          <t>TN</t>
        </is>
      </c>
      <c r="O84" s="10" t="n">
        <v>434</v>
      </c>
      <c r="P84" s="7" t="inlineStr">
        <is>
          <t>TN</t>
        </is>
      </c>
      <c r="Q84" s="10">
        <f>IF(AND(N84="TN",P84="TN"),L84+N(M84),IF(E84&amp;""="1",N(I84)*L84,(L84+N(M84))*N(I84)))</f>
        <v/>
      </c>
      <c r="R84" s="11">
        <f>O84-Q84</f>
        <v/>
      </c>
    </row>
    <row r="85">
      <c r="A85" s="7" t="inlineStr">
        <is>
          <t>900006074</t>
        </is>
      </c>
      <c r="B85" s="8" t="inlineStr">
        <is>
          <t>SF TP-ED- GRAMOL SLP</t>
        </is>
      </c>
      <c r="C85" s="7" t="inlineStr">
        <is>
          <t>D846</t>
        </is>
      </c>
      <c r="D85" s="7" t="inlineStr">
        <is>
          <t>65438157</t>
        </is>
      </c>
      <c r="E85" s="7" t="inlineStr">
        <is>
          <t>4</t>
        </is>
      </c>
      <c r="F85" s="8" t="inlineStr">
        <is>
          <t>CONCRETOS VADICO.</t>
        </is>
      </c>
      <c r="G85" s="8" t="inlineStr">
        <is>
          <t>10000617</t>
        </is>
      </c>
      <c r="H85" s="8" t="inlineStr">
        <is>
          <t>Arena Triturada Caliza Malla 5</t>
        </is>
      </c>
      <c r="I85" s="9" t="n">
        <v>1560</v>
      </c>
      <c r="J85" s="7" t="inlineStr">
        <is>
          <t>20240425</t>
        </is>
      </c>
      <c r="K85" s="7" t="inlineStr">
        <is>
          <t>20240814</t>
        </is>
      </c>
      <c r="L85" s="10" t="n">
        <v>169</v>
      </c>
      <c r="M85" s="10" t="n">
        <v>297</v>
      </c>
      <c r="N85" s="7" t="inlineStr">
        <is>
          <t>TN</t>
        </is>
      </c>
      <c r="O85" s="10" t="n">
        <v>444</v>
      </c>
      <c r="P85" s="7" t="inlineStr">
        <is>
          <t>TN</t>
        </is>
      </c>
      <c r="Q85" s="10">
        <f>IF(AND(N85="TN",P85="TN"),L85+N(M85),IF(E85&amp;""="1",N(I85)*L85,(L85+N(M85))*N(I85)))</f>
        <v/>
      </c>
      <c r="R85" s="11">
        <f>O85-Q85</f>
        <v/>
      </c>
    </row>
    <row r="86">
      <c r="A86" s="7" t="inlineStr">
        <is>
          <t>900006074</t>
        </is>
      </c>
      <c r="B86" s="8" t="inlineStr">
        <is>
          <t>SF TP-ED- GRAMOL SLP</t>
        </is>
      </c>
      <c r="C86" s="7" t="inlineStr">
        <is>
          <t>D846</t>
        </is>
      </c>
      <c r="D86" s="7" t="inlineStr">
        <is>
          <t>65438157</t>
        </is>
      </c>
      <c r="E86" s="7" t="inlineStr">
        <is>
          <t>4</t>
        </is>
      </c>
      <c r="F86" s="8" t="inlineStr">
        <is>
          <t>CONCRETOS VADICO.</t>
        </is>
      </c>
      <c r="G86" s="8" t="inlineStr">
        <is>
          <t>10000656</t>
        </is>
      </c>
      <c r="H86" s="8" t="inlineStr">
        <is>
          <t>Grava Triturada Caliza 10 mm - 3/8"</t>
        </is>
      </c>
      <c r="I86" s="9" t="n">
        <v>1400</v>
      </c>
      <c r="J86" s="7" t="inlineStr">
        <is>
          <t>20240425</t>
        </is>
      </c>
      <c r="K86" s="7" t="inlineStr">
        <is>
          <t>20240814</t>
        </is>
      </c>
      <c r="L86" s="10" t="n">
        <v>166</v>
      </c>
      <c r="M86" s="10" t="n">
        <v>298</v>
      </c>
      <c r="N86" s="7" t="inlineStr">
        <is>
          <t>TN</t>
        </is>
      </c>
      <c r="O86" s="10" t="n">
        <v>442</v>
      </c>
      <c r="P86" s="7" t="inlineStr">
        <is>
          <t>TN</t>
        </is>
      </c>
      <c r="Q86" s="10">
        <f>IF(AND(N86="TN",P86="TN"),L86+N(M86),IF(E86&amp;""="1",N(I86)*L86,(L86+N(M86))*N(I86)))</f>
        <v/>
      </c>
      <c r="R86" s="11">
        <f>O86-Q86</f>
        <v/>
      </c>
    </row>
    <row r="87">
      <c r="A87" s="7" t="inlineStr">
        <is>
          <t>900006074</t>
        </is>
      </c>
      <c r="B87" s="8" t="inlineStr">
        <is>
          <t>SF TP-ED- GRAMOL SLP</t>
        </is>
      </c>
      <c r="C87" s="7" t="inlineStr">
        <is>
          <t>D846</t>
        </is>
      </c>
      <c r="D87" s="7" t="inlineStr">
        <is>
          <t>65438157</t>
        </is>
      </c>
      <c r="E87" s="7" t="inlineStr">
        <is>
          <t>4</t>
        </is>
      </c>
      <c r="F87" s="8" t="inlineStr">
        <is>
          <t>CONCRETOS VADICO.</t>
        </is>
      </c>
      <c r="G87" s="8" t="inlineStr">
        <is>
          <t>10169508</t>
        </is>
      </c>
      <c r="H87" s="8" t="inlineStr">
        <is>
          <t>GRAVA TRITURADA CALIZA 13 MM - 1/2"</t>
        </is>
      </c>
      <c r="I87" s="9" t="n">
        <v>1400</v>
      </c>
      <c r="J87" s="7" t="inlineStr">
        <is>
          <t>20240425</t>
        </is>
      </c>
      <c r="K87" s="7" t="inlineStr">
        <is>
          <t>20240814</t>
        </is>
      </c>
      <c r="L87" s="10" t="n">
        <v>172</v>
      </c>
      <c r="M87" s="10" t="n">
        <v>297</v>
      </c>
      <c r="N87" s="7" t="inlineStr">
        <is>
          <t>TN</t>
        </is>
      </c>
      <c r="O87" s="10" t="n">
        <v>446</v>
      </c>
      <c r="P87" s="7" t="inlineStr">
        <is>
          <t>TN</t>
        </is>
      </c>
      <c r="Q87" s="10">
        <f>IF(AND(N87="TN",P87="TN"),L87+N(M87),IF(E87&amp;""="1",N(I87)*L87,(L87+N(M87))*N(I87)))</f>
        <v/>
      </c>
      <c r="R87" s="11">
        <f>O87-Q87</f>
        <v/>
      </c>
    </row>
    <row r="88">
      <c r="A88" s="7" t="inlineStr">
        <is>
          <t>900008596</t>
        </is>
      </c>
      <c r="B88" s="8" t="inlineStr">
        <is>
          <t>SF TP BANCO LA LUZ</t>
        </is>
      </c>
      <c r="C88" s="7" t="inlineStr">
        <is>
          <t>D846</t>
        </is>
      </c>
      <c r="D88" s="7" t="inlineStr">
        <is>
          <t>67234490</t>
        </is>
      </c>
      <c r="E88" s="7" t="inlineStr"/>
      <c r="F88" s="8" t="inlineStr"/>
      <c r="G88" s="8" t="inlineStr">
        <is>
          <t>10000231</t>
        </is>
      </c>
      <c r="H88" s="8" t="inlineStr">
        <is>
          <t>Grava Triturada Basalto 20 mm - 3/4"</t>
        </is>
      </c>
      <c r="I88" s="9" t="n">
        <v>1565</v>
      </c>
      <c r="J88" s="7" t="inlineStr">
        <is>
          <t>20240425</t>
        </is>
      </c>
      <c r="K88" s="7" t="inlineStr">
        <is>
          <t>20240814</t>
        </is>
      </c>
      <c r="L88" s="10" t="n">
        <v>230</v>
      </c>
      <c r="M88" s="10" t="n"/>
      <c r="N88" s="7" t="inlineStr">
        <is>
          <t>M3</t>
        </is>
      </c>
      <c r="O88" s="10" t="n">
        <v>198</v>
      </c>
      <c r="P88" s="7" t="inlineStr">
        <is>
          <t>M3</t>
        </is>
      </c>
      <c r="Q88" s="10">
        <f>IF(AND(N88="TN",P88="TN"),L88+N(M88),IF(E88&amp;""="1",N(I88)*L88,(L88+N(M88))*N(I88)))</f>
        <v/>
      </c>
      <c r="R88" s="11">
        <f>O88-Q88</f>
        <v/>
      </c>
    </row>
    <row r="89">
      <c r="A89" s="7" t="inlineStr">
        <is>
          <t>900008596</t>
        </is>
      </c>
      <c r="B89" s="8" t="inlineStr">
        <is>
          <t>SF TP BANCO LA LUZ</t>
        </is>
      </c>
      <c r="C89" s="7" t="inlineStr">
        <is>
          <t>D846</t>
        </is>
      </c>
      <c r="D89" s="7" t="inlineStr">
        <is>
          <t>67234490</t>
        </is>
      </c>
      <c r="E89" s="7" t="inlineStr"/>
      <c r="F89" s="8" t="inlineStr"/>
      <c r="G89" s="8" t="inlineStr">
        <is>
          <t>10000570</t>
        </is>
      </c>
      <c r="H89" s="8" t="inlineStr">
        <is>
          <t>Grava Triturada Basalto 40 mm - 1 1/2"</t>
        </is>
      </c>
      <c r="I89" s="9" t="n">
        <v>1500</v>
      </c>
      <c r="J89" s="7" t="inlineStr">
        <is>
          <t>20240425</t>
        </is>
      </c>
      <c r="K89" s="7" t="inlineStr">
        <is>
          <t>20240814</t>
        </is>
      </c>
      <c r="L89" s="10" t="n">
        <v>216</v>
      </c>
      <c r="M89" s="10" t="n"/>
      <c r="N89" s="7" t="inlineStr">
        <is>
          <t>M3</t>
        </is>
      </c>
      <c r="O89" s="10" t="n">
        <v>187</v>
      </c>
      <c r="P89" s="7" t="inlineStr">
        <is>
          <t>M3</t>
        </is>
      </c>
      <c r="Q89" s="10">
        <f>IF(AND(N89="TN",P89="TN"),L89+N(M89),IF(E89&amp;""="1",N(I89)*L89,(L89+N(M89))*N(I89)))</f>
        <v/>
      </c>
      <c r="R89" s="11">
        <f>O89-Q89</f>
        <v/>
      </c>
    </row>
    <row r="90">
      <c r="A90" s="7" t="inlineStr">
        <is>
          <t>900008596</t>
        </is>
      </c>
      <c r="B90" s="8" t="inlineStr">
        <is>
          <t>SF TP BANCO LA LUZ</t>
        </is>
      </c>
      <c r="C90" s="7" t="inlineStr">
        <is>
          <t>D846</t>
        </is>
      </c>
      <c r="D90" s="7" t="inlineStr">
        <is>
          <t>67234490</t>
        </is>
      </c>
      <c r="E90" s="7" t="inlineStr"/>
      <c r="F90" s="8" t="inlineStr"/>
      <c r="G90" s="8" t="inlineStr">
        <is>
          <t>10058507</t>
        </is>
      </c>
      <c r="H90" s="8" t="inlineStr">
        <is>
          <t>Base H Triturada Basalto 1 1/2" a Finos</t>
        </is>
      </c>
      <c r="I90" s="9" t="n">
        <v>1850</v>
      </c>
      <c r="J90" s="7" t="inlineStr">
        <is>
          <t>20240425</t>
        </is>
      </c>
      <c r="K90" s="7" t="inlineStr">
        <is>
          <t>20240814</t>
        </is>
      </c>
      <c r="L90" s="10" t="n">
        <v>216</v>
      </c>
      <c r="M90" s="10" t="n"/>
      <c r="N90" s="7" t="inlineStr">
        <is>
          <t>M3</t>
        </is>
      </c>
      <c r="O90" s="10" t="n">
        <v>187</v>
      </c>
      <c r="P90" s="7" t="inlineStr">
        <is>
          <t>M3</t>
        </is>
      </c>
      <c r="Q90" s="10">
        <f>IF(AND(N90="TN",P90="TN"),L90+N(M90),IF(E90&amp;""="1",N(I90)*L90,(L90+N(M90))*N(I90)))</f>
        <v/>
      </c>
      <c r="R90" s="11">
        <f>O90-Q90</f>
        <v/>
      </c>
    </row>
    <row r="91">
      <c r="A91" s="7" t="inlineStr">
        <is>
          <t>900008596</t>
        </is>
      </c>
      <c r="B91" s="8" t="inlineStr">
        <is>
          <t>SF TP BANCO LA LUZ</t>
        </is>
      </c>
      <c r="C91" s="7" t="inlineStr">
        <is>
          <t>D846</t>
        </is>
      </c>
      <c r="D91" s="7" t="inlineStr">
        <is>
          <t>67234490</t>
        </is>
      </c>
      <c r="E91" s="7" t="inlineStr"/>
      <c r="F91" s="8" t="inlineStr"/>
      <c r="G91" s="8" t="inlineStr">
        <is>
          <t>10228149</t>
        </is>
      </c>
      <c r="H91" s="8" t="inlineStr">
        <is>
          <t>ARENA TRITURADA BASALTO MALLA 4</t>
        </is>
      </c>
      <c r="I91" s="9" t="n">
        <v>1717</v>
      </c>
      <c r="J91" s="7" t="inlineStr">
        <is>
          <t>20240425</t>
        </is>
      </c>
      <c r="K91" s="7" t="inlineStr">
        <is>
          <t>20240814</t>
        </is>
      </c>
      <c r="L91" s="10" t="n">
        <v>216</v>
      </c>
      <c r="M91" s="10" t="n"/>
      <c r="N91" s="7" t="inlineStr">
        <is>
          <t>M3</t>
        </is>
      </c>
      <c r="O91" s="10" t="n">
        <v>187</v>
      </c>
      <c r="P91" s="7" t="inlineStr">
        <is>
          <t>M3</t>
        </is>
      </c>
      <c r="Q91" s="10">
        <f>IF(AND(N91="TN",P91="TN"),L91+N(M91),IF(E91&amp;""="1",N(I91)*L91,(L91+N(M91))*N(I91)))</f>
        <v/>
      </c>
      <c r="R91" s="11">
        <f>O91-Q91</f>
        <v/>
      </c>
    </row>
    <row r="92">
      <c r="A92" s="7" t="inlineStr">
        <is>
          <t>900008596</t>
        </is>
      </c>
      <c r="B92" s="8" t="inlineStr">
        <is>
          <t>SF TP BANCO LA LUZ</t>
        </is>
      </c>
      <c r="C92" s="7" t="inlineStr">
        <is>
          <t>D846</t>
        </is>
      </c>
      <c r="D92" s="7" t="inlineStr">
        <is>
          <t>67234499</t>
        </is>
      </c>
      <c r="E92" s="7" t="inlineStr"/>
      <c r="F92" s="8" t="inlineStr"/>
      <c r="G92" s="8" t="inlineStr">
        <is>
          <t>10000231</t>
        </is>
      </c>
      <c r="H92" s="8" t="inlineStr">
        <is>
          <t>Grava Triturada Basalto 20 mm - 3/4"</t>
        </is>
      </c>
      <c r="I92" s="9" t="n">
        <v>1565</v>
      </c>
      <c r="J92" s="7" t="inlineStr">
        <is>
          <t>20240425</t>
        </is>
      </c>
      <c r="K92" s="7" t="inlineStr">
        <is>
          <t>20240814</t>
        </is>
      </c>
      <c r="L92" s="10" t="n">
        <v>230</v>
      </c>
      <c r="M92" s="10" t="n"/>
      <c r="N92" s="7" t="inlineStr">
        <is>
          <t>M3</t>
        </is>
      </c>
      <c r="O92" s="10" t="n">
        <v>198</v>
      </c>
      <c r="P92" s="7" t="inlineStr">
        <is>
          <t>M3</t>
        </is>
      </c>
      <c r="Q92" s="10">
        <f>IF(AND(N92="TN",P92="TN"),L92+N(M92),IF(E92&amp;""="1",N(I92)*L92,(L92+N(M92))*N(I92)))</f>
        <v/>
      </c>
      <c r="R92" s="11">
        <f>O92-Q92</f>
        <v/>
      </c>
    </row>
    <row r="93">
      <c r="A93" s="7" t="inlineStr">
        <is>
          <t>900008596</t>
        </is>
      </c>
      <c r="B93" s="8" t="inlineStr">
        <is>
          <t>SF TP BANCO LA LUZ</t>
        </is>
      </c>
      <c r="C93" s="7" t="inlineStr">
        <is>
          <t>D846</t>
        </is>
      </c>
      <c r="D93" s="7" t="inlineStr">
        <is>
          <t>67234499</t>
        </is>
      </c>
      <c r="E93" s="7" t="inlineStr"/>
      <c r="F93" s="8" t="inlineStr"/>
      <c r="G93" s="8" t="inlineStr">
        <is>
          <t>10000570</t>
        </is>
      </c>
      <c r="H93" s="8" t="inlineStr">
        <is>
          <t>Grava Triturada Basalto 40 mm - 1 1/2"</t>
        </is>
      </c>
      <c r="I93" s="9" t="n">
        <v>1500</v>
      </c>
      <c r="J93" s="7" t="inlineStr">
        <is>
          <t>20240425</t>
        </is>
      </c>
      <c r="K93" s="7" t="inlineStr">
        <is>
          <t>20240814</t>
        </is>
      </c>
      <c r="L93" s="10" t="n">
        <v>216</v>
      </c>
      <c r="M93" s="10" t="n"/>
      <c r="N93" s="7" t="inlineStr">
        <is>
          <t>M3</t>
        </is>
      </c>
      <c r="O93" s="10" t="n">
        <v>187</v>
      </c>
      <c r="P93" s="7" t="inlineStr">
        <is>
          <t>M3</t>
        </is>
      </c>
      <c r="Q93" s="10">
        <f>IF(AND(N93="TN",P93="TN"),L93+N(M93),IF(E93&amp;""="1",N(I93)*L93,(L93+N(M93))*N(I93)))</f>
        <v/>
      </c>
      <c r="R93" s="11">
        <f>O93-Q93</f>
        <v/>
      </c>
    </row>
    <row r="94">
      <c r="A94" s="7" t="inlineStr">
        <is>
          <t>900008596</t>
        </is>
      </c>
      <c r="B94" s="8" t="inlineStr">
        <is>
          <t>SF TP BANCO LA LUZ</t>
        </is>
      </c>
      <c r="C94" s="7" t="inlineStr">
        <is>
          <t>D846</t>
        </is>
      </c>
      <c r="D94" s="7" t="inlineStr">
        <is>
          <t>67234499</t>
        </is>
      </c>
      <c r="E94" s="7" t="inlineStr"/>
      <c r="F94" s="8" t="inlineStr"/>
      <c r="G94" s="8" t="inlineStr">
        <is>
          <t>10058507</t>
        </is>
      </c>
      <c r="H94" s="8" t="inlineStr">
        <is>
          <t>Base H Triturada Basalto 1 1/2" a Finos</t>
        </is>
      </c>
      <c r="I94" s="9" t="n">
        <v>1850</v>
      </c>
      <c r="J94" s="7" t="inlineStr">
        <is>
          <t>20240425</t>
        </is>
      </c>
      <c r="K94" s="7" t="inlineStr">
        <is>
          <t>20240814</t>
        </is>
      </c>
      <c r="L94" s="10" t="n">
        <v>216</v>
      </c>
      <c r="M94" s="10" t="n"/>
      <c r="N94" s="7" t="inlineStr">
        <is>
          <t>M3</t>
        </is>
      </c>
      <c r="O94" s="10" t="n">
        <v>187</v>
      </c>
      <c r="P94" s="7" t="inlineStr">
        <is>
          <t>M3</t>
        </is>
      </c>
      <c r="Q94" s="10">
        <f>IF(AND(N94="TN",P94="TN"),L94+N(M94),IF(E94&amp;""="1",N(I94)*L94,(L94+N(M94))*N(I94)))</f>
        <v/>
      </c>
      <c r="R94" s="11">
        <f>O94-Q94</f>
        <v/>
      </c>
    </row>
    <row r="95">
      <c r="A95" s="7" t="inlineStr">
        <is>
          <t>900008596</t>
        </is>
      </c>
      <c r="B95" s="8" t="inlineStr">
        <is>
          <t>SF TP BANCO LA LUZ</t>
        </is>
      </c>
      <c r="C95" s="7" t="inlineStr">
        <is>
          <t>D846</t>
        </is>
      </c>
      <c r="D95" s="7" t="inlineStr">
        <is>
          <t>67234499</t>
        </is>
      </c>
      <c r="E95" s="7" t="inlineStr"/>
      <c r="F95" s="8" t="inlineStr"/>
      <c r="G95" s="8" t="inlineStr">
        <is>
          <t>10228149</t>
        </is>
      </c>
      <c r="H95" s="8" t="inlineStr">
        <is>
          <t>ARENA TRITURADA BASALTO MALLA 4</t>
        </is>
      </c>
      <c r="I95" s="9" t="n">
        <v>1717</v>
      </c>
      <c r="J95" s="7" t="inlineStr">
        <is>
          <t>20240425</t>
        </is>
      </c>
      <c r="K95" s="7" t="inlineStr">
        <is>
          <t>20240814</t>
        </is>
      </c>
      <c r="L95" s="10" t="n">
        <v>216</v>
      </c>
      <c r="M95" s="10" t="n"/>
      <c r="N95" s="7" t="inlineStr">
        <is>
          <t>M3</t>
        </is>
      </c>
      <c r="O95" s="10" t="n">
        <v>187</v>
      </c>
      <c r="P95" s="7" t="inlineStr">
        <is>
          <t>M3</t>
        </is>
      </c>
      <c r="Q95" s="10">
        <f>IF(AND(N95="TN",P95="TN"),L95+N(M95),IF(E95&amp;""="1",N(I95)*L95,(L95+N(M95))*N(I95)))</f>
        <v/>
      </c>
      <c r="R95" s="11">
        <f>O95-Q95</f>
        <v/>
      </c>
    </row>
    <row r="96">
      <c r="A96" s="7" t="inlineStr">
        <is>
          <t>900008596</t>
        </is>
      </c>
      <c r="B96" s="8" t="inlineStr">
        <is>
          <t>SF TP BANCO LA LUZ</t>
        </is>
      </c>
      <c r="C96" s="7" t="inlineStr">
        <is>
          <t>D846</t>
        </is>
      </c>
      <c r="D96" s="7" t="inlineStr">
        <is>
          <t>67234529</t>
        </is>
      </c>
      <c r="E96" s="7" t="inlineStr"/>
      <c r="F96" s="8" t="inlineStr"/>
      <c r="G96" s="8" t="inlineStr">
        <is>
          <t>10000231</t>
        </is>
      </c>
      <c r="H96" s="8" t="inlineStr">
        <is>
          <t>Grava Triturada Basalto 20 mm - 3/4"</t>
        </is>
      </c>
      <c r="I96" s="9" t="n">
        <v>1565</v>
      </c>
      <c r="J96" s="7" t="inlineStr">
        <is>
          <t>20240425</t>
        </is>
      </c>
      <c r="K96" s="7" t="inlineStr">
        <is>
          <t>20240814</t>
        </is>
      </c>
      <c r="L96" s="10" t="n">
        <v>230</v>
      </c>
      <c r="M96" s="10" t="n"/>
      <c r="N96" s="7" t="inlineStr">
        <is>
          <t>M3</t>
        </is>
      </c>
      <c r="O96" s="10" t="n">
        <v>198</v>
      </c>
      <c r="P96" s="7" t="inlineStr">
        <is>
          <t>M3</t>
        </is>
      </c>
      <c r="Q96" s="10">
        <f>IF(AND(N96="TN",P96="TN"),L96+N(M96),IF(E96&amp;""="1",N(I96)*L96,(L96+N(M96))*N(I96)))</f>
        <v/>
      </c>
      <c r="R96" s="11">
        <f>O96-Q96</f>
        <v/>
      </c>
    </row>
    <row r="97">
      <c r="A97" s="7" t="inlineStr">
        <is>
          <t>900008596</t>
        </is>
      </c>
      <c r="B97" s="8" t="inlineStr">
        <is>
          <t>SF TP BANCO LA LUZ</t>
        </is>
      </c>
      <c r="C97" s="7" t="inlineStr">
        <is>
          <t>D846</t>
        </is>
      </c>
      <c r="D97" s="7" t="inlineStr">
        <is>
          <t>67234529</t>
        </is>
      </c>
      <c r="E97" s="7" t="inlineStr"/>
      <c r="F97" s="8" t="inlineStr"/>
      <c r="G97" s="8" t="inlineStr">
        <is>
          <t>10000570</t>
        </is>
      </c>
      <c r="H97" s="8" t="inlineStr">
        <is>
          <t>Grava Triturada Basalto 40 mm - 1 1/2"</t>
        </is>
      </c>
      <c r="I97" s="9" t="n">
        <v>1500</v>
      </c>
      <c r="J97" s="7" t="inlineStr">
        <is>
          <t>20240425</t>
        </is>
      </c>
      <c r="K97" s="7" t="inlineStr">
        <is>
          <t>20240814</t>
        </is>
      </c>
      <c r="L97" s="10" t="n">
        <v>216</v>
      </c>
      <c r="M97" s="10" t="n"/>
      <c r="N97" s="7" t="inlineStr">
        <is>
          <t>M3</t>
        </is>
      </c>
      <c r="O97" s="10" t="n">
        <v>187</v>
      </c>
      <c r="P97" s="7" t="inlineStr">
        <is>
          <t>M3</t>
        </is>
      </c>
      <c r="Q97" s="10">
        <f>IF(AND(N97="TN",P97="TN"),L97+N(M97),IF(E97&amp;""="1",N(I97)*L97,(L97+N(M97))*N(I97)))</f>
        <v/>
      </c>
      <c r="R97" s="11">
        <f>O97-Q97</f>
        <v/>
      </c>
    </row>
    <row r="98">
      <c r="A98" s="7" t="inlineStr">
        <is>
          <t>900008596</t>
        </is>
      </c>
      <c r="B98" s="8" t="inlineStr">
        <is>
          <t>SF TP BANCO LA LUZ</t>
        </is>
      </c>
      <c r="C98" s="7" t="inlineStr">
        <is>
          <t>D846</t>
        </is>
      </c>
      <c r="D98" s="7" t="inlineStr">
        <is>
          <t>67234529</t>
        </is>
      </c>
      <c r="E98" s="7" t="inlineStr"/>
      <c r="F98" s="8" t="inlineStr"/>
      <c r="G98" s="8" t="inlineStr">
        <is>
          <t>10058507</t>
        </is>
      </c>
      <c r="H98" s="8" t="inlineStr">
        <is>
          <t>Base H Triturada Basalto 1 1/2" a Finos</t>
        </is>
      </c>
      <c r="I98" s="9" t="n">
        <v>1850</v>
      </c>
      <c r="J98" s="7" t="inlineStr">
        <is>
          <t>20240425</t>
        </is>
      </c>
      <c r="K98" s="7" t="inlineStr">
        <is>
          <t>20240814</t>
        </is>
      </c>
      <c r="L98" s="10" t="n">
        <v>216</v>
      </c>
      <c r="M98" s="10" t="n"/>
      <c r="N98" s="7" t="inlineStr">
        <is>
          <t>M3</t>
        </is>
      </c>
      <c r="O98" s="10" t="n">
        <v>187</v>
      </c>
      <c r="P98" s="7" t="inlineStr">
        <is>
          <t>M3</t>
        </is>
      </c>
      <c r="Q98" s="10">
        <f>IF(AND(N98="TN",P98="TN"),L98+N(M98),IF(E98&amp;""="1",N(I98)*L98,(L98+N(M98))*N(I98)))</f>
        <v/>
      </c>
      <c r="R98" s="11">
        <f>O98-Q98</f>
        <v/>
      </c>
    </row>
    <row r="99">
      <c r="A99" s="7" t="inlineStr">
        <is>
          <t>900008596</t>
        </is>
      </c>
      <c r="B99" s="8" t="inlineStr">
        <is>
          <t>SF TP BANCO LA LUZ</t>
        </is>
      </c>
      <c r="C99" s="7" t="inlineStr">
        <is>
          <t>D846</t>
        </is>
      </c>
      <c r="D99" s="7" t="inlineStr">
        <is>
          <t>67234529</t>
        </is>
      </c>
      <c r="E99" s="7" t="inlineStr"/>
      <c r="F99" s="8" t="inlineStr"/>
      <c r="G99" s="8" t="inlineStr">
        <is>
          <t>10228149</t>
        </is>
      </c>
      <c r="H99" s="8" t="inlineStr">
        <is>
          <t>ARENA TRITURADA BASALTO MALLA 4</t>
        </is>
      </c>
      <c r="I99" s="9" t="n">
        <v>1717</v>
      </c>
      <c r="J99" s="7" t="inlineStr">
        <is>
          <t>20240425</t>
        </is>
      </c>
      <c r="K99" s="7" t="inlineStr">
        <is>
          <t>20240814</t>
        </is>
      </c>
      <c r="L99" s="10" t="n">
        <v>216</v>
      </c>
      <c r="M99" s="10" t="n"/>
      <c r="N99" s="7" t="inlineStr">
        <is>
          <t>M3</t>
        </is>
      </c>
      <c r="O99" s="10" t="n">
        <v>187</v>
      </c>
      <c r="P99" s="7" t="inlineStr">
        <is>
          <t>M3</t>
        </is>
      </c>
      <c r="Q99" s="10">
        <f>IF(AND(N99="TN",P99="TN"),L99+N(M99),IF(E99&amp;""="1",N(I99)*L99,(L99+N(M99))*N(I99)))</f>
        <v/>
      </c>
      <c r="R99" s="11">
        <f>O99-Q99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900005110</t>
        </is>
      </c>
      <c r="B2" t="inlineStr">
        <is>
          <t>D846</t>
        </is>
      </c>
      <c r="C2" t="inlineStr">
        <is>
          <t>65604651</t>
        </is>
      </c>
      <c r="D2" t="inlineStr">
        <is>
          <t>10000382</t>
        </is>
      </c>
      <c r="E2" t="inlineStr"/>
      <c r="F2" s="12" t="n">
        <v>90.09999999999999</v>
      </c>
      <c r="G2" t="inlineStr"/>
      <c r="I2" t="inlineStr">
        <is>
          <t>TN</t>
        </is>
      </c>
      <c r="J2" t="inlineStr"/>
      <c r="K2" t="inlineStr">
        <is>
          <t>20170210</t>
        </is>
      </c>
      <c r="L2" t="inlineStr">
        <is>
          <t>20241206</t>
        </is>
      </c>
    </row>
    <row r="3">
      <c r="A3" t="inlineStr">
        <is>
          <t>900006180</t>
        </is>
      </c>
      <c r="B3" t="inlineStr">
        <is>
          <t>D846</t>
        </is>
      </c>
      <c r="C3" t="inlineStr">
        <is>
          <t>66868659</t>
        </is>
      </c>
      <c r="D3" t="inlineStr">
        <is>
          <t>10169742</t>
        </is>
      </c>
      <c r="E3" t="inlineStr"/>
      <c r="F3" s="12" t="n">
        <v>165</v>
      </c>
      <c r="G3" t="inlineStr"/>
      <c r="I3" t="inlineStr">
        <is>
          <t>M3</t>
        </is>
      </c>
      <c r="J3" t="inlineStr"/>
      <c r="K3" t="inlineStr">
        <is>
          <t>20170210</t>
        </is>
      </c>
      <c r="L3" t="inlineStr">
        <is>
          <t>20241206</t>
        </is>
      </c>
    </row>
    <row r="4">
      <c r="A4" t="inlineStr">
        <is>
          <t>900006262</t>
        </is>
      </c>
      <c r="B4" t="inlineStr">
        <is>
          <t>D846</t>
        </is>
      </c>
      <c r="C4" t="inlineStr">
        <is>
          <t>66794395</t>
        </is>
      </c>
      <c r="D4" t="inlineStr">
        <is>
          <t>10000313</t>
        </is>
      </c>
      <c r="E4" t="inlineStr"/>
      <c r="F4" s="12" t="n">
        <v>282</v>
      </c>
      <c r="G4" t="inlineStr"/>
      <c r="I4" t="inlineStr">
        <is>
          <t>M3</t>
        </is>
      </c>
      <c r="J4" t="inlineStr"/>
      <c r="K4" t="inlineStr">
        <is>
          <t>20170210</t>
        </is>
      </c>
      <c r="L4" t="inlineStr">
        <is>
          <t>20241206</t>
        </is>
      </c>
    </row>
    <row r="5">
      <c r="A5" t="inlineStr">
        <is>
          <t>900006262</t>
        </is>
      </c>
      <c r="B5" t="inlineStr">
        <is>
          <t>D846</t>
        </is>
      </c>
      <c r="C5" t="inlineStr">
        <is>
          <t>66794395</t>
        </is>
      </c>
      <c r="D5" t="inlineStr">
        <is>
          <t>10000755</t>
        </is>
      </c>
      <c r="E5" t="inlineStr"/>
      <c r="F5" s="12" t="n">
        <v>185</v>
      </c>
      <c r="G5" t="inlineStr"/>
      <c r="I5" t="inlineStr">
        <is>
          <t>M3</t>
        </is>
      </c>
      <c r="J5" t="inlineStr"/>
      <c r="K5" t="inlineStr">
        <is>
          <t>20170210</t>
        </is>
      </c>
      <c r="L5" t="inlineStr">
        <is>
          <t>20241206</t>
        </is>
      </c>
    </row>
    <row r="6">
      <c r="A6" t="inlineStr">
        <is>
          <t>900006262</t>
        </is>
      </c>
      <c r="B6" t="inlineStr">
        <is>
          <t>D846</t>
        </is>
      </c>
      <c r="C6" t="inlineStr">
        <is>
          <t>66794395</t>
        </is>
      </c>
      <c r="D6" t="inlineStr">
        <is>
          <t>10156739</t>
        </is>
      </c>
      <c r="E6" t="inlineStr"/>
      <c r="F6" s="12" t="n">
        <v>194</v>
      </c>
      <c r="G6" t="inlineStr"/>
      <c r="I6" t="inlineStr">
        <is>
          <t>M3</t>
        </is>
      </c>
      <c r="J6" t="inlineStr"/>
      <c r="K6" t="inlineStr">
        <is>
          <t>20170210</t>
        </is>
      </c>
      <c r="L6" t="inlineStr">
        <is>
          <t>20241206</t>
        </is>
      </c>
    </row>
    <row r="7">
      <c r="A7" t="inlineStr">
        <is>
          <t>900006262</t>
        </is>
      </c>
      <c r="B7" t="inlineStr">
        <is>
          <t>D846</t>
        </is>
      </c>
      <c r="C7" t="inlineStr">
        <is>
          <t>66864630</t>
        </is>
      </c>
      <c r="D7" t="inlineStr">
        <is>
          <t>10000315</t>
        </is>
      </c>
      <c r="E7" t="inlineStr"/>
      <c r="F7" s="12" t="n">
        <v>140.66</v>
      </c>
      <c r="G7" t="inlineStr"/>
      <c r="I7" t="inlineStr">
        <is>
          <t>M3</t>
        </is>
      </c>
      <c r="J7" t="inlineStr"/>
      <c r="K7" t="inlineStr">
        <is>
          <t>20170210</t>
        </is>
      </c>
      <c r="L7" t="inlineStr">
        <is>
          <t>20241206</t>
        </is>
      </c>
    </row>
    <row r="8">
      <c r="A8" t="inlineStr">
        <is>
          <t>900006262</t>
        </is>
      </c>
      <c r="B8" t="inlineStr">
        <is>
          <t>D846</t>
        </is>
      </c>
      <c r="C8" t="inlineStr">
        <is>
          <t>66864630</t>
        </is>
      </c>
      <c r="D8" t="inlineStr">
        <is>
          <t>10000755</t>
        </is>
      </c>
      <c r="E8" t="inlineStr"/>
      <c r="F8" s="12" t="n">
        <v>155.32</v>
      </c>
      <c r="G8" t="inlineStr"/>
      <c r="I8" t="inlineStr">
        <is>
          <t>M3</t>
        </is>
      </c>
      <c r="J8" t="inlineStr"/>
      <c r="K8" t="inlineStr">
        <is>
          <t>20170210</t>
        </is>
      </c>
      <c r="L8" t="inlineStr">
        <is>
          <t>20241206</t>
        </is>
      </c>
    </row>
    <row r="9">
      <c r="A9" t="inlineStr">
        <is>
          <t>900006262</t>
        </is>
      </c>
      <c r="B9" t="inlineStr">
        <is>
          <t>D846</t>
        </is>
      </c>
      <c r="C9" t="inlineStr">
        <is>
          <t>66864630</t>
        </is>
      </c>
      <c r="D9" t="inlineStr">
        <is>
          <t>10156739</t>
        </is>
      </c>
      <c r="E9" t="inlineStr"/>
      <c r="F9" s="12" t="n">
        <v>113.06</v>
      </c>
      <c r="G9" t="inlineStr"/>
      <c r="I9" t="inlineStr">
        <is>
          <t>M3</t>
        </is>
      </c>
      <c r="J9" t="inlineStr"/>
      <c r="K9" t="inlineStr">
        <is>
          <t>20170210</t>
        </is>
      </c>
      <c r="L9" t="inlineStr">
        <is>
          <t>20241206</t>
        </is>
      </c>
    </row>
    <row r="10">
      <c r="A10" t="inlineStr">
        <is>
          <t>900006262</t>
        </is>
      </c>
      <c r="B10" t="inlineStr">
        <is>
          <t>D846</t>
        </is>
      </c>
      <c r="C10" t="inlineStr">
        <is>
          <t>66864631</t>
        </is>
      </c>
      <c r="D10" t="inlineStr">
        <is>
          <t>10000315</t>
        </is>
      </c>
      <c r="E10" t="inlineStr"/>
      <c r="F10" s="12" t="n">
        <v>140.66</v>
      </c>
      <c r="G10" t="inlineStr"/>
      <c r="I10" t="inlineStr">
        <is>
          <t>M3</t>
        </is>
      </c>
      <c r="J10" t="inlineStr"/>
      <c r="K10" t="inlineStr">
        <is>
          <t>20170210</t>
        </is>
      </c>
      <c r="L10" t="inlineStr">
        <is>
          <t>20241206</t>
        </is>
      </c>
    </row>
    <row r="11">
      <c r="A11" t="inlineStr">
        <is>
          <t>900006262</t>
        </is>
      </c>
      <c r="B11" t="inlineStr">
        <is>
          <t>D846</t>
        </is>
      </c>
      <c r="C11" t="inlineStr">
        <is>
          <t>66864631</t>
        </is>
      </c>
      <c r="D11" t="inlineStr">
        <is>
          <t>10000755</t>
        </is>
      </c>
      <c r="E11" t="inlineStr"/>
      <c r="F11" s="12" t="n">
        <v>155.32</v>
      </c>
      <c r="G11" t="inlineStr"/>
      <c r="I11" t="inlineStr">
        <is>
          <t>M3</t>
        </is>
      </c>
      <c r="J11" t="inlineStr"/>
      <c r="K11" t="inlineStr">
        <is>
          <t>20170210</t>
        </is>
      </c>
      <c r="L11" t="inlineStr">
        <is>
          <t>20241206</t>
        </is>
      </c>
    </row>
    <row r="12">
      <c r="A12" t="inlineStr">
        <is>
          <t>900006262</t>
        </is>
      </c>
      <c r="B12" t="inlineStr">
        <is>
          <t>D846</t>
        </is>
      </c>
      <c r="C12" t="inlineStr">
        <is>
          <t>66864631</t>
        </is>
      </c>
      <c r="D12" t="inlineStr">
        <is>
          <t>10156739</t>
        </is>
      </c>
      <c r="E12" t="inlineStr"/>
      <c r="F12" s="12" t="n">
        <v>113.06</v>
      </c>
      <c r="G12" t="inlineStr"/>
      <c r="I12" t="inlineStr">
        <is>
          <t>M3</t>
        </is>
      </c>
      <c r="J12" t="inlineStr"/>
      <c r="K12" t="inlineStr">
        <is>
          <t>20170210</t>
        </is>
      </c>
      <c r="L12" t="inlineStr">
        <is>
          <t>20241206</t>
        </is>
      </c>
    </row>
    <row r="13">
      <c r="A13" t="inlineStr">
        <is>
          <t>900006262</t>
        </is>
      </c>
      <c r="B13" t="inlineStr">
        <is>
          <t>D846</t>
        </is>
      </c>
      <c r="C13" t="inlineStr">
        <is>
          <t>66875000</t>
        </is>
      </c>
      <c r="D13" t="inlineStr">
        <is>
          <t>10000315</t>
        </is>
      </c>
      <c r="E13" t="inlineStr"/>
      <c r="F13" s="12" t="n">
        <v>140.66</v>
      </c>
      <c r="G13" t="inlineStr"/>
      <c r="I13" t="inlineStr">
        <is>
          <t>M3</t>
        </is>
      </c>
      <c r="J13" t="inlineStr"/>
      <c r="K13" t="inlineStr">
        <is>
          <t>20170210</t>
        </is>
      </c>
      <c r="L13" t="inlineStr">
        <is>
          <t>20241206</t>
        </is>
      </c>
    </row>
    <row r="14">
      <c r="A14" t="inlineStr">
        <is>
          <t>900006262</t>
        </is>
      </c>
      <c r="B14" t="inlineStr">
        <is>
          <t>D846</t>
        </is>
      </c>
      <c r="C14" t="inlineStr">
        <is>
          <t>66875000</t>
        </is>
      </c>
      <c r="D14" t="inlineStr">
        <is>
          <t>10000755</t>
        </is>
      </c>
      <c r="E14" t="inlineStr"/>
      <c r="F14" s="12" t="n">
        <v>155.32</v>
      </c>
      <c r="G14" t="inlineStr"/>
      <c r="I14" t="inlineStr">
        <is>
          <t>M3</t>
        </is>
      </c>
      <c r="J14" t="inlineStr"/>
      <c r="K14" t="inlineStr">
        <is>
          <t>20170210</t>
        </is>
      </c>
      <c r="L14" t="inlineStr">
        <is>
          <t>20241206</t>
        </is>
      </c>
    </row>
    <row r="15">
      <c r="A15" t="inlineStr">
        <is>
          <t>900006262</t>
        </is>
      </c>
      <c r="B15" t="inlineStr">
        <is>
          <t>D846</t>
        </is>
      </c>
      <c r="C15" t="inlineStr">
        <is>
          <t>66875000</t>
        </is>
      </c>
      <c r="D15" t="inlineStr">
        <is>
          <t>10156739</t>
        </is>
      </c>
      <c r="E15" t="inlineStr"/>
      <c r="F15" s="12" t="n">
        <v>113.06</v>
      </c>
      <c r="G15" t="inlineStr"/>
      <c r="I15" t="inlineStr">
        <is>
          <t>M3</t>
        </is>
      </c>
      <c r="J15" t="inlineStr"/>
      <c r="K15" t="inlineStr">
        <is>
          <t>20170210</t>
        </is>
      </c>
      <c r="L15" t="inlineStr">
        <is>
          <t>20241206</t>
        </is>
      </c>
    </row>
    <row r="16">
      <c r="A16" t="inlineStr">
        <is>
          <t>900006262</t>
        </is>
      </c>
      <c r="B16" t="inlineStr">
        <is>
          <t>D846</t>
        </is>
      </c>
      <c r="C16" t="inlineStr">
        <is>
          <t>66984618</t>
        </is>
      </c>
      <c r="D16" t="inlineStr">
        <is>
          <t>10000315</t>
        </is>
      </c>
      <c r="E16" t="inlineStr"/>
      <c r="F16" s="12" t="n">
        <v>196</v>
      </c>
      <c r="G16" t="inlineStr"/>
      <c r="I16" t="inlineStr">
        <is>
          <t>M3</t>
        </is>
      </c>
      <c r="J16" t="inlineStr"/>
      <c r="K16" t="inlineStr">
        <is>
          <t>20170210</t>
        </is>
      </c>
      <c r="L16" t="inlineStr">
        <is>
          <t>20241206</t>
        </is>
      </c>
    </row>
    <row r="17">
      <c r="A17" t="inlineStr">
        <is>
          <t>900006262</t>
        </is>
      </c>
      <c r="B17" t="inlineStr">
        <is>
          <t>D846</t>
        </is>
      </c>
      <c r="C17" t="inlineStr">
        <is>
          <t>67061226</t>
        </is>
      </c>
      <c r="D17" t="inlineStr">
        <is>
          <t>10000315</t>
        </is>
      </c>
      <c r="E17" t="inlineStr"/>
      <c r="F17" s="12" t="n">
        <v>231</v>
      </c>
      <c r="G17" t="inlineStr"/>
      <c r="I17" t="inlineStr">
        <is>
          <t>M3</t>
        </is>
      </c>
      <c r="J17" t="inlineStr"/>
      <c r="K17" t="inlineStr">
        <is>
          <t>20170210</t>
        </is>
      </c>
      <c r="L17" t="inlineStr">
        <is>
          <t>20241206</t>
        </is>
      </c>
    </row>
    <row r="18">
      <c r="A18" t="inlineStr">
        <is>
          <t>900006301</t>
        </is>
      </c>
      <c r="B18" t="inlineStr">
        <is>
          <t>D846</t>
        </is>
      </c>
      <c r="C18" t="inlineStr">
        <is>
          <t>66868659</t>
        </is>
      </c>
      <c r="D18" t="inlineStr">
        <is>
          <t>10169742</t>
        </is>
      </c>
      <c r="E18" t="inlineStr"/>
      <c r="F18" s="12" t="n">
        <v>165</v>
      </c>
      <c r="G18" t="inlineStr"/>
      <c r="I18" t="inlineStr">
        <is>
          <t>M3</t>
        </is>
      </c>
      <c r="J18" t="inlineStr"/>
      <c r="K18" t="inlineStr">
        <is>
          <t>20170210</t>
        </is>
      </c>
      <c r="L18" t="inlineStr">
        <is>
          <t>20241206</t>
        </is>
      </c>
    </row>
    <row r="19">
      <c r="A19" t="inlineStr">
        <is>
          <t>900005110</t>
        </is>
      </c>
      <c r="B19" t="inlineStr">
        <is>
          <t>D846</t>
        </is>
      </c>
      <c r="C19" t="inlineStr">
        <is>
          <t>67227012</t>
        </is>
      </c>
      <c r="D19" t="inlineStr">
        <is>
          <t>10058507</t>
        </is>
      </c>
      <c r="E19" t="inlineStr"/>
      <c r="F19" s="12" t="n">
        <v>118</v>
      </c>
      <c r="G19" t="inlineStr"/>
      <c r="I19" t="inlineStr">
        <is>
          <t>TN</t>
        </is>
      </c>
      <c r="J19" t="inlineStr"/>
      <c r="K19" t="inlineStr">
        <is>
          <t>20191211</t>
        </is>
      </c>
      <c r="L19" t="inlineStr">
        <is>
          <t>20251031</t>
        </is>
      </c>
    </row>
    <row r="20">
      <c r="A20" t="inlineStr">
        <is>
          <t>900005110</t>
        </is>
      </c>
      <c r="B20" t="inlineStr">
        <is>
          <t>D846</t>
        </is>
      </c>
      <c r="C20" t="inlineStr">
        <is>
          <t>67234490</t>
        </is>
      </c>
      <c r="D20" t="inlineStr">
        <is>
          <t>10000382</t>
        </is>
      </c>
      <c r="E20" t="inlineStr"/>
      <c r="F20" s="12" t="n">
        <v>151.5</v>
      </c>
      <c r="G20" t="inlineStr"/>
      <c r="I20" t="inlineStr">
        <is>
          <t>TN</t>
        </is>
      </c>
      <c r="J20" t="inlineStr"/>
      <c r="K20" t="inlineStr">
        <is>
          <t>20191211</t>
        </is>
      </c>
      <c r="L20" t="inlineStr">
        <is>
          <t>20251031</t>
        </is>
      </c>
    </row>
    <row r="21">
      <c r="A21" t="inlineStr">
        <is>
          <t>900005110</t>
        </is>
      </c>
      <c r="B21" t="inlineStr">
        <is>
          <t>D846</t>
        </is>
      </c>
      <c r="C21" t="inlineStr">
        <is>
          <t>67234490</t>
        </is>
      </c>
      <c r="D21" t="inlineStr">
        <is>
          <t>10000384</t>
        </is>
      </c>
      <c r="E21" t="inlineStr"/>
      <c r="F21" s="12" t="n">
        <v>88</v>
      </c>
      <c r="G21" t="inlineStr"/>
      <c r="I21" t="inlineStr">
        <is>
          <t>TN</t>
        </is>
      </c>
      <c r="J21" t="inlineStr"/>
      <c r="K21" t="inlineStr">
        <is>
          <t>20191211</t>
        </is>
      </c>
      <c r="L21" t="inlineStr">
        <is>
          <t>20251031</t>
        </is>
      </c>
    </row>
    <row r="22">
      <c r="A22" t="inlineStr">
        <is>
          <t>900005110</t>
        </is>
      </c>
      <c r="B22" t="inlineStr">
        <is>
          <t>D846</t>
        </is>
      </c>
      <c r="C22" t="inlineStr">
        <is>
          <t>67234490</t>
        </is>
      </c>
      <c r="D22" t="inlineStr">
        <is>
          <t>10001077</t>
        </is>
      </c>
      <c r="E22" t="inlineStr"/>
      <c r="F22" s="12" t="n">
        <v>98</v>
      </c>
      <c r="G22" t="inlineStr"/>
      <c r="I22" t="inlineStr">
        <is>
          <t>TN</t>
        </is>
      </c>
      <c r="J22" t="inlineStr"/>
      <c r="K22" t="inlineStr">
        <is>
          <t>20191211</t>
        </is>
      </c>
      <c r="L22" t="inlineStr">
        <is>
          <t>20251031</t>
        </is>
      </c>
    </row>
    <row r="23">
      <c r="A23" t="inlineStr">
        <is>
          <t>900005110</t>
        </is>
      </c>
      <c r="B23" t="inlineStr">
        <is>
          <t>D846</t>
        </is>
      </c>
      <c r="C23" t="inlineStr">
        <is>
          <t>67234490</t>
        </is>
      </c>
      <c r="D23" t="inlineStr">
        <is>
          <t>10058507</t>
        </is>
      </c>
      <c r="E23" t="inlineStr"/>
      <c r="F23" s="12" t="n">
        <v>117</v>
      </c>
      <c r="G23" t="inlineStr"/>
      <c r="I23" t="inlineStr">
        <is>
          <t>TN</t>
        </is>
      </c>
      <c r="J23" t="inlineStr"/>
      <c r="K23" t="inlineStr">
        <is>
          <t>20191211</t>
        </is>
      </c>
      <c r="L23" t="inlineStr">
        <is>
          <t>20251031</t>
        </is>
      </c>
    </row>
    <row r="24">
      <c r="A24" t="inlineStr">
        <is>
          <t>900005110</t>
        </is>
      </c>
      <c r="B24" t="inlineStr">
        <is>
          <t>D846</t>
        </is>
      </c>
      <c r="C24" t="inlineStr">
        <is>
          <t>67234490</t>
        </is>
      </c>
      <c r="D24" t="inlineStr">
        <is>
          <t>10147486</t>
        </is>
      </c>
      <c r="E24" t="inlineStr"/>
      <c r="F24" s="12" t="n">
        <v>98</v>
      </c>
      <c r="G24" t="inlineStr"/>
      <c r="I24" t="inlineStr">
        <is>
          <t>TN</t>
        </is>
      </c>
      <c r="J24" t="inlineStr"/>
      <c r="K24" t="inlineStr">
        <is>
          <t>20191211</t>
        </is>
      </c>
      <c r="L24" t="inlineStr">
        <is>
          <t>20251031</t>
        </is>
      </c>
    </row>
    <row r="25">
      <c r="A25" t="inlineStr">
        <is>
          <t>900005110</t>
        </is>
      </c>
      <c r="B25" t="inlineStr">
        <is>
          <t>D846</t>
        </is>
      </c>
      <c r="C25" t="inlineStr">
        <is>
          <t>67234499</t>
        </is>
      </c>
      <c r="D25" t="inlineStr">
        <is>
          <t>10000382</t>
        </is>
      </c>
      <c r="E25" t="inlineStr"/>
      <c r="F25" s="12" t="n">
        <v>151.5</v>
      </c>
      <c r="G25" t="inlineStr"/>
      <c r="I25" t="inlineStr">
        <is>
          <t>TN</t>
        </is>
      </c>
      <c r="J25" t="inlineStr"/>
      <c r="K25" t="inlineStr">
        <is>
          <t>20191211</t>
        </is>
      </c>
      <c r="L25" t="inlineStr">
        <is>
          <t>20251031</t>
        </is>
      </c>
    </row>
    <row r="26">
      <c r="A26" t="inlineStr">
        <is>
          <t>900005110</t>
        </is>
      </c>
      <c r="B26" t="inlineStr">
        <is>
          <t>D846</t>
        </is>
      </c>
      <c r="C26" t="inlineStr">
        <is>
          <t>67234529</t>
        </is>
      </c>
      <c r="D26" t="inlineStr">
        <is>
          <t>10000382</t>
        </is>
      </c>
      <c r="E26" t="inlineStr"/>
      <c r="F26" s="12" t="n">
        <v>151.5</v>
      </c>
      <c r="G26" t="inlineStr"/>
      <c r="I26" t="inlineStr">
        <is>
          <t>TN</t>
        </is>
      </c>
      <c r="J26" t="inlineStr"/>
      <c r="K26" t="inlineStr">
        <is>
          <t>20191211</t>
        </is>
      </c>
      <c r="L26" t="inlineStr">
        <is>
          <t>20251031</t>
        </is>
      </c>
    </row>
    <row r="27">
      <c r="A27" t="inlineStr">
        <is>
          <t>900005110</t>
        </is>
      </c>
      <c r="B27" t="inlineStr">
        <is>
          <t>D846</t>
        </is>
      </c>
      <c r="C27" t="inlineStr">
        <is>
          <t>67234529</t>
        </is>
      </c>
      <c r="D27" t="inlineStr">
        <is>
          <t>10000384</t>
        </is>
      </c>
      <c r="E27" t="inlineStr"/>
      <c r="F27" s="12" t="n">
        <v>88</v>
      </c>
      <c r="G27" t="inlineStr"/>
      <c r="I27" t="inlineStr">
        <is>
          <t>TN</t>
        </is>
      </c>
      <c r="J27" t="inlineStr"/>
      <c r="K27" t="inlineStr">
        <is>
          <t>20191211</t>
        </is>
      </c>
      <c r="L27" t="inlineStr">
        <is>
          <t>20251031</t>
        </is>
      </c>
    </row>
    <row r="28">
      <c r="A28" t="inlineStr">
        <is>
          <t>900005110</t>
        </is>
      </c>
      <c r="B28" t="inlineStr">
        <is>
          <t>D846</t>
        </is>
      </c>
      <c r="C28" t="inlineStr">
        <is>
          <t>67234529</t>
        </is>
      </c>
      <c r="D28" t="inlineStr">
        <is>
          <t>10001077</t>
        </is>
      </c>
      <c r="E28" t="inlineStr"/>
      <c r="F28" s="12" t="n">
        <v>98</v>
      </c>
      <c r="G28" t="inlineStr"/>
      <c r="I28" t="inlineStr">
        <is>
          <t>TN</t>
        </is>
      </c>
      <c r="J28" t="inlineStr"/>
      <c r="K28" t="inlineStr">
        <is>
          <t>20191211</t>
        </is>
      </c>
      <c r="L28" t="inlineStr">
        <is>
          <t>20251031</t>
        </is>
      </c>
    </row>
    <row r="29">
      <c r="A29" t="inlineStr">
        <is>
          <t>900005110</t>
        </is>
      </c>
      <c r="B29" t="inlineStr">
        <is>
          <t>D846</t>
        </is>
      </c>
      <c r="C29" t="inlineStr">
        <is>
          <t>67234529</t>
        </is>
      </c>
      <c r="D29" t="inlineStr">
        <is>
          <t>10058507</t>
        </is>
      </c>
      <c r="E29" t="inlineStr"/>
      <c r="F29" s="12" t="n">
        <v>117</v>
      </c>
      <c r="G29" t="inlineStr"/>
      <c r="I29" t="inlineStr">
        <is>
          <t>TN</t>
        </is>
      </c>
      <c r="J29" t="inlineStr"/>
      <c r="K29" t="inlineStr">
        <is>
          <t>20191211</t>
        </is>
      </c>
      <c r="L29" t="inlineStr">
        <is>
          <t>20251031</t>
        </is>
      </c>
    </row>
    <row r="30">
      <c r="A30" t="inlineStr">
        <is>
          <t>900005110</t>
        </is>
      </c>
      <c r="B30" t="inlineStr">
        <is>
          <t>D846</t>
        </is>
      </c>
      <c r="C30" t="inlineStr">
        <is>
          <t>67234529</t>
        </is>
      </c>
      <c r="D30" t="inlineStr">
        <is>
          <t>10147486</t>
        </is>
      </c>
      <c r="E30" t="inlineStr"/>
      <c r="F30" s="12" t="n">
        <v>98</v>
      </c>
      <c r="G30" t="inlineStr"/>
      <c r="I30" t="inlineStr">
        <is>
          <t>TN</t>
        </is>
      </c>
      <c r="J30" t="inlineStr"/>
      <c r="K30" t="inlineStr">
        <is>
          <t>20191211</t>
        </is>
      </c>
      <c r="L30" t="inlineStr">
        <is>
          <t>20251031</t>
        </is>
      </c>
    </row>
    <row r="31">
      <c r="A31" t="inlineStr">
        <is>
          <t>900005260</t>
        </is>
      </c>
      <c r="B31" t="inlineStr">
        <is>
          <t>D846</t>
        </is>
      </c>
      <c r="C31" t="inlineStr">
        <is>
          <t>65438157</t>
        </is>
      </c>
      <c r="D31" t="inlineStr">
        <is>
          <t>10000536</t>
        </is>
      </c>
      <c r="E31" t="inlineStr"/>
      <c r="F31" s="12" t="n">
        <v>159</v>
      </c>
      <c r="G31" t="inlineStr"/>
      <c r="I31" t="inlineStr">
        <is>
          <t>TN</t>
        </is>
      </c>
      <c r="J31" t="inlineStr"/>
      <c r="K31" t="inlineStr">
        <is>
          <t>20191211</t>
        </is>
      </c>
      <c r="L31" t="inlineStr">
        <is>
          <t>20251031</t>
        </is>
      </c>
    </row>
    <row r="32">
      <c r="A32" t="inlineStr">
        <is>
          <t>900005260</t>
        </is>
      </c>
      <c r="B32" t="inlineStr">
        <is>
          <t>D846</t>
        </is>
      </c>
      <c r="C32" t="inlineStr">
        <is>
          <t>65438157</t>
        </is>
      </c>
      <c r="D32" t="inlineStr">
        <is>
          <t>10000578</t>
        </is>
      </c>
      <c r="E32" t="inlineStr"/>
      <c r="F32" s="12" t="n">
        <v>159</v>
      </c>
      <c r="G32" t="inlineStr"/>
      <c r="I32" t="inlineStr">
        <is>
          <t>TN</t>
        </is>
      </c>
      <c r="J32" t="inlineStr"/>
      <c r="K32" t="inlineStr">
        <is>
          <t>20191211</t>
        </is>
      </c>
      <c r="L32" t="inlineStr">
        <is>
          <t>20251031</t>
        </is>
      </c>
    </row>
    <row r="33">
      <c r="A33" t="inlineStr">
        <is>
          <t>900005260</t>
        </is>
      </c>
      <c r="B33" t="inlineStr">
        <is>
          <t>D846</t>
        </is>
      </c>
      <c r="C33" t="inlineStr">
        <is>
          <t>65438157</t>
        </is>
      </c>
      <c r="D33" t="inlineStr">
        <is>
          <t>10000617</t>
        </is>
      </c>
      <c r="E33" t="inlineStr"/>
      <c r="F33" s="12" t="n">
        <v>169</v>
      </c>
      <c r="G33" t="inlineStr"/>
      <c r="I33" t="inlineStr">
        <is>
          <t>TN</t>
        </is>
      </c>
      <c r="J33" t="inlineStr"/>
      <c r="K33" t="inlineStr">
        <is>
          <t>20191211</t>
        </is>
      </c>
      <c r="L33" t="inlineStr">
        <is>
          <t>20251031</t>
        </is>
      </c>
    </row>
    <row r="34">
      <c r="A34" t="inlineStr">
        <is>
          <t>900005260</t>
        </is>
      </c>
      <c r="B34" t="inlineStr">
        <is>
          <t>D846</t>
        </is>
      </c>
      <c r="C34" t="inlineStr">
        <is>
          <t>65438157</t>
        </is>
      </c>
      <c r="D34" t="inlineStr">
        <is>
          <t>10000656</t>
        </is>
      </c>
      <c r="E34" t="inlineStr"/>
      <c r="F34" s="12" t="n">
        <v>166</v>
      </c>
      <c r="G34" t="inlineStr"/>
      <c r="I34" t="inlineStr">
        <is>
          <t>TN</t>
        </is>
      </c>
      <c r="J34" t="inlineStr"/>
      <c r="K34" t="inlineStr">
        <is>
          <t>20191211</t>
        </is>
      </c>
      <c r="L34" t="inlineStr">
        <is>
          <t>20251031</t>
        </is>
      </c>
    </row>
    <row r="35">
      <c r="A35" t="inlineStr">
        <is>
          <t>900005260</t>
        </is>
      </c>
      <c r="B35" t="inlineStr">
        <is>
          <t>D846</t>
        </is>
      </c>
      <c r="C35" t="inlineStr">
        <is>
          <t>65438157</t>
        </is>
      </c>
      <c r="D35" t="inlineStr">
        <is>
          <t>10169508</t>
        </is>
      </c>
      <c r="E35" t="inlineStr"/>
      <c r="F35" s="12" t="n">
        <v>172</v>
      </c>
      <c r="G35" t="inlineStr"/>
      <c r="I35" t="inlineStr">
        <is>
          <t>TN</t>
        </is>
      </c>
      <c r="J35" t="inlineStr"/>
      <c r="K35" t="inlineStr">
        <is>
          <t>20191211</t>
        </is>
      </c>
      <c r="L35" t="inlineStr">
        <is>
          <t>20251031</t>
        </is>
      </c>
    </row>
    <row r="36">
      <c r="A36" t="inlineStr">
        <is>
          <t>900006074</t>
        </is>
      </c>
      <c r="B36" t="inlineStr">
        <is>
          <t>D846</t>
        </is>
      </c>
      <c r="C36" t="inlineStr">
        <is>
          <t>65438157</t>
        </is>
      </c>
      <c r="D36" t="inlineStr">
        <is>
          <t>10000536</t>
        </is>
      </c>
      <c r="E36" t="inlineStr"/>
      <c r="F36" s="12" t="n">
        <v>159</v>
      </c>
      <c r="G36" t="inlineStr"/>
      <c r="I36" t="inlineStr">
        <is>
          <t>TN</t>
        </is>
      </c>
      <c r="J36" t="inlineStr"/>
      <c r="K36" t="inlineStr">
        <is>
          <t>20191211</t>
        </is>
      </c>
      <c r="L36" t="inlineStr">
        <is>
          <t>20251031</t>
        </is>
      </c>
    </row>
    <row r="37">
      <c r="A37" t="inlineStr">
        <is>
          <t>900006074</t>
        </is>
      </c>
      <c r="B37" t="inlineStr">
        <is>
          <t>D846</t>
        </is>
      </c>
      <c r="C37" t="inlineStr">
        <is>
          <t>65438157</t>
        </is>
      </c>
      <c r="D37" t="inlineStr">
        <is>
          <t>10000578</t>
        </is>
      </c>
      <c r="E37" t="inlineStr"/>
      <c r="F37" s="12" t="n">
        <v>159</v>
      </c>
      <c r="G37" t="inlineStr"/>
      <c r="I37" t="inlineStr">
        <is>
          <t>TN</t>
        </is>
      </c>
      <c r="J37" t="inlineStr"/>
      <c r="K37" t="inlineStr">
        <is>
          <t>20191211</t>
        </is>
      </c>
      <c r="L37" t="inlineStr">
        <is>
          <t>20251031</t>
        </is>
      </c>
    </row>
    <row r="38">
      <c r="A38" t="inlineStr">
        <is>
          <t>900006074</t>
        </is>
      </c>
      <c r="B38" t="inlineStr">
        <is>
          <t>D846</t>
        </is>
      </c>
      <c r="C38" t="inlineStr">
        <is>
          <t>65438157</t>
        </is>
      </c>
      <c r="D38" t="inlineStr">
        <is>
          <t>10000617</t>
        </is>
      </c>
      <c r="E38" t="inlineStr"/>
      <c r="F38" s="12" t="n">
        <v>169</v>
      </c>
      <c r="G38" t="inlineStr"/>
      <c r="I38" t="inlineStr">
        <is>
          <t>TN</t>
        </is>
      </c>
      <c r="J38" t="inlineStr"/>
      <c r="K38" t="inlineStr">
        <is>
          <t>20191211</t>
        </is>
      </c>
      <c r="L38" t="inlineStr">
        <is>
          <t>20251031</t>
        </is>
      </c>
    </row>
    <row r="39">
      <c r="A39" t="inlineStr">
        <is>
          <t>900006074</t>
        </is>
      </c>
      <c r="B39" t="inlineStr">
        <is>
          <t>D846</t>
        </is>
      </c>
      <c r="C39" t="inlineStr">
        <is>
          <t>65438157</t>
        </is>
      </c>
      <c r="D39" t="inlineStr">
        <is>
          <t>10000656</t>
        </is>
      </c>
      <c r="E39" t="inlineStr"/>
      <c r="F39" s="12" t="n">
        <v>166</v>
      </c>
      <c r="G39" t="inlineStr"/>
      <c r="I39" t="inlineStr">
        <is>
          <t>TN</t>
        </is>
      </c>
      <c r="J39" t="inlineStr"/>
      <c r="K39" t="inlineStr">
        <is>
          <t>20191211</t>
        </is>
      </c>
      <c r="L39" t="inlineStr">
        <is>
          <t>20251031</t>
        </is>
      </c>
    </row>
    <row r="40">
      <c r="A40" t="inlineStr">
        <is>
          <t>900006074</t>
        </is>
      </c>
      <c r="B40" t="inlineStr">
        <is>
          <t>D846</t>
        </is>
      </c>
      <c r="C40" t="inlineStr">
        <is>
          <t>65438157</t>
        </is>
      </c>
      <c r="D40" t="inlineStr">
        <is>
          <t>10169508</t>
        </is>
      </c>
      <c r="E40" t="inlineStr"/>
      <c r="F40" s="12" t="n">
        <v>172</v>
      </c>
      <c r="G40" t="inlineStr"/>
      <c r="I40" t="inlineStr">
        <is>
          <t>TN</t>
        </is>
      </c>
      <c r="J40" t="inlineStr"/>
      <c r="K40" t="inlineStr">
        <is>
          <t>20191211</t>
        </is>
      </c>
      <c r="L40" t="inlineStr">
        <is>
          <t>20251031</t>
        </is>
      </c>
    </row>
    <row r="41">
      <c r="A41" t="inlineStr">
        <is>
          <t>900008596</t>
        </is>
      </c>
      <c r="B41" t="inlineStr">
        <is>
          <t>D846</t>
        </is>
      </c>
      <c r="C41" t="inlineStr">
        <is>
          <t>67228508</t>
        </is>
      </c>
      <c r="D41" t="inlineStr">
        <is>
          <t>10058507</t>
        </is>
      </c>
      <c r="E41" t="inlineStr"/>
      <c r="F41" s="12" t="n">
        <v>216</v>
      </c>
      <c r="G41" t="inlineStr"/>
      <c r="I41" t="inlineStr">
        <is>
          <t>M3</t>
        </is>
      </c>
      <c r="J41" t="inlineStr"/>
      <c r="K41" t="inlineStr">
        <is>
          <t>20191211</t>
        </is>
      </c>
      <c r="L41" t="inlineStr">
        <is>
          <t>20251031</t>
        </is>
      </c>
    </row>
    <row r="42">
      <c r="A42" t="inlineStr">
        <is>
          <t>900008596</t>
        </is>
      </c>
      <c r="B42" t="inlineStr">
        <is>
          <t>D846</t>
        </is>
      </c>
      <c r="C42" t="inlineStr">
        <is>
          <t>67234490</t>
        </is>
      </c>
      <c r="D42" t="inlineStr">
        <is>
          <t>10000231</t>
        </is>
      </c>
      <c r="E42" t="inlineStr"/>
      <c r="F42" s="12" t="n">
        <v>230</v>
      </c>
      <c r="G42" t="inlineStr"/>
      <c r="I42" t="inlineStr">
        <is>
          <t>M3</t>
        </is>
      </c>
      <c r="J42" t="inlineStr"/>
      <c r="K42" t="inlineStr">
        <is>
          <t>20191211</t>
        </is>
      </c>
      <c r="L42" t="inlineStr">
        <is>
          <t>20251031</t>
        </is>
      </c>
    </row>
    <row r="43">
      <c r="A43" t="inlineStr">
        <is>
          <t>900008596</t>
        </is>
      </c>
      <c r="B43" t="inlineStr">
        <is>
          <t>D846</t>
        </is>
      </c>
      <c r="C43" t="inlineStr">
        <is>
          <t>67234490</t>
        </is>
      </c>
      <c r="D43" t="inlineStr">
        <is>
          <t>10000570</t>
        </is>
      </c>
      <c r="E43" t="inlineStr"/>
      <c r="F43" s="12" t="n">
        <v>216</v>
      </c>
      <c r="G43" t="inlineStr"/>
      <c r="I43" t="inlineStr">
        <is>
          <t>M3</t>
        </is>
      </c>
      <c r="J43" t="inlineStr"/>
      <c r="K43" t="inlineStr">
        <is>
          <t>20191211</t>
        </is>
      </c>
      <c r="L43" t="inlineStr">
        <is>
          <t>20251031</t>
        </is>
      </c>
    </row>
    <row r="44">
      <c r="A44" t="inlineStr">
        <is>
          <t>900008596</t>
        </is>
      </c>
      <c r="B44" t="inlineStr">
        <is>
          <t>D846</t>
        </is>
      </c>
      <c r="C44" t="inlineStr">
        <is>
          <t>67234490</t>
        </is>
      </c>
      <c r="D44" t="inlineStr">
        <is>
          <t>10058507</t>
        </is>
      </c>
      <c r="E44" t="inlineStr"/>
      <c r="F44" s="12" t="n">
        <v>216</v>
      </c>
      <c r="G44" t="inlineStr"/>
      <c r="I44" t="inlineStr">
        <is>
          <t>M3</t>
        </is>
      </c>
      <c r="J44" t="inlineStr"/>
      <c r="K44" t="inlineStr">
        <is>
          <t>20191211</t>
        </is>
      </c>
      <c r="L44" t="inlineStr">
        <is>
          <t>20251031</t>
        </is>
      </c>
    </row>
    <row r="45">
      <c r="A45" t="inlineStr">
        <is>
          <t>900008596</t>
        </is>
      </c>
      <c r="B45" t="inlineStr">
        <is>
          <t>D846</t>
        </is>
      </c>
      <c r="C45" t="inlineStr">
        <is>
          <t>67234490</t>
        </is>
      </c>
      <c r="D45" t="inlineStr">
        <is>
          <t>10228149</t>
        </is>
      </c>
      <c r="E45" t="inlineStr"/>
      <c r="F45" s="12" t="n">
        <v>216</v>
      </c>
      <c r="G45" t="inlineStr"/>
      <c r="I45" t="inlineStr">
        <is>
          <t>M3</t>
        </is>
      </c>
      <c r="J45" t="inlineStr"/>
      <c r="K45" t="inlineStr">
        <is>
          <t>20191211</t>
        </is>
      </c>
      <c r="L45" t="inlineStr">
        <is>
          <t>20251031</t>
        </is>
      </c>
    </row>
    <row r="46">
      <c r="A46" t="inlineStr">
        <is>
          <t>900008596</t>
        </is>
      </c>
      <c r="B46" t="inlineStr">
        <is>
          <t>D846</t>
        </is>
      </c>
      <c r="C46" t="inlineStr">
        <is>
          <t>67234499</t>
        </is>
      </c>
      <c r="D46" t="inlineStr">
        <is>
          <t>10000231</t>
        </is>
      </c>
      <c r="E46" t="inlineStr"/>
      <c r="F46" s="12" t="n">
        <v>230</v>
      </c>
      <c r="G46" t="inlineStr"/>
      <c r="I46" t="inlineStr">
        <is>
          <t>M3</t>
        </is>
      </c>
      <c r="J46" t="inlineStr"/>
      <c r="K46" t="inlineStr">
        <is>
          <t>20191211</t>
        </is>
      </c>
      <c r="L46" t="inlineStr">
        <is>
          <t>20251031</t>
        </is>
      </c>
    </row>
    <row r="47">
      <c r="A47" t="inlineStr">
        <is>
          <t>900008596</t>
        </is>
      </c>
      <c r="B47" t="inlineStr">
        <is>
          <t>D846</t>
        </is>
      </c>
      <c r="C47" t="inlineStr">
        <is>
          <t>67234499</t>
        </is>
      </c>
      <c r="D47" t="inlineStr">
        <is>
          <t>10000570</t>
        </is>
      </c>
      <c r="E47" t="inlineStr"/>
      <c r="F47" s="12" t="n">
        <v>216</v>
      </c>
      <c r="G47" t="inlineStr"/>
      <c r="I47" t="inlineStr">
        <is>
          <t>M3</t>
        </is>
      </c>
      <c r="J47" t="inlineStr"/>
      <c r="K47" t="inlineStr">
        <is>
          <t>20191211</t>
        </is>
      </c>
      <c r="L47" t="inlineStr">
        <is>
          <t>20251031</t>
        </is>
      </c>
    </row>
    <row r="48">
      <c r="A48" t="inlineStr">
        <is>
          <t>900008596</t>
        </is>
      </c>
      <c r="B48" t="inlineStr">
        <is>
          <t>D846</t>
        </is>
      </c>
      <c r="C48" t="inlineStr">
        <is>
          <t>67234499</t>
        </is>
      </c>
      <c r="D48" t="inlineStr">
        <is>
          <t>10228149</t>
        </is>
      </c>
      <c r="E48" t="inlineStr"/>
      <c r="F48" s="12" t="n">
        <v>216</v>
      </c>
      <c r="G48" t="inlineStr"/>
      <c r="I48" t="inlineStr">
        <is>
          <t>M3</t>
        </is>
      </c>
      <c r="J48" t="inlineStr"/>
      <c r="K48" t="inlineStr">
        <is>
          <t>20191211</t>
        </is>
      </c>
      <c r="L48" t="inlineStr">
        <is>
          <t>20251031</t>
        </is>
      </c>
    </row>
    <row r="49">
      <c r="A49" t="inlineStr">
        <is>
          <t>900008596</t>
        </is>
      </c>
      <c r="B49" t="inlineStr">
        <is>
          <t>D846</t>
        </is>
      </c>
      <c r="C49" t="inlineStr">
        <is>
          <t>67234529</t>
        </is>
      </c>
      <c r="D49" t="inlineStr">
        <is>
          <t>10000231</t>
        </is>
      </c>
      <c r="E49" t="inlineStr"/>
      <c r="F49" s="12" t="n">
        <v>230</v>
      </c>
      <c r="G49" t="inlineStr"/>
      <c r="I49" t="inlineStr">
        <is>
          <t>M3</t>
        </is>
      </c>
      <c r="J49" t="inlineStr"/>
      <c r="K49" t="inlineStr">
        <is>
          <t>20191211</t>
        </is>
      </c>
      <c r="L49" t="inlineStr">
        <is>
          <t>20251031</t>
        </is>
      </c>
    </row>
    <row r="50">
      <c r="A50" t="inlineStr">
        <is>
          <t>900008596</t>
        </is>
      </c>
      <c r="B50" t="inlineStr">
        <is>
          <t>D846</t>
        </is>
      </c>
      <c r="C50" t="inlineStr">
        <is>
          <t>67234529</t>
        </is>
      </c>
      <c r="D50" t="inlineStr">
        <is>
          <t>10000570</t>
        </is>
      </c>
      <c r="E50" t="inlineStr"/>
      <c r="F50" s="12" t="n">
        <v>216</v>
      </c>
      <c r="G50" t="inlineStr"/>
      <c r="I50" t="inlineStr">
        <is>
          <t>M3</t>
        </is>
      </c>
      <c r="J50" t="inlineStr"/>
      <c r="K50" t="inlineStr">
        <is>
          <t>20191211</t>
        </is>
      </c>
      <c r="L50" t="inlineStr">
        <is>
          <t>20251031</t>
        </is>
      </c>
    </row>
    <row r="51">
      <c r="A51" t="inlineStr">
        <is>
          <t>900008596</t>
        </is>
      </c>
      <c r="B51" t="inlineStr">
        <is>
          <t>D846</t>
        </is>
      </c>
      <c r="C51" t="inlineStr">
        <is>
          <t>67234529</t>
        </is>
      </c>
      <c r="D51" t="inlineStr">
        <is>
          <t>10058507</t>
        </is>
      </c>
      <c r="E51" t="inlineStr"/>
      <c r="F51" s="12" t="n">
        <v>216</v>
      </c>
      <c r="G51" t="inlineStr"/>
      <c r="I51" t="inlineStr">
        <is>
          <t>M3</t>
        </is>
      </c>
      <c r="J51" t="inlineStr"/>
      <c r="K51" t="inlineStr">
        <is>
          <t>20191211</t>
        </is>
      </c>
      <c r="L51" t="inlineStr">
        <is>
          <t>20251031</t>
        </is>
      </c>
    </row>
    <row r="52">
      <c r="A52" t="inlineStr">
        <is>
          <t>900008596</t>
        </is>
      </c>
      <c r="B52" t="inlineStr">
        <is>
          <t>D846</t>
        </is>
      </c>
      <c r="C52" t="inlineStr">
        <is>
          <t>67234529</t>
        </is>
      </c>
      <c r="D52" t="inlineStr">
        <is>
          <t>10228149</t>
        </is>
      </c>
      <c r="E52" t="inlineStr"/>
      <c r="F52" s="12" t="n">
        <v>216</v>
      </c>
      <c r="G52" t="inlineStr"/>
      <c r="I52" t="inlineStr">
        <is>
          <t>M3</t>
        </is>
      </c>
      <c r="J52" t="inlineStr"/>
      <c r="K52" t="inlineStr">
        <is>
          <t>20191211</t>
        </is>
      </c>
      <c r="L52" t="inlineStr">
        <is>
          <t>20251031</t>
        </is>
      </c>
    </row>
    <row r="53">
      <c r="A53" t="inlineStr">
        <is>
          <t>900005110</t>
        </is>
      </c>
      <c r="B53" t="inlineStr">
        <is>
          <t>D846</t>
        </is>
      </c>
      <c r="C53" t="inlineStr">
        <is>
          <t>67234499</t>
        </is>
      </c>
      <c r="D53" t="inlineStr">
        <is>
          <t>10000384</t>
        </is>
      </c>
      <c r="E53" t="inlineStr"/>
      <c r="F53" s="12" t="n">
        <v>88</v>
      </c>
      <c r="G53" t="inlineStr"/>
      <c r="I53" t="inlineStr">
        <is>
          <t>TN</t>
        </is>
      </c>
      <c r="J53" t="inlineStr"/>
      <c r="K53" t="inlineStr">
        <is>
          <t>20240919</t>
        </is>
      </c>
      <c r="L53" t="inlineStr">
        <is>
          <t>99991231</t>
        </is>
      </c>
    </row>
    <row r="54">
      <c r="A54" t="inlineStr">
        <is>
          <t>900005110</t>
        </is>
      </c>
      <c r="B54" t="inlineStr">
        <is>
          <t>D846</t>
        </is>
      </c>
      <c r="C54" t="inlineStr">
        <is>
          <t>67234499</t>
        </is>
      </c>
      <c r="D54" t="inlineStr">
        <is>
          <t>10001077</t>
        </is>
      </c>
      <c r="E54" t="inlineStr"/>
      <c r="F54" s="12" t="n">
        <v>98</v>
      </c>
      <c r="G54" t="inlineStr"/>
      <c r="I54" t="inlineStr">
        <is>
          <t>TN</t>
        </is>
      </c>
      <c r="J54" t="inlineStr"/>
      <c r="K54" t="inlineStr">
        <is>
          <t>20240925</t>
        </is>
      </c>
      <c r="L54" t="inlineStr">
        <is>
          <t>99991231</t>
        </is>
      </c>
    </row>
    <row r="55">
      <c r="A55" t="inlineStr">
        <is>
          <t>900005110</t>
        </is>
      </c>
      <c r="B55" t="inlineStr">
        <is>
          <t>D846</t>
        </is>
      </c>
      <c r="C55" t="inlineStr">
        <is>
          <t>67234499</t>
        </is>
      </c>
      <c r="D55" t="inlineStr">
        <is>
          <t>10058507</t>
        </is>
      </c>
      <c r="E55" t="inlineStr"/>
      <c r="F55" s="12" t="n">
        <v>117</v>
      </c>
      <c r="G55" t="inlineStr"/>
      <c r="I55" t="inlineStr">
        <is>
          <t>TN</t>
        </is>
      </c>
      <c r="J55" t="inlineStr"/>
      <c r="K55" t="inlineStr">
        <is>
          <t>20240712</t>
        </is>
      </c>
      <c r="L55" t="inlineStr">
        <is>
          <t>99991231</t>
        </is>
      </c>
    </row>
    <row r="56">
      <c r="A56" t="inlineStr">
        <is>
          <t>900005110</t>
        </is>
      </c>
      <c r="B56" t="inlineStr">
        <is>
          <t>D846</t>
        </is>
      </c>
      <c r="C56" t="inlineStr">
        <is>
          <t>67234499</t>
        </is>
      </c>
      <c r="D56" t="inlineStr">
        <is>
          <t>10147486</t>
        </is>
      </c>
      <c r="E56" t="inlineStr"/>
      <c r="F56" s="12" t="n">
        <v>98</v>
      </c>
      <c r="G56" t="inlineStr"/>
      <c r="I56" t="inlineStr">
        <is>
          <t>TN</t>
        </is>
      </c>
      <c r="J56" t="inlineStr"/>
      <c r="K56" t="inlineStr">
        <is>
          <t>20240925</t>
        </is>
      </c>
      <c r="L56" t="inlineStr">
        <is>
          <t>99991231</t>
        </is>
      </c>
    </row>
    <row r="57">
      <c r="A57" t="inlineStr">
        <is>
          <t>900005110</t>
        </is>
      </c>
      <c r="B57" t="inlineStr">
        <is>
          <t>D846</t>
        </is>
      </c>
      <c r="C57" t="inlineStr">
        <is>
          <t>67280490</t>
        </is>
      </c>
      <c r="D57" t="inlineStr">
        <is>
          <t>10000384</t>
        </is>
      </c>
      <c r="E57" t="inlineStr"/>
      <c r="F57" s="12" t="n">
        <v>110</v>
      </c>
      <c r="G57" t="inlineStr"/>
      <c r="I57" t="inlineStr">
        <is>
          <t>TN</t>
        </is>
      </c>
      <c r="J57" t="inlineStr"/>
      <c r="K57" t="inlineStr">
        <is>
          <t>20241112</t>
        </is>
      </c>
      <c r="L57" t="inlineStr">
        <is>
          <t>99991231</t>
        </is>
      </c>
    </row>
    <row r="58">
      <c r="A58" t="inlineStr">
        <is>
          <t>900007331</t>
        </is>
      </c>
      <c r="B58" t="inlineStr">
        <is>
          <t>D846</t>
        </is>
      </c>
      <c r="C58" t="inlineStr">
        <is>
          <t>67327618</t>
        </is>
      </c>
      <c r="D58" t="inlineStr">
        <is>
          <t>10058507</t>
        </is>
      </c>
      <c r="E58" t="inlineStr"/>
      <c r="F58" s="12" t="n">
        <v>169</v>
      </c>
      <c r="G58" t="inlineStr"/>
      <c r="I58" t="inlineStr">
        <is>
          <t>TN</t>
        </is>
      </c>
      <c r="J58" t="inlineStr"/>
      <c r="K58" t="inlineStr">
        <is>
          <t>20251217</t>
        </is>
      </c>
      <c r="L58" t="inlineStr">
        <is>
          <t>99991231</t>
        </is>
      </c>
    </row>
    <row r="59">
      <c r="A59" t="inlineStr">
        <is>
          <t>900008596</t>
        </is>
      </c>
      <c r="B59" t="inlineStr">
        <is>
          <t>D846</t>
        </is>
      </c>
      <c r="C59" t="inlineStr">
        <is>
          <t>67234499</t>
        </is>
      </c>
      <c r="D59" t="inlineStr">
        <is>
          <t>10058507</t>
        </is>
      </c>
      <c r="E59" t="inlineStr"/>
      <c r="F59" s="12" t="n">
        <v>216</v>
      </c>
      <c r="G59" t="inlineStr"/>
      <c r="I59" t="inlineStr">
        <is>
          <t>M3</t>
        </is>
      </c>
      <c r="J59" t="inlineStr"/>
      <c r="K59" t="inlineStr">
        <is>
          <t>20240425</t>
        </is>
      </c>
      <c r="L59" t="inlineStr">
        <is>
          <t>99991231</t>
        </is>
      </c>
    </row>
    <row r="60">
      <c r="A60" t="inlineStr">
        <is>
          <t>900009311</t>
        </is>
      </c>
      <c r="B60" t="inlineStr">
        <is>
          <t>D846</t>
        </is>
      </c>
      <c r="C60" t="inlineStr">
        <is>
          <t>67327618</t>
        </is>
      </c>
      <c r="D60" t="inlineStr">
        <is>
          <t>10058507</t>
        </is>
      </c>
      <c r="E60" t="inlineStr"/>
      <c r="F60" s="12" t="n">
        <v>255</v>
      </c>
      <c r="G60" t="inlineStr"/>
      <c r="I60" t="inlineStr">
        <is>
          <t>M3</t>
        </is>
      </c>
      <c r="J60" t="inlineStr"/>
      <c r="K60" t="inlineStr">
        <is>
          <t>20251128</t>
        </is>
      </c>
      <c r="L60" t="inlineStr">
        <is>
          <t>99991231</t>
        </is>
      </c>
    </row>
    <row r="61">
      <c r="A61" t="inlineStr">
        <is>
          <t>900005110</t>
        </is>
      </c>
      <c r="B61" t="inlineStr">
        <is>
          <t>D846</t>
        </is>
      </c>
      <c r="C61" t="inlineStr">
        <is>
          <t>67234490</t>
        </is>
      </c>
      <c r="D61" t="inlineStr">
        <is>
          <t>10000382</t>
        </is>
      </c>
      <c r="E61" t="inlineStr"/>
      <c r="F61" s="12" t="n">
        <v>151.5</v>
      </c>
      <c r="G61" t="inlineStr"/>
      <c r="I61" t="inlineStr">
        <is>
          <t>TN</t>
        </is>
      </c>
      <c r="J61" t="inlineStr"/>
      <c r="K61" t="inlineStr">
        <is>
          <t>20240813</t>
        </is>
      </c>
      <c r="L61" t="inlineStr">
        <is>
          <t>20241108</t>
        </is>
      </c>
    </row>
    <row r="62">
      <c r="A62" t="inlineStr">
        <is>
          <t>900005110</t>
        </is>
      </c>
      <c r="B62" t="inlineStr">
        <is>
          <t>D846</t>
        </is>
      </c>
      <c r="C62" t="inlineStr">
        <is>
          <t>67234490</t>
        </is>
      </c>
      <c r="D62" t="inlineStr">
        <is>
          <t>10000384</t>
        </is>
      </c>
      <c r="E62" t="inlineStr"/>
      <c r="F62" s="12" t="n">
        <v>88</v>
      </c>
      <c r="G62" t="inlineStr"/>
      <c r="I62" t="inlineStr">
        <is>
          <t>TN</t>
        </is>
      </c>
      <c r="J62" t="inlineStr"/>
      <c r="K62" t="inlineStr">
        <is>
          <t>20250505</t>
        </is>
      </c>
      <c r="L62" t="inlineStr">
        <is>
          <t>20250507</t>
        </is>
      </c>
    </row>
    <row r="63">
      <c r="A63" t="inlineStr">
        <is>
          <t>900005110</t>
        </is>
      </c>
      <c r="B63" t="inlineStr">
        <is>
          <t>D846</t>
        </is>
      </c>
      <c r="C63" t="inlineStr">
        <is>
          <t>67234490</t>
        </is>
      </c>
      <c r="D63" t="inlineStr">
        <is>
          <t>10001077</t>
        </is>
      </c>
      <c r="E63" t="inlineStr"/>
      <c r="F63" s="12" t="n">
        <v>98</v>
      </c>
      <c r="G63" t="inlineStr"/>
      <c r="I63" t="inlineStr">
        <is>
          <t>TN</t>
        </is>
      </c>
      <c r="J63" t="inlineStr"/>
      <c r="K63" t="inlineStr">
        <is>
          <t>20240813</t>
        </is>
      </c>
      <c r="L63" t="inlineStr">
        <is>
          <t>20241108</t>
        </is>
      </c>
    </row>
    <row r="64">
      <c r="A64" t="inlineStr">
        <is>
          <t>900005110</t>
        </is>
      </c>
      <c r="B64" t="inlineStr">
        <is>
          <t>D846</t>
        </is>
      </c>
      <c r="C64" t="inlineStr">
        <is>
          <t>67234490</t>
        </is>
      </c>
      <c r="D64" t="inlineStr">
        <is>
          <t>10058507</t>
        </is>
      </c>
      <c r="E64" t="inlineStr"/>
      <c r="F64" s="12" t="n">
        <v>117</v>
      </c>
      <c r="G64" t="inlineStr"/>
      <c r="I64" t="inlineStr">
        <is>
          <t>TN</t>
        </is>
      </c>
      <c r="J64" t="inlineStr"/>
      <c r="K64" t="inlineStr">
        <is>
          <t>20240425</t>
        </is>
      </c>
      <c r="L64" t="inlineStr">
        <is>
          <t>20240814</t>
        </is>
      </c>
    </row>
    <row r="65">
      <c r="A65" t="inlineStr">
        <is>
          <t>900005110</t>
        </is>
      </c>
      <c r="B65" t="inlineStr">
        <is>
          <t>D846</t>
        </is>
      </c>
      <c r="C65" t="inlineStr">
        <is>
          <t>67234490</t>
        </is>
      </c>
      <c r="D65" t="inlineStr">
        <is>
          <t>10147486</t>
        </is>
      </c>
      <c r="E65" t="inlineStr"/>
      <c r="F65" s="12" t="n">
        <v>98</v>
      </c>
      <c r="G65" t="inlineStr"/>
      <c r="I65" t="inlineStr">
        <is>
          <t>TN</t>
        </is>
      </c>
      <c r="J65" t="inlineStr"/>
      <c r="K65" t="inlineStr">
        <is>
          <t>20240813</t>
        </is>
      </c>
      <c r="L65" t="inlineStr">
        <is>
          <t>20241108</t>
        </is>
      </c>
    </row>
    <row r="66">
      <c r="A66" t="inlineStr">
        <is>
          <t>900005110</t>
        </is>
      </c>
      <c r="B66" t="inlineStr">
        <is>
          <t>D846</t>
        </is>
      </c>
      <c r="C66" t="inlineStr">
        <is>
          <t>67234499</t>
        </is>
      </c>
      <c r="D66" t="inlineStr">
        <is>
          <t>10000382</t>
        </is>
      </c>
      <c r="E66" t="inlineStr"/>
      <c r="F66" s="12" t="n">
        <v>151.5</v>
      </c>
      <c r="G66" t="inlineStr"/>
      <c r="I66" t="inlineStr">
        <is>
          <t>TN</t>
        </is>
      </c>
      <c r="J66" t="inlineStr"/>
      <c r="K66" t="inlineStr">
        <is>
          <t>20250505</t>
        </is>
      </c>
      <c r="L66" t="inlineStr">
        <is>
          <t>20250507</t>
        </is>
      </c>
    </row>
    <row r="67">
      <c r="A67" t="inlineStr">
        <is>
          <t>900005110</t>
        </is>
      </c>
      <c r="B67" t="inlineStr">
        <is>
          <t>D846</t>
        </is>
      </c>
      <c r="C67" t="inlineStr">
        <is>
          <t>67234499</t>
        </is>
      </c>
      <c r="D67" t="inlineStr">
        <is>
          <t>10000384</t>
        </is>
      </c>
      <c r="E67" t="inlineStr"/>
      <c r="F67" s="12" t="n">
        <v>88</v>
      </c>
      <c r="G67" t="inlineStr"/>
      <c r="I67" t="inlineStr">
        <is>
          <t>TN</t>
        </is>
      </c>
      <c r="J67" t="inlineStr"/>
      <c r="K67" t="inlineStr">
        <is>
          <t>20250505</t>
        </is>
      </c>
      <c r="L67" t="inlineStr">
        <is>
          <t>20250507</t>
        </is>
      </c>
    </row>
    <row r="68">
      <c r="A68" t="inlineStr">
        <is>
          <t>900005110</t>
        </is>
      </c>
      <c r="B68" t="inlineStr">
        <is>
          <t>D846</t>
        </is>
      </c>
      <c r="C68" t="inlineStr">
        <is>
          <t>67234499</t>
        </is>
      </c>
      <c r="D68" t="inlineStr">
        <is>
          <t>10001077</t>
        </is>
      </c>
      <c r="E68" t="inlineStr"/>
      <c r="F68" s="12" t="n">
        <v>98</v>
      </c>
      <c r="G68" t="inlineStr"/>
      <c r="I68" t="inlineStr">
        <is>
          <t>TN</t>
        </is>
      </c>
      <c r="J68" t="inlineStr"/>
      <c r="K68" t="inlineStr">
        <is>
          <t>20240813</t>
        </is>
      </c>
      <c r="L68" t="inlineStr">
        <is>
          <t>20241108</t>
        </is>
      </c>
    </row>
    <row r="69">
      <c r="A69" t="inlineStr">
        <is>
          <t>900005110</t>
        </is>
      </c>
      <c r="B69" t="inlineStr">
        <is>
          <t>D846</t>
        </is>
      </c>
      <c r="C69" t="inlineStr">
        <is>
          <t>67234499</t>
        </is>
      </c>
      <c r="D69" t="inlineStr">
        <is>
          <t>10058507</t>
        </is>
      </c>
      <c r="E69" t="inlineStr"/>
      <c r="F69" s="12" t="n">
        <v>117</v>
      </c>
      <c r="G69" t="inlineStr"/>
      <c r="I69" t="inlineStr">
        <is>
          <t>TN</t>
        </is>
      </c>
      <c r="J69" t="inlineStr"/>
      <c r="K69" t="inlineStr">
        <is>
          <t>20240425</t>
        </is>
      </c>
      <c r="L69" t="inlineStr">
        <is>
          <t>20240814</t>
        </is>
      </c>
    </row>
    <row r="70">
      <c r="A70" t="inlineStr">
        <is>
          <t>900005110</t>
        </is>
      </c>
      <c r="B70" t="inlineStr">
        <is>
          <t>D846</t>
        </is>
      </c>
      <c r="C70" t="inlineStr">
        <is>
          <t>67234499</t>
        </is>
      </c>
      <c r="D70" t="inlineStr">
        <is>
          <t>10147486</t>
        </is>
      </c>
      <c r="E70" t="inlineStr"/>
      <c r="F70" s="12" t="n">
        <v>98</v>
      </c>
      <c r="G70" t="inlineStr"/>
      <c r="I70" t="inlineStr">
        <is>
          <t>TN</t>
        </is>
      </c>
      <c r="J70" t="inlineStr"/>
      <c r="K70" t="inlineStr">
        <is>
          <t>20240813</t>
        </is>
      </c>
      <c r="L70" t="inlineStr">
        <is>
          <t>20241108</t>
        </is>
      </c>
    </row>
    <row r="71">
      <c r="A71" t="inlineStr">
        <is>
          <t>900005110</t>
        </is>
      </c>
      <c r="B71" t="inlineStr">
        <is>
          <t>D846</t>
        </is>
      </c>
      <c r="C71" t="inlineStr">
        <is>
          <t>67234529</t>
        </is>
      </c>
      <c r="D71" t="inlineStr">
        <is>
          <t>10000382</t>
        </is>
      </c>
      <c r="E71" t="inlineStr"/>
      <c r="F71" s="12" t="n">
        <v>151.5</v>
      </c>
      <c r="G71" t="inlineStr"/>
      <c r="I71" t="inlineStr">
        <is>
          <t>TN</t>
        </is>
      </c>
      <c r="J71" t="inlineStr"/>
      <c r="K71" t="inlineStr">
        <is>
          <t>20250505</t>
        </is>
      </c>
      <c r="L71" t="inlineStr">
        <is>
          <t>20250507</t>
        </is>
      </c>
    </row>
    <row r="72">
      <c r="A72" t="inlineStr">
        <is>
          <t>900005110</t>
        </is>
      </c>
      <c r="B72" t="inlineStr">
        <is>
          <t>D846</t>
        </is>
      </c>
      <c r="C72" t="inlineStr">
        <is>
          <t>67234529</t>
        </is>
      </c>
      <c r="D72" t="inlineStr">
        <is>
          <t>10000384</t>
        </is>
      </c>
      <c r="E72" t="inlineStr"/>
      <c r="F72" s="12" t="n">
        <v>88</v>
      </c>
      <c r="G72" t="inlineStr"/>
      <c r="I72" t="inlineStr">
        <is>
          <t>TN</t>
        </is>
      </c>
      <c r="J72" t="inlineStr"/>
      <c r="K72" t="inlineStr">
        <is>
          <t>20250505</t>
        </is>
      </c>
      <c r="L72" t="inlineStr">
        <is>
          <t>20250507</t>
        </is>
      </c>
    </row>
    <row r="73">
      <c r="A73" t="inlineStr">
        <is>
          <t>900005110</t>
        </is>
      </c>
      <c r="B73" t="inlineStr">
        <is>
          <t>D846</t>
        </is>
      </c>
      <c r="C73" t="inlineStr">
        <is>
          <t>67234529</t>
        </is>
      </c>
      <c r="D73" t="inlineStr">
        <is>
          <t>10001077</t>
        </is>
      </c>
      <c r="E73" t="inlineStr"/>
      <c r="F73" s="12" t="n">
        <v>98</v>
      </c>
      <c r="G73" t="inlineStr"/>
      <c r="I73" t="inlineStr">
        <is>
          <t>TN</t>
        </is>
      </c>
      <c r="J73" t="inlineStr"/>
      <c r="K73" t="inlineStr">
        <is>
          <t>20240813</t>
        </is>
      </c>
      <c r="L73" t="inlineStr">
        <is>
          <t>20241108</t>
        </is>
      </c>
    </row>
    <row r="74">
      <c r="A74" t="inlineStr">
        <is>
          <t>900005110</t>
        </is>
      </c>
      <c r="B74" t="inlineStr">
        <is>
          <t>D846</t>
        </is>
      </c>
      <c r="C74" t="inlineStr">
        <is>
          <t>67234529</t>
        </is>
      </c>
      <c r="D74" t="inlineStr">
        <is>
          <t>10058507</t>
        </is>
      </c>
      <c r="E74" t="inlineStr"/>
      <c r="F74" s="12" t="n">
        <v>117</v>
      </c>
      <c r="G74" t="inlineStr"/>
      <c r="I74" t="inlineStr">
        <is>
          <t>TN</t>
        </is>
      </c>
      <c r="J74" t="inlineStr"/>
      <c r="K74" t="inlineStr">
        <is>
          <t>20240425</t>
        </is>
      </c>
      <c r="L74" t="inlineStr">
        <is>
          <t>20240814</t>
        </is>
      </c>
    </row>
    <row r="75">
      <c r="A75" t="inlineStr">
        <is>
          <t>900005110</t>
        </is>
      </c>
      <c r="B75" t="inlineStr">
        <is>
          <t>D846</t>
        </is>
      </c>
      <c r="C75" t="inlineStr">
        <is>
          <t>67234529</t>
        </is>
      </c>
      <c r="D75" t="inlineStr">
        <is>
          <t>10147486</t>
        </is>
      </c>
      <c r="E75" t="inlineStr"/>
      <c r="F75" s="12" t="n">
        <v>98</v>
      </c>
      <c r="G75" t="inlineStr"/>
      <c r="I75" t="inlineStr">
        <is>
          <t>TN</t>
        </is>
      </c>
      <c r="J75" t="inlineStr"/>
      <c r="K75" t="inlineStr">
        <is>
          <t>20240813</t>
        </is>
      </c>
      <c r="L75" t="inlineStr">
        <is>
          <t>20241108</t>
        </is>
      </c>
    </row>
    <row r="76">
      <c r="A76" t="inlineStr">
        <is>
          <t>900005110</t>
        </is>
      </c>
      <c r="B76" t="inlineStr">
        <is>
          <t>D846</t>
        </is>
      </c>
      <c r="C76" t="inlineStr">
        <is>
          <t>67280490</t>
        </is>
      </c>
      <c r="D76" t="inlineStr">
        <is>
          <t>10000384</t>
        </is>
      </c>
      <c r="E76" t="inlineStr"/>
      <c r="F76" s="12" t="n">
        <v>110</v>
      </c>
      <c r="G76" t="inlineStr"/>
      <c r="I76" t="inlineStr">
        <is>
          <t>TN</t>
        </is>
      </c>
      <c r="J76" t="inlineStr"/>
      <c r="K76" t="inlineStr">
        <is>
          <t>20250505</t>
        </is>
      </c>
      <c r="L76" t="inlineStr">
        <is>
          <t>20250507</t>
        </is>
      </c>
    </row>
    <row r="77">
      <c r="A77" t="inlineStr">
        <is>
          <t>900005260</t>
        </is>
      </c>
      <c r="B77" t="inlineStr">
        <is>
          <t>D846</t>
        </is>
      </c>
      <c r="C77" t="inlineStr">
        <is>
          <t>65438157</t>
        </is>
      </c>
      <c r="D77" t="inlineStr">
        <is>
          <t>10000536</t>
        </is>
      </c>
      <c r="E77" t="inlineStr"/>
      <c r="F77" s="12" t="n">
        <v>159</v>
      </c>
      <c r="G77" t="inlineStr"/>
      <c r="I77" t="inlineStr">
        <is>
          <t>TN</t>
        </is>
      </c>
      <c r="J77" t="inlineStr"/>
      <c r="K77" t="inlineStr">
        <is>
          <t>20240425</t>
        </is>
      </c>
      <c r="L77" t="inlineStr">
        <is>
          <t>20240814</t>
        </is>
      </c>
    </row>
    <row r="78">
      <c r="A78" t="inlineStr">
        <is>
          <t>900005260</t>
        </is>
      </c>
      <c r="B78" t="inlineStr">
        <is>
          <t>D846</t>
        </is>
      </c>
      <c r="C78" t="inlineStr">
        <is>
          <t>65438157</t>
        </is>
      </c>
      <c r="D78" t="inlineStr">
        <is>
          <t>10000578</t>
        </is>
      </c>
      <c r="E78" t="inlineStr"/>
      <c r="F78" s="12" t="n">
        <v>159</v>
      </c>
      <c r="G78" t="inlineStr"/>
      <c r="I78" t="inlineStr">
        <is>
          <t>TN</t>
        </is>
      </c>
      <c r="J78" t="inlineStr"/>
      <c r="K78" t="inlineStr">
        <is>
          <t>20240425</t>
        </is>
      </c>
      <c r="L78" t="inlineStr">
        <is>
          <t>20240814</t>
        </is>
      </c>
    </row>
    <row r="79">
      <c r="A79" t="inlineStr">
        <is>
          <t>900005260</t>
        </is>
      </c>
      <c r="B79" t="inlineStr">
        <is>
          <t>D846</t>
        </is>
      </c>
      <c r="C79" t="inlineStr">
        <is>
          <t>65438157</t>
        </is>
      </c>
      <c r="D79" t="inlineStr">
        <is>
          <t>10000617</t>
        </is>
      </c>
      <c r="E79" t="inlineStr"/>
      <c r="F79" s="12" t="n">
        <v>169</v>
      </c>
      <c r="G79" t="inlineStr"/>
      <c r="I79" t="inlineStr">
        <is>
          <t>TN</t>
        </is>
      </c>
      <c r="J79" t="inlineStr"/>
      <c r="K79" t="inlineStr">
        <is>
          <t>20240425</t>
        </is>
      </c>
      <c r="L79" t="inlineStr">
        <is>
          <t>20240814</t>
        </is>
      </c>
    </row>
    <row r="80">
      <c r="A80" t="inlineStr">
        <is>
          <t>900005260</t>
        </is>
      </c>
      <c r="B80" t="inlineStr">
        <is>
          <t>D846</t>
        </is>
      </c>
      <c r="C80" t="inlineStr">
        <is>
          <t>65438157</t>
        </is>
      </c>
      <c r="D80" t="inlineStr">
        <is>
          <t>10000656</t>
        </is>
      </c>
      <c r="E80" t="inlineStr"/>
      <c r="F80" s="12" t="n">
        <v>166</v>
      </c>
      <c r="G80" t="inlineStr"/>
      <c r="I80" t="inlineStr">
        <is>
          <t>TN</t>
        </is>
      </c>
      <c r="J80" t="inlineStr"/>
      <c r="K80" t="inlineStr">
        <is>
          <t>20240425</t>
        </is>
      </c>
      <c r="L80" t="inlineStr">
        <is>
          <t>20240814</t>
        </is>
      </c>
    </row>
    <row r="81">
      <c r="A81" t="inlineStr">
        <is>
          <t>900005260</t>
        </is>
      </c>
      <c r="B81" t="inlineStr">
        <is>
          <t>D846</t>
        </is>
      </c>
      <c r="C81" t="inlineStr">
        <is>
          <t>65438157</t>
        </is>
      </c>
      <c r="D81" t="inlineStr">
        <is>
          <t>10169508</t>
        </is>
      </c>
      <c r="E81" t="inlineStr"/>
      <c r="F81" s="12" t="n">
        <v>172</v>
      </c>
      <c r="G81" t="inlineStr"/>
      <c r="I81" t="inlineStr">
        <is>
          <t>TN</t>
        </is>
      </c>
      <c r="J81" t="inlineStr"/>
      <c r="K81" t="inlineStr">
        <is>
          <t>20240425</t>
        </is>
      </c>
      <c r="L81" t="inlineStr">
        <is>
          <t>20240814</t>
        </is>
      </c>
    </row>
    <row r="82">
      <c r="A82" t="inlineStr">
        <is>
          <t>900006074</t>
        </is>
      </c>
      <c r="B82" t="inlineStr">
        <is>
          <t>D846</t>
        </is>
      </c>
      <c r="C82" t="inlineStr">
        <is>
          <t>65438157</t>
        </is>
      </c>
      <c r="D82" t="inlineStr">
        <is>
          <t>10000536</t>
        </is>
      </c>
      <c r="E82" t="inlineStr"/>
      <c r="F82" s="12" t="n">
        <v>159</v>
      </c>
      <c r="G82" t="inlineStr"/>
      <c r="I82" t="inlineStr">
        <is>
          <t>TN</t>
        </is>
      </c>
      <c r="J82" t="inlineStr"/>
      <c r="K82" t="inlineStr">
        <is>
          <t>20240425</t>
        </is>
      </c>
      <c r="L82" t="inlineStr">
        <is>
          <t>20240814</t>
        </is>
      </c>
    </row>
    <row r="83">
      <c r="A83" t="inlineStr">
        <is>
          <t>900006074</t>
        </is>
      </c>
      <c r="B83" t="inlineStr">
        <is>
          <t>D846</t>
        </is>
      </c>
      <c r="C83" t="inlineStr">
        <is>
          <t>65438157</t>
        </is>
      </c>
      <c r="D83" t="inlineStr">
        <is>
          <t>10000578</t>
        </is>
      </c>
      <c r="E83" t="inlineStr"/>
      <c r="F83" s="12" t="n">
        <v>159</v>
      </c>
      <c r="G83" t="inlineStr"/>
      <c r="I83" t="inlineStr">
        <is>
          <t>TN</t>
        </is>
      </c>
      <c r="J83" t="inlineStr"/>
      <c r="K83" t="inlineStr">
        <is>
          <t>20240425</t>
        </is>
      </c>
      <c r="L83" t="inlineStr">
        <is>
          <t>20240814</t>
        </is>
      </c>
    </row>
    <row r="84">
      <c r="A84" t="inlineStr">
        <is>
          <t>900006074</t>
        </is>
      </c>
      <c r="B84" t="inlineStr">
        <is>
          <t>D846</t>
        </is>
      </c>
      <c r="C84" t="inlineStr">
        <is>
          <t>65438157</t>
        </is>
      </c>
      <c r="D84" t="inlineStr">
        <is>
          <t>10000617</t>
        </is>
      </c>
      <c r="E84" t="inlineStr"/>
      <c r="F84" s="12" t="n">
        <v>169</v>
      </c>
      <c r="G84" t="inlineStr"/>
      <c r="I84" t="inlineStr">
        <is>
          <t>TN</t>
        </is>
      </c>
      <c r="J84" t="inlineStr"/>
      <c r="K84" t="inlineStr">
        <is>
          <t>20240425</t>
        </is>
      </c>
      <c r="L84" t="inlineStr">
        <is>
          <t>20240814</t>
        </is>
      </c>
    </row>
    <row r="85">
      <c r="A85" t="inlineStr">
        <is>
          <t>900006074</t>
        </is>
      </c>
      <c r="B85" t="inlineStr">
        <is>
          <t>D846</t>
        </is>
      </c>
      <c r="C85" t="inlineStr">
        <is>
          <t>65438157</t>
        </is>
      </c>
      <c r="D85" t="inlineStr">
        <is>
          <t>10000656</t>
        </is>
      </c>
      <c r="E85" t="inlineStr"/>
      <c r="F85" s="12" t="n">
        <v>166</v>
      </c>
      <c r="G85" t="inlineStr"/>
      <c r="I85" t="inlineStr">
        <is>
          <t>TN</t>
        </is>
      </c>
      <c r="J85" t="inlineStr"/>
      <c r="K85" t="inlineStr">
        <is>
          <t>20240425</t>
        </is>
      </c>
      <c r="L85" t="inlineStr">
        <is>
          <t>20240814</t>
        </is>
      </c>
    </row>
    <row r="86">
      <c r="A86" t="inlineStr">
        <is>
          <t>900006074</t>
        </is>
      </c>
      <c r="B86" t="inlineStr">
        <is>
          <t>D846</t>
        </is>
      </c>
      <c r="C86" t="inlineStr">
        <is>
          <t>65438157</t>
        </is>
      </c>
      <c r="D86" t="inlineStr">
        <is>
          <t>10169508</t>
        </is>
      </c>
      <c r="E86" t="inlineStr"/>
      <c r="F86" s="12" t="n">
        <v>172</v>
      </c>
      <c r="G86" t="inlineStr"/>
      <c r="I86" t="inlineStr">
        <is>
          <t>TN</t>
        </is>
      </c>
      <c r="J86" t="inlineStr"/>
      <c r="K86" t="inlineStr">
        <is>
          <t>20240425</t>
        </is>
      </c>
      <c r="L86" t="inlineStr">
        <is>
          <t>20240814</t>
        </is>
      </c>
    </row>
    <row r="87">
      <c r="A87" t="inlineStr">
        <is>
          <t>900008596</t>
        </is>
      </c>
      <c r="B87" t="inlineStr">
        <is>
          <t>D846</t>
        </is>
      </c>
      <c r="C87" t="inlineStr">
        <is>
          <t>67234490</t>
        </is>
      </c>
      <c r="D87" t="inlineStr">
        <is>
          <t>10000231</t>
        </is>
      </c>
      <c r="E87" t="inlineStr"/>
      <c r="F87" s="12" t="n">
        <v>230</v>
      </c>
      <c r="G87" t="inlineStr"/>
      <c r="I87" t="inlineStr">
        <is>
          <t>M3</t>
        </is>
      </c>
      <c r="J87" t="inlineStr"/>
      <c r="K87" t="inlineStr">
        <is>
          <t>20240425</t>
        </is>
      </c>
      <c r="L87" t="inlineStr">
        <is>
          <t>20240814</t>
        </is>
      </c>
    </row>
    <row r="88">
      <c r="A88" t="inlineStr">
        <is>
          <t>900008596</t>
        </is>
      </c>
      <c r="B88" t="inlineStr">
        <is>
          <t>D846</t>
        </is>
      </c>
      <c r="C88" t="inlineStr">
        <is>
          <t>67234490</t>
        </is>
      </c>
      <c r="D88" t="inlineStr">
        <is>
          <t>10000570</t>
        </is>
      </c>
      <c r="E88" t="inlineStr"/>
      <c r="F88" s="12" t="n">
        <v>216</v>
      </c>
      <c r="G88" t="inlineStr"/>
      <c r="I88" t="inlineStr">
        <is>
          <t>M3</t>
        </is>
      </c>
      <c r="J88" t="inlineStr"/>
      <c r="K88" t="inlineStr">
        <is>
          <t>20240425</t>
        </is>
      </c>
      <c r="L88" t="inlineStr">
        <is>
          <t>20240814</t>
        </is>
      </c>
    </row>
    <row r="89">
      <c r="A89" t="inlineStr">
        <is>
          <t>900008596</t>
        </is>
      </c>
      <c r="B89" t="inlineStr">
        <is>
          <t>D846</t>
        </is>
      </c>
      <c r="C89" t="inlineStr">
        <is>
          <t>67234490</t>
        </is>
      </c>
      <c r="D89" t="inlineStr">
        <is>
          <t>10058507</t>
        </is>
      </c>
      <c r="E89" t="inlineStr"/>
      <c r="F89" s="12" t="n">
        <v>216</v>
      </c>
      <c r="G89" t="inlineStr"/>
      <c r="I89" t="inlineStr">
        <is>
          <t>M3</t>
        </is>
      </c>
      <c r="J89" t="inlineStr"/>
      <c r="K89" t="inlineStr">
        <is>
          <t>20240425</t>
        </is>
      </c>
      <c r="L89" t="inlineStr">
        <is>
          <t>20240814</t>
        </is>
      </c>
    </row>
    <row r="90">
      <c r="A90" t="inlineStr">
        <is>
          <t>900008596</t>
        </is>
      </c>
      <c r="B90" t="inlineStr">
        <is>
          <t>D846</t>
        </is>
      </c>
      <c r="C90" t="inlineStr">
        <is>
          <t>67234490</t>
        </is>
      </c>
      <c r="D90" t="inlineStr">
        <is>
          <t>10228149</t>
        </is>
      </c>
      <c r="E90" t="inlineStr"/>
      <c r="F90" s="12" t="n">
        <v>216</v>
      </c>
      <c r="G90" t="inlineStr"/>
      <c r="I90" t="inlineStr">
        <is>
          <t>M3</t>
        </is>
      </c>
      <c r="J90" t="inlineStr"/>
      <c r="K90" t="inlineStr">
        <is>
          <t>20240425</t>
        </is>
      </c>
      <c r="L90" t="inlineStr">
        <is>
          <t>20240814</t>
        </is>
      </c>
    </row>
    <row r="91">
      <c r="A91" t="inlineStr">
        <is>
          <t>900008596</t>
        </is>
      </c>
      <c r="B91" t="inlineStr">
        <is>
          <t>D846</t>
        </is>
      </c>
      <c r="C91" t="inlineStr">
        <is>
          <t>67234499</t>
        </is>
      </c>
      <c r="D91" t="inlineStr">
        <is>
          <t>10000231</t>
        </is>
      </c>
      <c r="E91" t="inlineStr"/>
      <c r="F91" s="12" t="n">
        <v>230</v>
      </c>
      <c r="G91" t="inlineStr"/>
      <c r="I91" t="inlineStr">
        <is>
          <t>M3</t>
        </is>
      </c>
      <c r="J91" t="inlineStr"/>
      <c r="K91" t="inlineStr">
        <is>
          <t>20240425</t>
        </is>
      </c>
      <c r="L91" t="inlineStr">
        <is>
          <t>20240814</t>
        </is>
      </c>
    </row>
    <row r="92">
      <c r="A92" t="inlineStr">
        <is>
          <t>900008596</t>
        </is>
      </c>
      <c r="B92" t="inlineStr">
        <is>
          <t>D846</t>
        </is>
      </c>
      <c r="C92" t="inlineStr">
        <is>
          <t>67234499</t>
        </is>
      </c>
      <c r="D92" t="inlineStr">
        <is>
          <t>10000570</t>
        </is>
      </c>
      <c r="E92" t="inlineStr"/>
      <c r="F92" s="12" t="n">
        <v>216</v>
      </c>
      <c r="G92" t="inlineStr"/>
      <c r="I92" t="inlineStr">
        <is>
          <t>M3</t>
        </is>
      </c>
      <c r="J92" t="inlineStr"/>
      <c r="K92" t="inlineStr">
        <is>
          <t>20240425</t>
        </is>
      </c>
      <c r="L92" t="inlineStr">
        <is>
          <t>20240814</t>
        </is>
      </c>
    </row>
    <row r="93">
      <c r="A93" t="inlineStr">
        <is>
          <t>900008596</t>
        </is>
      </c>
      <c r="B93" t="inlineStr">
        <is>
          <t>D846</t>
        </is>
      </c>
      <c r="C93" t="inlineStr">
        <is>
          <t>67234499</t>
        </is>
      </c>
      <c r="D93" t="inlineStr">
        <is>
          <t>10058507</t>
        </is>
      </c>
      <c r="E93" t="inlineStr"/>
      <c r="F93" s="12" t="n">
        <v>216</v>
      </c>
      <c r="G93" t="inlineStr"/>
      <c r="I93" t="inlineStr">
        <is>
          <t>M3</t>
        </is>
      </c>
      <c r="J93" t="inlineStr"/>
      <c r="K93" t="inlineStr">
        <is>
          <t>20240425</t>
        </is>
      </c>
      <c r="L93" t="inlineStr">
        <is>
          <t>20240814</t>
        </is>
      </c>
    </row>
    <row r="94">
      <c r="A94" t="inlineStr">
        <is>
          <t>900008596</t>
        </is>
      </c>
      <c r="B94" t="inlineStr">
        <is>
          <t>D846</t>
        </is>
      </c>
      <c r="C94" t="inlineStr">
        <is>
          <t>67234499</t>
        </is>
      </c>
      <c r="D94" t="inlineStr">
        <is>
          <t>10228149</t>
        </is>
      </c>
      <c r="E94" t="inlineStr"/>
      <c r="F94" s="12" t="n">
        <v>216</v>
      </c>
      <c r="G94" t="inlineStr"/>
      <c r="I94" t="inlineStr">
        <is>
          <t>M3</t>
        </is>
      </c>
      <c r="J94" t="inlineStr"/>
      <c r="K94" t="inlineStr">
        <is>
          <t>20240425</t>
        </is>
      </c>
      <c r="L94" t="inlineStr">
        <is>
          <t>20240814</t>
        </is>
      </c>
    </row>
    <row r="95">
      <c r="A95" t="inlineStr">
        <is>
          <t>900008596</t>
        </is>
      </c>
      <c r="B95" t="inlineStr">
        <is>
          <t>D846</t>
        </is>
      </c>
      <c r="C95" t="inlineStr">
        <is>
          <t>67234529</t>
        </is>
      </c>
      <c r="D95" t="inlineStr">
        <is>
          <t>10000231</t>
        </is>
      </c>
      <c r="E95" t="inlineStr"/>
      <c r="F95" s="12" t="n">
        <v>230</v>
      </c>
      <c r="G95" t="inlineStr"/>
      <c r="I95" t="inlineStr">
        <is>
          <t>M3</t>
        </is>
      </c>
      <c r="J95" t="inlineStr"/>
      <c r="K95" t="inlineStr">
        <is>
          <t>20240425</t>
        </is>
      </c>
      <c r="L95" t="inlineStr">
        <is>
          <t>20240814</t>
        </is>
      </c>
    </row>
    <row r="96">
      <c r="A96" t="inlineStr">
        <is>
          <t>900008596</t>
        </is>
      </c>
      <c r="B96" t="inlineStr">
        <is>
          <t>D846</t>
        </is>
      </c>
      <c r="C96" t="inlineStr">
        <is>
          <t>67234529</t>
        </is>
      </c>
      <c r="D96" t="inlineStr">
        <is>
          <t>10000570</t>
        </is>
      </c>
      <c r="E96" t="inlineStr"/>
      <c r="F96" s="12" t="n">
        <v>216</v>
      </c>
      <c r="G96" t="inlineStr"/>
      <c r="I96" t="inlineStr">
        <is>
          <t>M3</t>
        </is>
      </c>
      <c r="J96" t="inlineStr"/>
      <c r="K96" t="inlineStr">
        <is>
          <t>20240425</t>
        </is>
      </c>
      <c r="L96" t="inlineStr">
        <is>
          <t>20240814</t>
        </is>
      </c>
    </row>
    <row r="97">
      <c r="A97" t="inlineStr">
        <is>
          <t>900008596</t>
        </is>
      </c>
      <c r="B97" t="inlineStr">
        <is>
          <t>D846</t>
        </is>
      </c>
      <c r="C97" t="inlineStr">
        <is>
          <t>67234529</t>
        </is>
      </c>
      <c r="D97" t="inlineStr">
        <is>
          <t>10058507</t>
        </is>
      </c>
      <c r="E97" t="inlineStr"/>
      <c r="F97" s="12" t="n">
        <v>216</v>
      </c>
      <c r="G97" t="inlineStr"/>
      <c r="I97" t="inlineStr">
        <is>
          <t>M3</t>
        </is>
      </c>
      <c r="J97" t="inlineStr"/>
      <c r="K97" t="inlineStr">
        <is>
          <t>20240425</t>
        </is>
      </c>
      <c r="L97" t="inlineStr">
        <is>
          <t>20240814</t>
        </is>
      </c>
    </row>
    <row r="98">
      <c r="A98" t="inlineStr">
        <is>
          <t>900008596</t>
        </is>
      </c>
      <c r="B98" t="inlineStr">
        <is>
          <t>D846</t>
        </is>
      </c>
      <c r="C98" t="inlineStr">
        <is>
          <t>67234529</t>
        </is>
      </c>
      <c r="D98" t="inlineStr">
        <is>
          <t>10228149</t>
        </is>
      </c>
      <c r="E98" t="inlineStr"/>
      <c r="F98" s="12" t="n">
        <v>216</v>
      </c>
      <c r="G98" t="inlineStr"/>
      <c r="I98" t="inlineStr">
        <is>
          <t>M3</t>
        </is>
      </c>
      <c r="J98" t="inlineStr"/>
      <c r="K98" t="inlineStr">
        <is>
          <t>20240425</t>
        </is>
      </c>
      <c r="L98" t="inlineStr">
        <is>
          <t>20240814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900006074D8466543815710000536</t>
        </is>
      </c>
      <c r="B2" t="inlineStr">
        <is>
          <t>900006074</t>
        </is>
      </c>
      <c r="C2" t="inlineStr">
        <is>
          <t>D846</t>
        </is>
      </c>
      <c r="D2" t="inlineStr">
        <is>
          <t>65438157</t>
        </is>
      </c>
      <c r="E2" t="inlineStr">
        <is>
          <t>4</t>
        </is>
      </c>
      <c r="F2" t="inlineStr">
        <is>
          <t>10000536</t>
        </is>
      </c>
      <c r="H2" t="inlineStr"/>
      <c r="J2" t="n">
        <v>298</v>
      </c>
      <c r="K2" t="inlineStr"/>
      <c r="M2" t="inlineStr">
        <is>
          <t>TN</t>
        </is>
      </c>
      <c r="N2" t="inlineStr"/>
      <c r="P2" t="inlineStr">
        <is>
          <t>20191211</t>
        </is>
      </c>
      <c r="Q2" t="inlineStr">
        <is>
          <t>20251031</t>
        </is>
      </c>
    </row>
    <row r="3">
      <c r="A3" t="inlineStr">
        <is>
          <t>900006074D8466543815710000578</t>
        </is>
      </c>
      <c r="B3" t="inlineStr">
        <is>
          <t>900006074</t>
        </is>
      </c>
      <c r="C3" t="inlineStr">
        <is>
          <t>D846</t>
        </is>
      </c>
      <c r="D3" t="inlineStr">
        <is>
          <t>65438157</t>
        </is>
      </c>
      <c r="E3" t="inlineStr">
        <is>
          <t>4</t>
        </is>
      </c>
      <c r="F3" t="inlineStr">
        <is>
          <t>10000578</t>
        </is>
      </c>
      <c r="H3" t="inlineStr"/>
      <c r="J3" t="n">
        <v>298</v>
      </c>
      <c r="K3" t="inlineStr"/>
      <c r="M3" t="inlineStr">
        <is>
          <t>TN</t>
        </is>
      </c>
      <c r="N3" t="inlineStr"/>
      <c r="P3" t="inlineStr">
        <is>
          <t>20191211</t>
        </is>
      </c>
      <c r="Q3" t="inlineStr">
        <is>
          <t>20251031</t>
        </is>
      </c>
    </row>
    <row r="4">
      <c r="A4" t="inlineStr">
        <is>
          <t>900006074D8466543815710000617</t>
        </is>
      </c>
      <c r="B4" t="inlineStr">
        <is>
          <t>900006074</t>
        </is>
      </c>
      <c r="C4" t="inlineStr">
        <is>
          <t>D846</t>
        </is>
      </c>
      <c r="D4" t="inlineStr">
        <is>
          <t>65438157</t>
        </is>
      </c>
      <c r="E4" t="inlineStr">
        <is>
          <t>4</t>
        </is>
      </c>
      <c r="F4" t="inlineStr">
        <is>
          <t>10000617</t>
        </is>
      </c>
      <c r="H4" t="inlineStr"/>
      <c r="J4" t="n">
        <v>297</v>
      </c>
      <c r="K4" t="inlineStr"/>
      <c r="M4" t="inlineStr">
        <is>
          <t>TN</t>
        </is>
      </c>
      <c r="N4" t="inlineStr"/>
      <c r="P4" t="inlineStr">
        <is>
          <t>20191211</t>
        </is>
      </c>
      <c r="Q4" t="inlineStr">
        <is>
          <t>20251031</t>
        </is>
      </c>
    </row>
    <row r="5">
      <c r="A5" t="inlineStr">
        <is>
          <t>900006074D8466543815710000656</t>
        </is>
      </c>
      <c r="B5" t="inlineStr">
        <is>
          <t>900006074</t>
        </is>
      </c>
      <c r="C5" t="inlineStr">
        <is>
          <t>D846</t>
        </is>
      </c>
      <c r="D5" t="inlineStr">
        <is>
          <t>65438157</t>
        </is>
      </c>
      <c r="E5" t="inlineStr">
        <is>
          <t>4</t>
        </is>
      </c>
      <c r="F5" t="inlineStr">
        <is>
          <t>10000656</t>
        </is>
      </c>
      <c r="H5" t="inlineStr"/>
      <c r="J5" t="n">
        <v>298</v>
      </c>
      <c r="K5" t="inlineStr"/>
      <c r="M5" t="inlineStr">
        <is>
          <t>TN</t>
        </is>
      </c>
      <c r="N5" t="inlineStr"/>
      <c r="P5" t="inlineStr">
        <is>
          <t>20191211</t>
        </is>
      </c>
      <c r="Q5" t="inlineStr">
        <is>
          <t>20251031</t>
        </is>
      </c>
    </row>
    <row r="6">
      <c r="A6" t="inlineStr">
        <is>
          <t>900006074D8466543815710169508</t>
        </is>
      </c>
      <c r="B6" t="inlineStr">
        <is>
          <t>900006074</t>
        </is>
      </c>
      <c r="C6" t="inlineStr">
        <is>
          <t>D846</t>
        </is>
      </c>
      <c r="D6" t="inlineStr">
        <is>
          <t>65438157</t>
        </is>
      </c>
      <c r="E6" t="inlineStr">
        <is>
          <t>4</t>
        </is>
      </c>
      <c r="F6" t="inlineStr">
        <is>
          <t>10169508</t>
        </is>
      </c>
      <c r="H6" t="inlineStr"/>
      <c r="J6" t="n">
        <v>297</v>
      </c>
      <c r="K6" t="inlineStr"/>
      <c r="M6" t="inlineStr">
        <is>
          <t>TN</t>
        </is>
      </c>
      <c r="N6" t="inlineStr"/>
      <c r="P6" t="inlineStr">
        <is>
          <t>20191211</t>
        </is>
      </c>
      <c r="Q6" t="inlineStr">
        <is>
          <t>20251031</t>
        </is>
      </c>
    </row>
    <row r="7">
      <c r="A7" t="inlineStr">
        <is>
          <t>900006180D8466686865910169742</t>
        </is>
      </c>
      <c r="B7" t="inlineStr">
        <is>
          <t>900006180</t>
        </is>
      </c>
      <c r="C7" t="inlineStr">
        <is>
          <t>D846</t>
        </is>
      </c>
      <c r="D7" t="inlineStr">
        <is>
          <t>66868659</t>
        </is>
      </c>
      <c r="E7" t="inlineStr">
        <is>
          <t>4</t>
        </is>
      </c>
      <c r="F7" t="inlineStr">
        <is>
          <t>10169742</t>
        </is>
      </c>
      <c r="H7" t="inlineStr"/>
      <c r="J7" t="n">
        <v>150</v>
      </c>
      <c r="K7" t="inlineStr"/>
      <c r="M7" t="inlineStr">
        <is>
          <t>M3</t>
        </is>
      </c>
      <c r="N7" t="inlineStr"/>
      <c r="P7" t="inlineStr">
        <is>
          <t>20170210</t>
        </is>
      </c>
      <c r="Q7" t="inlineStr">
        <is>
          <t>20241206</t>
        </is>
      </c>
    </row>
    <row r="8">
      <c r="A8" t="inlineStr">
        <is>
          <t>900006262D8466679439510000313</t>
        </is>
      </c>
      <c r="B8" t="inlineStr">
        <is>
          <t>900006262</t>
        </is>
      </c>
      <c r="C8" t="inlineStr">
        <is>
          <t>D846</t>
        </is>
      </c>
      <c r="D8" t="inlineStr">
        <is>
          <t>66794395</t>
        </is>
      </c>
      <c r="E8" t="inlineStr">
        <is>
          <t>4</t>
        </is>
      </c>
      <c r="F8" t="inlineStr">
        <is>
          <t>10000313</t>
        </is>
      </c>
      <c r="H8" t="inlineStr"/>
      <c r="J8" t="n">
        <v>77</v>
      </c>
      <c r="K8" t="inlineStr"/>
      <c r="M8" t="inlineStr">
        <is>
          <t>M3</t>
        </is>
      </c>
      <c r="N8" t="inlineStr"/>
      <c r="P8" t="inlineStr">
        <is>
          <t>20170210</t>
        </is>
      </c>
      <c r="Q8" t="inlineStr">
        <is>
          <t>20241206</t>
        </is>
      </c>
    </row>
    <row r="9">
      <c r="A9" t="inlineStr">
        <is>
          <t>900006262D8466679439510000755</t>
        </is>
      </c>
      <c r="B9" t="inlineStr">
        <is>
          <t>900006262</t>
        </is>
      </c>
      <c r="C9" t="inlineStr">
        <is>
          <t>D846</t>
        </is>
      </c>
      <c r="D9" t="inlineStr">
        <is>
          <t>66794395</t>
        </is>
      </c>
      <c r="E9" t="inlineStr">
        <is>
          <t>4</t>
        </is>
      </c>
      <c r="F9" t="inlineStr">
        <is>
          <t>10000755</t>
        </is>
      </c>
      <c r="H9" t="inlineStr"/>
      <c r="J9" t="n">
        <v>77</v>
      </c>
      <c r="K9" t="inlineStr"/>
      <c r="M9" t="inlineStr">
        <is>
          <t>M3</t>
        </is>
      </c>
      <c r="N9" t="inlineStr"/>
      <c r="P9" t="inlineStr">
        <is>
          <t>20170210</t>
        </is>
      </c>
      <c r="Q9" t="inlineStr">
        <is>
          <t>20241206</t>
        </is>
      </c>
    </row>
    <row r="10">
      <c r="A10" t="inlineStr">
        <is>
          <t>900006262D8466679439510156739</t>
        </is>
      </c>
      <c r="B10" t="inlineStr">
        <is>
          <t>900006262</t>
        </is>
      </c>
      <c r="C10" t="inlineStr">
        <is>
          <t>D846</t>
        </is>
      </c>
      <c r="D10" t="inlineStr">
        <is>
          <t>66794395</t>
        </is>
      </c>
      <c r="E10" t="inlineStr">
        <is>
          <t>4</t>
        </is>
      </c>
      <c r="F10" t="inlineStr">
        <is>
          <t>10156739</t>
        </is>
      </c>
      <c r="H10" t="inlineStr"/>
      <c r="J10" t="n">
        <v>77</v>
      </c>
      <c r="K10" t="inlineStr"/>
      <c r="M10" t="inlineStr">
        <is>
          <t>M3</t>
        </is>
      </c>
      <c r="N10" t="inlineStr"/>
      <c r="P10" t="inlineStr">
        <is>
          <t>20170210</t>
        </is>
      </c>
      <c r="Q10" t="inlineStr">
        <is>
          <t>20241206</t>
        </is>
      </c>
    </row>
    <row r="11">
      <c r="A11" t="inlineStr">
        <is>
          <t>900006262D8466686463010000315</t>
        </is>
      </c>
      <c r="B11" t="inlineStr">
        <is>
          <t>900006262</t>
        </is>
      </c>
      <c r="C11" t="inlineStr">
        <is>
          <t>D846</t>
        </is>
      </c>
      <c r="D11" t="inlineStr">
        <is>
          <t>66864630</t>
        </is>
      </c>
      <c r="E11" t="inlineStr">
        <is>
          <t>4</t>
        </is>
      </c>
      <c r="F11" t="inlineStr">
        <is>
          <t>10000315</t>
        </is>
      </c>
      <c r="H11" t="inlineStr"/>
      <c r="J11" t="n">
        <v>142.24</v>
      </c>
      <c r="K11" t="inlineStr"/>
      <c r="M11" t="inlineStr">
        <is>
          <t>M3</t>
        </is>
      </c>
      <c r="N11" t="inlineStr"/>
      <c r="P11" t="inlineStr">
        <is>
          <t>20170210</t>
        </is>
      </c>
      <c r="Q11" t="inlineStr">
        <is>
          <t>20241206</t>
        </is>
      </c>
    </row>
    <row r="12">
      <c r="A12" t="inlineStr">
        <is>
          <t>900006262D8466686463010000755</t>
        </is>
      </c>
      <c r="B12" t="inlineStr">
        <is>
          <t>900006262</t>
        </is>
      </c>
      <c r="C12" t="inlineStr">
        <is>
          <t>D846</t>
        </is>
      </c>
      <c r="D12" t="inlineStr">
        <is>
          <t>66864630</t>
        </is>
      </c>
      <c r="E12" t="inlineStr">
        <is>
          <t>4</t>
        </is>
      </c>
      <c r="F12" t="inlineStr">
        <is>
          <t>10000755</t>
        </is>
      </c>
      <c r="H12" t="inlineStr"/>
      <c r="J12" t="n">
        <v>142.24</v>
      </c>
      <c r="K12" t="inlineStr"/>
      <c r="M12" t="inlineStr">
        <is>
          <t>M3</t>
        </is>
      </c>
      <c r="N12" t="inlineStr"/>
      <c r="P12" t="inlineStr">
        <is>
          <t>20170210</t>
        </is>
      </c>
      <c r="Q12" t="inlineStr">
        <is>
          <t>20241206</t>
        </is>
      </c>
    </row>
    <row r="13">
      <c r="A13" t="inlineStr">
        <is>
          <t>900006262D8466686463010156739</t>
        </is>
      </c>
      <c r="B13" t="inlineStr">
        <is>
          <t>900006262</t>
        </is>
      </c>
      <c r="C13" t="inlineStr">
        <is>
          <t>D846</t>
        </is>
      </c>
      <c r="D13" t="inlineStr">
        <is>
          <t>66864630</t>
        </is>
      </c>
      <c r="E13" t="inlineStr">
        <is>
          <t>4</t>
        </is>
      </c>
      <c r="F13" t="inlineStr">
        <is>
          <t>10156739</t>
        </is>
      </c>
      <c r="H13" t="inlineStr"/>
      <c r="J13" t="n">
        <v>142.24</v>
      </c>
      <c r="K13" t="inlineStr"/>
      <c r="M13" t="inlineStr">
        <is>
          <t>M3</t>
        </is>
      </c>
      <c r="N13" t="inlineStr"/>
      <c r="P13" t="inlineStr">
        <is>
          <t>20170210</t>
        </is>
      </c>
      <c r="Q13" t="inlineStr">
        <is>
          <t>20241206</t>
        </is>
      </c>
    </row>
    <row r="14">
      <c r="A14" t="inlineStr">
        <is>
          <t>900006262D8466686463110000315</t>
        </is>
      </c>
      <c r="B14" t="inlineStr">
        <is>
          <t>900006262</t>
        </is>
      </c>
      <c r="C14" t="inlineStr">
        <is>
          <t>D846</t>
        </is>
      </c>
      <c r="D14" t="inlineStr">
        <is>
          <t>66864631</t>
        </is>
      </c>
      <c r="E14" t="inlineStr">
        <is>
          <t>4</t>
        </is>
      </c>
      <c r="F14" t="inlineStr">
        <is>
          <t>10000315</t>
        </is>
      </c>
      <c r="H14" t="inlineStr"/>
      <c r="J14" t="n">
        <v>142.24</v>
      </c>
      <c r="K14" t="inlineStr"/>
      <c r="M14" t="inlineStr">
        <is>
          <t>M3</t>
        </is>
      </c>
      <c r="N14" t="inlineStr"/>
      <c r="P14" t="inlineStr">
        <is>
          <t>20170210</t>
        </is>
      </c>
      <c r="Q14" t="inlineStr">
        <is>
          <t>20241206</t>
        </is>
      </c>
    </row>
    <row r="15">
      <c r="A15" t="inlineStr">
        <is>
          <t>900006262D8466686463110000755</t>
        </is>
      </c>
      <c r="B15" t="inlineStr">
        <is>
          <t>900006262</t>
        </is>
      </c>
      <c r="C15" t="inlineStr">
        <is>
          <t>D846</t>
        </is>
      </c>
      <c r="D15" t="inlineStr">
        <is>
          <t>66864631</t>
        </is>
      </c>
      <c r="E15" t="inlineStr">
        <is>
          <t>4</t>
        </is>
      </c>
      <c r="F15" t="inlineStr">
        <is>
          <t>10000755</t>
        </is>
      </c>
      <c r="H15" t="inlineStr"/>
      <c r="J15" t="n">
        <v>142.24</v>
      </c>
      <c r="K15" t="inlineStr"/>
      <c r="M15" t="inlineStr">
        <is>
          <t>M3</t>
        </is>
      </c>
      <c r="N15" t="inlineStr"/>
      <c r="P15" t="inlineStr">
        <is>
          <t>20170210</t>
        </is>
      </c>
      <c r="Q15" t="inlineStr">
        <is>
          <t>20241206</t>
        </is>
      </c>
    </row>
    <row r="16">
      <c r="A16" t="inlineStr">
        <is>
          <t>900006262D8466686463110156739</t>
        </is>
      </c>
      <c r="B16" t="inlineStr">
        <is>
          <t>900006262</t>
        </is>
      </c>
      <c r="C16" t="inlineStr">
        <is>
          <t>D846</t>
        </is>
      </c>
      <c r="D16" t="inlineStr">
        <is>
          <t>66864631</t>
        </is>
      </c>
      <c r="E16" t="inlineStr">
        <is>
          <t>4</t>
        </is>
      </c>
      <c r="F16" t="inlineStr">
        <is>
          <t>10156739</t>
        </is>
      </c>
      <c r="H16" t="inlineStr"/>
      <c r="J16" t="n">
        <v>142.24</v>
      </c>
      <c r="K16" t="inlineStr"/>
      <c r="M16" t="inlineStr">
        <is>
          <t>M3</t>
        </is>
      </c>
      <c r="N16" t="inlineStr"/>
      <c r="P16" t="inlineStr">
        <is>
          <t>20170210</t>
        </is>
      </c>
      <c r="Q16" t="inlineStr">
        <is>
          <t>20241206</t>
        </is>
      </c>
    </row>
    <row r="17">
      <c r="A17" t="inlineStr">
        <is>
          <t>900006262D8466687500010000315</t>
        </is>
      </c>
      <c r="B17" t="inlineStr">
        <is>
          <t>900006262</t>
        </is>
      </c>
      <c r="C17" t="inlineStr">
        <is>
          <t>D846</t>
        </is>
      </c>
      <c r="D17" t="inlineStr">
        <is>
          <t>66875000</t>
        </is>
      </c>
      <c r="E17" t="inlineStr">
        <is>
          <t>4</t>
        </is>
      </c>
      <c r="F17" t="inlineStr">
        <is>
          <t>10000315</t>
        </is>
      </c>
      <c r="H17" t="inlineStr"/>
      <c r="J17" t="n">
        <v>142.24</v>
      </c>
      <c r="K17" t="inlineStr"/>
      <c r="M17" t="inlineStr">
        <is>
          <t>M3</t>
        </is>
      </c>
      <c r="N17" t="inlineStr"/>
      <c r="P17" t="inlineStr">
        <is>
          <t>20170210</t>
        </is>
      </c>
      <c r="Q17" t="inlineStr">
        <is>
          <t>20241206</t>
        </is>
      </c>
    </row>
    <row r="18">
      <c r="A18" t="inlineStr">
        <is>
          <t>900006262D8466687500010000755</t>
        </is>
      </c>
      <c r="B18" t="inlineStr">
        <is>
          <t>900006262</t>
        </is>
      </c>
      <c r="C18" t="inlineStr">
        <is>
          <t>D846</t>
        </is>
      </c>
      <c r="D18" t="inlineStr">
        <is>
          <t>66875000</t>
        </is>
      </c>
      <c r="E18" t="inlineStr">
        <is>
          <t>4</t>
        </is>
      </c>
      <c r="F18" t="inlineStr">
        <is>
          <t>10000755</t>
        </is>
      </c>
      <c r="H18" t="inlineStr"/>
      <c r="J18" t="n">
        <v>142.24</v>
      </c>
      <c r="K18" t="inlineStr"/>
      <c r="M18" t="inlineStr">
        <is>
          <t>M3</t>
        </is>
      </c>
      <c r="N18" t="inlineStr"/>
      <c r="P18" t="inlineStr">
        <is>
          <t>20170210</t>
        </is>
      </c>
      <c r="Q18" t="inlineStr">
        <is>
          <t>20241206</t>
        </is>
      </c>
    </row>
    <row r="19">
      <c r="A19" t="inlineStr">
        <is>
          <t>900006262D8466687500010156739</t>
        </is>
      </c>
      <c r="B19" t="inlineStr">
        <is>
          <t>900006262</t>
        </is>
      </c>
      <c r="C19" t="inlineStr">
        <is>
          <t>D846</t>
        </is>
      </c>
      <c r="D19" t="inlineStr">
        <is>
          <t>66875000</t>
        </is>
      </c>
      <c r="E19" t="inlineStr">
        <is>
          <t>4</t>
        </is>
      </c>
      <c r="F19" t="inlineStr">
        <is>
          <t>10156739</t>
        </is>
      </c>
      <c r="H19" t="inlineStr"/>
      <c r="J19" t="n">
        <v>142.24</v>
      </c>
      <c r="K19" t="inlineStr"/>
      <c r="M19" t="inlineStr">
        <is>
          <t>M3</t>
        </is>
      </c>
      <c r="N19" t="inlineStr"/>
      <c r="P19" t="inlineStr">
        <is>
          <t>20170210</t>
        </is>
      </c>
      <c r="Q19" t="inlineStr">
        <is>
          <t>20241206</t>
        </is>
      </c>
    </row>
    <row r="20">
      <c r="A20" t="inlineStr">
        <is>
          <t>900006262D8466698461810000315</t>
        </is>
      </c>
      <c r="B20" t="inlineStr">
        <is>
          <t>900006262</t>
        </is>
      </c>
      <c r="C20" t="inlineStr">
        <is>
          <t>D846</t>
        </is>
      </c>
      <c r="D20" t="inlineStr">
        <is>
          <t>66984618</t>
        </is>
      </c>
      <c r="E20" t="inlineStr">
        <is>
          <t>4</t>
        </is>
      </c>
      <c r="F20" t="inlineStr">
        <is>
          <t>10000315</t>
        </is>
      </c>
      <c r="H20" t="inlineStr"/>
      <c r="J20" t="n">
        <v>86</v>
      </c>
      <c r="K20" t="inlineStr"/>
      <c r="M20" t="inlineStr">
        <is>
          <t>M3</t>
        </is>
      </c>
      <c r="N20" t="inlineStr"/>
      <c r="P20" t="inlineStr">
        <is>
          <t>20170210</t>
        </is>
      </c>
      <c r="Q20" t="inlineStr">
        <is>
          <t>20241206</t>
        </is>
      </c>
    </row>
    <row r="21">
      <c r="A21" t="inlineStr">
        <is>
          <t>900006262D8466706122610000315</t>
        </is>
      </c>
      <c r="B21" t="inlineStr">
        <is>
          <t>900006262</t>
        </is>
      </c>
      <c r="C21" t="inlineStr">
        <is>
          <t>D846</t>
        </is>
      </c>
      <c r="D21" t="inlineStr">
        <is>
          <t>67061226</t>
        </is>
      </c>
      <c r="E21" t="inlineStr">
        <is>
          <t>4</t>
        </is>
      </c>
      <c r="F21" t="inlineStr">
        <is>
          <t>10000315</t>
        </is>
      </c>
      <c r="H21" t="inlineStr"/>
      <c r="J21" t="n">
        <v>86</v>
      </c>
      <c r="K21" t="inlineStr"/>
      <c r="M21" t="inlineStr">
        <is>
          <t>M3</t>
        </is>
      </c>
      <c r="N21" t="inlineStr"/>
      <c r="P21" t="inlineStr">
        <is>
          <t>20170210</t>
        </is>
      </c>
      <c r="Q21" t="inlineStr">
        <is>
          <t>20241206</t>
        </is>
      </c>
    </row>
    <row r="22">
      <c r="A22" t="inlineStr">
        <is>
          <t>900006301D8466686865910169742</t>
        </is>
      </c>
      <c r="B22" t="inlineStr">
        <is>
          <t>900006301</t>
        </is>
      </c>
      <c r="C22" t="inlineStr">
        <is>
          <t>D846</t>
        </is>
      </c>
      <c r="D22" t="inlineStr">
        <is>
          <t>66868659</t>
        </is>
      </c>
      <c r="E22" t="inlineStr">
        <is>
          <t>4</t>
        </is>
      </c>
      <c r="F22" t="inlineStr">
        <is>
          <t>10169742</t>
        </is>
      </c>
      <c r="H22" t="inlineStr"/>
      <c r="J22" t="n">
        <v>100</v>
      </c>
      <c r="K22" t="inlineStr"/>
      <c r="M22" t="inlineStr">
        <is>
          <t>M3</t>
        </is>
      </c>
      <c r="N22" t="inlineStr"/>
      <c r="P22" t="inlineStr">
        <is>
          <t>20170210</t>
        </is>
      </c>
      <c r="Q22" t="inlineStr">
        <is>
          <t>20241206</t>
        </is>
      </c>
    </row>
    <row r="23">
      <c r="A23" t="inlineStr">
        <is>
          <t>900006074D8466543815710000536</t>
        </is>
      </c>
      <c r="B23" t="inlineStr">
        <is>
          <t>900006074</t>
        </is>
      </c>
      <c r="C23" t="inlineStr">
        <is>
          <t>D846</t>
        </is>
      </c>
      <c r="D23" t="inlineStr">
        <is>
          <t>65438157</t>
        </is>
      </c>
      <c r="E23" t="inlineStr">
        <is>
          <t>4</t>
        </is>
      </c>
      <c r="F23" t="inlineStr">
        <is>
          <t>10000536</t>
        </is>
      </c>
      <c r="H23" t="inlineStr"/>
      <c r="J23" t="n">
        <v>298</v>
      </c>
      <c r="K23" t="inlineStr"/>
      <c r="M23" t="inlineStr">
        <is>
          <t>TN</t>
        </is>
      </c>
      <c r="N23" t="inlineStr"/>
      <c r="P23" t="inlineStr">
        <is>
          <t>20240706</t>
        </is>
      </c>
      <c r="Q23" t="inlineStr">
        <is>
          <t>20240814</t>
        </is>
      </c>
    </row>
    <row r="24">
      <c r="A24" t="inlineStr">
        <is>
          <t>900006074D8466543815710000578</t>
        </is>
      </c>
      <c r="B24" t="inlineStr">
        <is>
          <t>900006074</t>
        </is>
      </c>
      <c r="C24" t="inlineStr">
        <is>
          <t>D846</t>
        </is>
      </c>
      <c r="D24" t="inlineStr">
        <is>
          <t>65438157</t>
        </is>
      </c>
      <c r="E24" t="inlineStr">
        <is>
          <t>4</t>
        </is>
      </c>
      <c r="F24" t="inlineStr">
        <is>
          <t>10000578</t>
        </is>
      </c>
      <c r="H24" t="inlineStr"/>
      <c r="J24" t="n">
        <v>298</v>
      </c>
      <c r="K24" t="inlineStr"/>
      <c r="M24" t="inlineStr">
        <is>
          <t>TN</t>
        </is>
      </c>
      <c r="N24" t="inlineStr"/>
      <c r="P24" t="inlineStr">
        <is>
          <t>20240706</t>
        </is>
      </c>
      <c r="Q24" t="inlineStr">
        <is>
          <t>20240814</t>
        </is>
      </c>
    </row>
    <row r="25">
      <c r="A25" t="inlineStr">
        <is>
          <t>900006074D8466543815710000617</t>
        </is>
      </c>
      <c r="B25" t="inlineStr">
        <is>
          <t>900006074</t>
        </is>
      </c>
      <c r="C25" t="inlineStr">
        <is>
          <t>D846</t>
        </is>
      </c>
      <c r="D25" t="inlineStr">
        <is>
          <t>65438157</t>
        </is>
      </c>
      <c r="E25" t="inlineStr">
        <is>
          <t>4</t>
        </is>
      </c>
      <c r="F25" t="inlineStr">
        <is>
          <t>10000617</t>
        </is>
      </c>
      <c r="H25" t="inlineStr"/>
      <c r="J25" t="n">
        <v>297</v>
      </c>
      <c r="K25" t="inlineStr"/>
      <c r="M25" t="inlineStr">
        <is>
          <t>TN</t>
        </is>
      </c>
      <c r="N25" t="inlineStr"/>
      <c r="P25" t="inlineStr">
        <is>
          <t>20240706</t>
        </is>
      </c>
      <c r="Q25" t="inlineStr">
        <is>
          <t>20240814</t>
        </is>
      </c>
    </row>
    <row r="26">
      <c r="A26" t="inlineStr">
        <is>
          <t>900006074D8466543815710000656</t>
        </is>
      </c>
      <c r="B26" t="inlineStr">
        <is>
          <t>900006074</t>
        </is>
      </c>
      <c r="C26" t="inlineStr">
        <is>
          <t>D846</t>
        </is>
      </c>
      <c r="D26" t="inlineStr">
        <is>
          <t>65438157</t>
        </is>
      </c>
      <c r="E26" t="inlineStr">
        <is>
          <t>4</t>
        </is>
      </c>
      <c r="F26" t="inlineStr">
        <is>
          <t>10000656</t>
        </is>
      </c>
      <c r="H26" t="inlineStr"/>
      <c r="J26" t="n">
        <v>298</v>
      </c>
      <c r="K26" t="inlineStr"/>
      <c r="M26" t="inlineStr">
        <is>
          <t>TN</t>
        </is>
      </c>
      <c r="N26" t="inlineStr"/>
      <c r="P26" t="inlineStr">
        <is>
          <t>20240706</t>
        </is>
      </c>
      <c r="Q26" t="inlineStr">
        <is>
          <t>20240814</t>
        </is>
      </c>
    </row>
    <row r="27">
      <c r="A27" t="inlineStr">
        <is>
          <t>900006074D8466543815710169508</t>
        </is>
      </c>
      <c r="B27" t="inlineStr">
        <is>
          <t>900006074</t>
        </is>
      </c>
      <c r="C27" t="inlineStr">
        <is>
          <t>D846</t>
        </is>
      </c>
      <c r="D27" t="inlineStr">
        <is>
          <t>65438157</t>
        </is>
      </c>
      <c r="E27" t="inlineStr">
        <is>
          <t>4</t>
        </is>
      </c>
      <c r="F27" t="inlineStr">
        <is>
          <t>10169508</t>
        </is>
      </c>
      <c r="H27" t="inlineStr"/>
      <c r="J27" t="n">
        <v>297</v>
      </c>
      <c r="K27" t="inlineStr"/>
      <c r="M27" t="inlineStr">
        <is>
          <t>TN</t>
        </is>
      </c>
      <c r="N27" t="inlineStr"/>
      <c r="P27" t="inlineStr">
        <is>
          <t>20240706</t>
        </is>
      </c>
      <c r="Q27" t="inlineStr">
        <is>
          <t>20240814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900004610D846DF5010171167</t>
        </is>
      </c>
      <c r="B2" t="inlineStr">
        <is>
          <t>4600045304-20</t>
        </is>
      </c>
      <c r="C2" t="n">
        <v>4600045304</v>
      </c>
      <c r="D2" t="n">
        <v>20</v>
      </c>
      <c r="E2" t="inlineStr">
        <is>
          <t>MXPO</t>
        </is>
      </c>
      <c r="F2" t="inlineStr">
        <is>
          <t>MXL</t>
        </is>
      </c>
      <c r="G2" t="n">
        <v>900004610</v>
      </c>
      <c r="H2" t="inlineStr">
        <is>
          <t>TP-ED- ARTURO GUERRERO</t>
        </is>
      </c>
      <c r="I2" t="n">
        <v>5011306</v>
      </c>
      <c r="J2" t="inlineStr">
        <is>
          <t>GUERRERO CASILLAS ARTURO</t>
        </is>
      </c>
      <c r="K2" t="inlineStr">
        <is>
          <t>N90</t>
        </is>
      </c>
      <c r="L2" t="inlineStr">
        <is>
          <t>(AP) NAFIN 90 Dias</t>
        </is>
      </c>
      <c r="M2" t="n">
        <v>10171167</v>
      </c>
      <c r="N2" t="inlineStr">
        <is>
          <t>ARENA TRITURADA ANDESITA MALLA 4</t>
        </is>
      </c>
      <c r="O2" t="inlineStr">
        <is>
          <t>D846</t>
        </is>
      </c>
      <c r="P2" t="inlineStr">
        <is>
          <t>MX-CED. CELAYA</t>
        </is>
      </c>
      <c r="Q2" t="n">
        <v>20190801</v>
      </c>
      <c r="R2" t="n">
        <v>20241231</v>
      </c>
      <c r="S2" t="n">
        <v>20190801</v>
      </c>
      <c r="T2" t="n">
        <v>20241231</v>
      </c>
      <c r="U2" t="n">
        <v>323.11</v>
      </c>
      <c r="V2" t="inlineStr">
        <is>
          <t>MXN</t>
        </is>
      </c>
      <c r="W2" t="inlineStr">
        <is>
          <t>M3</t>
        </is>
      </c>
      <c r="X2" t="n">
        <v>130</v>
      </c>
      <c r="Y2" t="inlineStr">
        <is>
          <t>MXN</t>
        </is>
      </c>
      <c r="Z2" t="inlineStr">
        <is>
          <t>M3</t>
        </is>
      </c>
      <c r="AA2" t="inlineStr">
        <is>
          <t>DF50</t>
        </is>
      </c>
      <c r="AB2" t="inlineStr">
        <is>
          <t>MX-PD0643 CELAYA</t>
        </is>
      </c>
      <c r="AC2" t="n">
        <v>56103638</v>
      </c>
      <c r="AD2" t="n">
        <v>6622361540</v>
      </c>
      <c r="AE2" t="n">
        <v>4</v>
      </c>
      <c r="AF2" t="inlineStr">
        <is>
          <t>ENTREGA DIRECTA</t>
        </is>
      </c>
      <c r="AG2" t="n">
        <v>1.341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20230920</v>
      </c>
      <c r="AM2" t="inlineStr">
        <is>
          <t>D846-900004610-DF50-10171167-4</t>
        </is>
      </c>
    </row>
    <row r="3">
      <c r="A3" t="inlineStr">
        <is>
          <t>900004610D846DF5010171166</t>
        </is>
      </c>
      <c r="B3" t="inlineStr">
        <is>
          <t>4600045304-10</t>
        </is>
      </c>
      <c r="C3" t="n">
        <v>4600045304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900004610</v>
      </c>
      <c r="H3" t="inlineStr">
        <is>
          <t>TP-ED- ARTURO GUERRERO</t>
        </is>
      </c>
      <c r="I3" t="n">
        <v>5011306</v>
      </c>
      <c r="J3" t="inlineStr">
        <is>
          <t>GUERRERO CASILLAS ARTURO</t>
        </is>
      </c>
      <c r="K3" t="inlineStr">
        <is>
          <t>N90</t>
        </is>
      </c>
      <c r="L3" t="inlineStr">
        <is>
          <t>(AP) NAFIN 90 Dias</t>
        </is>
      </c>
      <c r="M3" t="n">
        <v>10171166</v>
      </c>
      <c r="N3" t="inlineStr">
        <is>
          <t>ARENA TRITURADA CALIZA MALLA 4</t>
        </is>
      </c>
      <c r="O3" t="inlineStr">
        <is>
          <t>D846</t>
        </is>
      </c>
      <c r="P3" t="inlineStr">
        <is>
          <t>MX-CED. CELAYA</t>
        </is>
      </c>
      <c r="Q3" t="n">
        <v>20190801</v>
      </c>
      <c r="R3" t="n">
        <v>20241231</v>
      </c>
      <c r="S3" t="n">
        <v>20190801</v>
      </c>
      <c r="T3" t="n">
        <v>20241231</v>
      </c>
      <c r="U3" t="n">
        <v>287.61</v>
      </c>
      <c r="V3" t="inlineStr">
        <is>
          <t>MXN</t>
        </is>
      </c>
      <c r="W3" t="inlineStr">
        <is>
          <t>M3</t>
        </is>
      </c>
      <c r="X3" t="n">
        <v>130</v>
      </c>
      <c r="Y3" t="inlineStr">
        <is>
          <t>MXN</t>
        </is>
      </c>
      <c r="Z3" t="inlineStr">
        <is>
          <t>M3</t>
        </is>
      </c>
      <c r="AA3" t="inlineStr">
        <is>
          <t>DF50</t>
        </is>
      </c>
      <c r="AB3" t="inlineStr">
        <is>
          <t>MX-PD0643 CELAYA</t>
        </is>
      </c>
      <c r="AC3" t="n">
        <v>56103638</v>
      </c>
      <c r="AD3" t="n">
        <v>6622361540</v>
      </c>
      <c r="AE3" t="n">
        <v>4</v>
      </c>
      <c r="AF3" t="inlineStr">
        <is>
          <t>ENTREGA DIRECTA</t>
        </is>
      </c>
      <c r="AG3" t="n">
        <v>1.675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D846-900004610-DF50-10171166-4</t>
        </is>
      </c>
    </row>
    <row r="4">
      <c r="A4" t="inlineStr">
        <is>
          <t>900006074D8466543815710000617</t>
        </is>
      </c>
      <c r="B4" t="inlineStr">
        <is>
          <t>4600069573-10</t>
        </is>
      </c>
      <c r="C4" t="n">
        <v>4600069573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900006074</v>
      </c>
      <c r="H4" t="inlineStr">
        <is>
          <t>SF TP-ED- GRAMOL SLP</t>
        </is>
      </c>
      <c r="I4" t="n">
        <v>5005459</v>
      </c>
      <c r="J4" t="inlineStr">
        <is>
          <t>TRITURADOS GRAMOL SA DE CV</t>
        </is>
      </c>
      <c r="K4" t="inlineStr">
        <is>
          <t>Z04</t>
        </is>
      </c>
      <c r="L4" t="inlineStr">
        <is>
          <t>(AP) 30 Dias</t>
        </is>
      </c>
      <c r="M4" t="n">
        <v>10000617</v>
      </c>
      <c r="N4" t="inlineStr">
        <is>
          <t>Arena Triturada Caliza Malla 5</t>
        </is>
      </c>
      <c r="O4" t="inlineStr">
        <is>
          <t>D846</t>
        </is>
      </c>
      <c r="P4" t="inlineStr">
        <is>
          <t>MX-CED. CELAYA</t>
        </is>
      </c>
      <c r="Q4" t="n">
        <v>20240521</v>
      </c>
      <c r="R4" t="n">
        <v>20291231</v>
      </c>
      <c r="S4" t="n">
        <v>20240521</v>
      </c>
      <c r="T4" t="n">
        <v>20291231</v>
      </c>
      <c r="U4" t="n">
        <v>444</v>
      </c>
      <c r="V4" t="inlineStr">
        <is>
          <t>MXN</t>
        </is>
      </c>
      <c r="W4" t="inlineStr">
        <is>
          <t>TN</t>
        </is>
      </c>
      <c r="X4" t="n">
        <v>284</v>
      </c>
      <c r="Y4" t="inlineStr">
        <is>
          <t>MXN</t>
        </is>
      </c>
      <c r="Z4" t="inlineStr">
        <is>
          <t>TN</t>
        </is>
      </c>
      <c r="AA4" t="inlineStr">
        <is>
          <t>65438157</t>
        </is>
      </c>
      <c r="AB4" t="inlineStr">
        <is>
          <t>CONCRETOS VADICO.</t>
        </is>
      </c>
      <c r="AC4" t="n">
        <v>56103638</v>
      </c>
      <c r="AD4" t="n">
        <v>6622361540</v>
      </c>
      <c r="AE4" t="n">
        <v>4</v>
      </c>
      <c r="AF4" t="inlineStr">
        <is>
          <t>ENTREGA DIRECTA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20240524</v>
      </c>
      <c r="AM4" t="inlineStr">
        <is>
          <t>D846-900006074-65438157-10000617-4</t>
        </is>
      </c>
    </row>
    <row r="5">
      <c r="A5" t="inlineStr">
        <is>
          <t>900008596D84610000231</t>
        </is>
      </c>
      <c r="B5" t="inlineStr">
        <is>
          <t>4600069357-30</t>
        </is>
      </c>
      <c r="C5" t="n">
        <v>4600069357</v>
      </c>
      <c r="D5" t="n">
        <v>30</v>
      </c>
      <c r="E5" t="inlineStr">
        <is>
          <t>MXPO</t>
        </is>
      </c>
      <c r="F5" t="inlineStr">
        <is>
          <t>MXL</t>
        </is>
      </c>
      <c r="G5" t="n">
        <v>900008596</v>
      </c>
      <c r="H5" t="inlineStr">
        <is>
          <t>SF TP BANCO LA LUZ</t>
        </is>
      </c>
      <c r="I5" t="n">
        <v>5088539</v>
      </c>
      <c r="J5" t="inlineStr">
        <is>
          <t>PAVIMENTOS Y TRITURADOS DEL CENTRO</t>
        </is>
      </c>
      <c r="K5" t="inlineStr">
        <is>
          <t>N30</t>
        </is>
      </c>
      <c r="L5" t="inlineStr">
        <is>
          <t>(AP) NAFIN 30 Dias</t>
        </is>
      </c>
      <c r="M5" t="n">
        <v>10000231</v>
      </c>
      <c r="N5" t="inlineStr">
        <is>
          <t>Grava Triturada Basalto 20 mm - 3/4"</t>
        </is>
      </c>
      <c r="O5" t="inlineStr">
        <is>
          <t>D846</t>
        </is>
      </c>
      <c r="P5" t="inlineStr">
        <is>
          <t>MX-CED. CELAYA</t>
        </is>
      </c>
      <c r="Q5" t="n">
        <v>20240408</v>
      </c>
      <c r="R5" t="n">
        <v>20291231</v>
      </c>
      <c r="S5" t="n">
        <v>20240705</v>
      </c>
      <c r="T5" t="n">
        <v>20291231</v>
      </c>
      <c r="U5" t="n">
        <v>198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56103637</v>
      </c>
      <c r="AD5" t="n">
        <v>6622361540</v>
      </c>
      <c r="AE5" t="n">
        <v>1</v>
      </c>
      <c r="AF5" t="inlineStr">
        <is>
          <t>ENTREGADO</t>
        </is>
      </c>
      <c r="AG5" t="n">
        <v>1.565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20240709</v>
      </c>
      <c r="AM5" t="inlineStr">
        <is>
          <t>D846-900008596-10000231</t>
        </is>
      </c>
    </row>
    <row r="6">
      <c r="A6" t="inlineStr">
        <is>
          <t>900008596D84610228149</t>
        </is>
      </c>
      <c r="B6" t="inlineStr">
        <is>
          <t>4600069357-40</t>
        </is>
      </c>
      <c r="C6" t="n">
        <v>4600069357</v>
      </c>
      <c r="D6" t="n">
        <v>40</v>
      </c>
      <c r="E6" t="inlineStr">
        <is>
          <t>MXPO</t>
        </is>
      </c>
      <c r="F6" t="inlineStr">
        <is>
          <t>MXL</t>
        </is>
      </c>
      <c r="G6" t="n">
        <v>900008596</v>
      </c>
      <c r="H6" t="inlineStr">
        <is>
          <t>SF TP BANCO LA LUZ</t>
        </is>
      </c>
      <c r="I6" t="n">
        <v>5088539</v>
      </c>
      <c r="J6" t="inlineStr">
        <is>
          <t>PAVIMENTOS Y TRITURADOS DEL CENTRO</t>
        </is>
      </c>
      <c r="K6" t="inlineStr">
        <is>
          <t>N30</t>
        </is>
      </c>
      <c r="L6" t="inlineStr">
        <is>
          <t>(AP) NAFIN 30 Dias</t>
        </is>
      </c>
      <c r="M6" t="n">
        <v>10228149</v>
      </c>
      <c r="N6" t="inlineStr">
        <is>
          <t>ARENA TRITURADA BASALTO MALLA 4</t>
        </is>
      </c>
      <c r="O6" t="inlineStr">
        <is>
          <t>D846</t>
        </is>
      </c>
      <c r="P6" t="inlineStr">
        <is>
          <t>MX-CED. CELAYA</t>
        </is>
      </c>
      <c r="Q6" t="n">
        <v>20240408</v>
      </c>
      <c r="R6" t="n">
        <v>20291231</v>
      </c>
      <c r="S6" t="n">
        <v>20240705</v>
      </c>
      <c r="T6" t="n">
        <v>20291231</v>
      </c>
      <c r="U6" t="n">
        <v>187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56103638</v>
      </c>
      <c r="AD6" t="n">
        <v>6622361540</v>
      </c>
      <c r="AE6" t="n">
        <v>1</v>
      </c>
      <c r="AF6" t="inlineStr">
        <is>
          <t>ENTREGADO</t>
        </is>
      </c>
      <c r="AG6" t="n">
        <v>1.717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20240709</v>
      </c>
      <c r="AM6" t="inlineStr">
        <is>
          <t>D846-900008596-10228149</t>
        </is>
      </c>
    </row>
    <row r="7">
      <c r="A7" t="inlineStr">
        <is>
          <t>900008596D84610000570</t>
        </is>
      </c>
      <c r="B7" t="inlineStr">
        <is>
          <t>4600069357-20</t>
        </is>
      </c>
      <c r="C7" t="n">
        <v>4600069357</v>
      </c>
      <c r="D7" t="n">
        <v>20</v>
      </c>
      <c r="E7" t="inlineStr">
        <is>
          <t>MXPO</t>
        </is>
      </c>
      <c r="F7" t="inlineStr">
        <is>
          <t>MXL</t>
        </is>
      </c>
      <c r="G7" t="n">
        <v>900008596</v>
      </c>
      <c r="H7" t="inlineStr">
        <is>
          <t>SF TP BANCO LA LUZ</t>
        </is>
      </c>
      <c r="I7" t="n">
        <v>5088539</v>
      </c>
      <c r="J7" t="inlineStr">
        <is>
          <t>PAVIMENTOS Y TRITURADOS DEL CENTRO</t>
        </is>
      </c>
      <c r="K7" t="inlineStr">
        <is>
          <t>N30</t>
        </is>
      </c>
      <c r="L7" t="inlineStr">
        <is>
          <t>(AP) NAFIN 30 Dias</t>
        </is>
      </c>
      <c r="M7" t="n">
        <v>10000570</v>
      </c>
      <c r="N7" t="inlineStr">
        <is>
          <t>Grava Triturada Basalto 40 mm - 1 1/2"</t>
        </is>
      </c>
      <c r="O7" t="inlineStr">
        <is>
          <t>D846</t>
        </is>
      </c>
      <c r="P7" t="inlineStr">
        <is>
          <t>MX-CED. CELAYA</t>
        </is>
      </c>
      <c r="Q7" t="n">
        <v>20240408</v>
      </c>
      <c r="R7" t="n">
        <v>20291231</v>
      </c>
      <c r="S7" t="n">
        <v>20240705</v>
      </c>
      <c r="T7" t="n">
        <v>20291231</v>
      </c>
      <c r="U7" t="n">
        <v>187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56103637</v>
      </c>
      <c r="AD7" t="n">
        <v>6622361540</v>
      </c>
      <c r="AE7" t="n">
        <v>1</v>
      </c>
      <c r="AF7" t="inlineStr">
        <is>
          <t>ENTREGADO</t>
        </is>
      </c>
      <c r="AG7" t="n">
        <v>1.5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20240709</v>
      </c>
      <c r="AM7" t="inlineStr">
        <is>
          <t>D846-900008596-10000570</t>
        </is>
      </c>
    </row>
    <row r="8">
      <c r="A8" t="inlineStr">
        <is>
          <t>900007331D84610058507</t>
        </is>
      </c>
      <c r="B8" t="inlineStr">
        <is>
          <t>4600071872-10</t>
        </is>
      </c>
      <c r="C8" t="n">
        <v>4600071872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900007331</v>
      </c>
      <c r="H8" t="inlineStr">
        <is>
          <t>SF TP-GRAKO QRO</t>
        </is>
      </c>
      <c r="I8" t="n">
        <v>5065843</v>
      </c>
      <c r="J8" t="inlineStr">
        <is>
          <t>TRITURADOS GRAKO SA DE CV</t>
        </is>
      </c>
      <c r="K8" t="inlineStr">
        <is>
          <t>N90</t>
        </is>
      </c>
      <c r="L8" t="inlineStr">
        <is>
          <t>(AP) NAFIN 90 Dias</t>
        </is>
      </c>
      <c r="M8" t="n">
        <v>10058507</v>
      </c>
      <c r="N8" t="inlineStr">
        <is>
          <t>Base H Triturada Basalto 1 1/2" a Finos</t>
        </is>
      </c>
      <c r="O8" t="inlineStr">
        <is>
          <t>D846</t>
        </is>
      </c>
      <c r="P8" t="inlineStr">
        <is>
          <t>MX-CED. CELAYA</t>
        </is>
      </c>
      <c r="Q8" t="n">
        <v>20251217</v>
      </c>
      <c r="R8" t="n">
        <v>20301231</v>
      </c>
      <c r="S8" t="n">
        <v>20251217</v>
      </c>
      <c r="T8" t="n">
        <v>20301231</v>
      </c>
      <c r="U8" t="n">
        <v>160</v>
      </c>
      <c r="V8" t="inlineStr">
        <is>
          <t>MXN</t>
        </is>
      </c>
      <c r="W8" t="inlineStr">
        <is>
          <t>TN</t>
        </is>
      </c>
      <c r="X8" t="n">
        <v>0</v>
      </c>
      <c r="Y8" t="inlineStr">
        <is>
          <t>MXN</t>
        </is>
      </c>
      <c r="Z8" t="inlineStr">
        <is>
          <t>TN</t>
        </is>
      </c>
      <c r="AC8" t="n">
        <v>56103590</v>
      </c>
      <c r="AD8" t="n">
        <v>6622361867</v>
      </c>
      <c r="AE8" t="n">
        <v>1</v>
      </c>
      <c r="AF8" t="inlineStr">
        <is>
          <t>ENTREGADO</t>
        </is>
      </c>
      <c r="AG8" t="n">
        <v>1</v>
      </c>
      <c r="AH8" t="inlineStr">
        <is>
          <t>TO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20251224</v>
      </c>
      <c r="AM8" t="inlineStr">
        <is>
          <t>D846-900007331-10058507</t>
        </is>
      </c>
    </row>
    <row r="9">
      <c r="A9" t="inlineStr">
        <is>
          <t>900006074D8466543815710000536</t>
        </is>
      </c>
      <c r="B9" t="inlineStr">
        <is>
          <t>4600069573-30</t>
        </is>
      </c>
      <c r="C9" t="n">
        <v>4600069573</v>
      </c>
      <c r="D9" t="n">
        <v>30</v>
      </c>
      <c r="E9" t="inlineStr">
        <is>
          <t>MXPO</t>
        </is>
      </c>
      <c r="F9" t="inlineStr">
        <is>
          <t>MXL</t>
        </is>
      </c>
      <c r="G9" t="n">
        <v>900006074</v>
      </c>
      <c r="H9" t="inlineStr">
        <is>
          <t>SF TP-ED- GRAMOL SLP</t>
        </is>
      </c>
      <c r="I9" t="n">
        <v>5005459</v>
      </c>
      <c r="J9" t="inlineStr">
        <is>
          <t>TRITURADOS GRAMOL SA DE CV</t>
        </is>
      </c>
      <c r="K9" t="inlineStr">
        <is>
          <t>Z04</t>
        </is>
      </c>
      <c r="L9" t="inlineStr">
        <is>
          <t>(AP) 30 Dias</t>
        </is>
      </c>
      <c r="M9" t="n">
        <v>10000536</v>
      </c>
      <c r="N9" t="inlineStr">
        <is>
          <t>Grava Triturada Caliza 40 mm - 1 1/2"</t>
        </is>
      </c>
      <c r="O9" t="inlineStr">
        <is>
          <t>D846</t>
        </is>
      </c>
      <c r="P9" t="inlineStr">
        <is>
          <t>MX-CED. CELAYA</t>
        </is>
      </c>
      <c r="Q9" t="n">
        <v>20240521</v>
      </c>
      <c r="R9" t="n">
        <v>20291231</v>
      </c>
      <c r="S9" t="n">
        <v>20240521</v>
      </c>
      <c r="T9" t="n">
        <v>20291231</v>
      </c>
      <c r="U9" t="n">
        <v>434</v>
      </c>
      <c r="V9" t="inlineStr">
        <is>
          <t>MXN</t>
        </is>
      </c>
      <c r="W9" t="inlineStr">
        <is>
          <t>TN</t>
        </is>
      </c>
      <c r="X9" t="n">
        <v>284</v>
      </c>
      <c r="Y9" t="inlineStr">
        <is>
          <t>MXN</t>
        </is>
      </c>
      <c r="Z9" t="inlineStr">
        <is>
          <t>TN</t>
        </is>
      </c>
      <c r="AA9" t="inlineStr">
        <is>
          <t>65438157</t>
        </is>
      </c>
      <c r="AB9" t="inlineStr">
        <is>
          <t>CONCRETOS VADICO.</t>
        </is>
      </c>
      <c r="AC9" t="n">
        <v>56103637</v>
      </c>
      <c r="AD9" t="n">
        <v>6622361540</v>
      </c>
      <c r="AE9" t="n">
        <v>4</v>
      </c>
      <c r="AF9" t="inlineStr">
        <is>
          <t>ENTREGA DIRECTA</t>
        </is>
      </c>
      <c r="AG9" t="n">
        <v>1</v>
      </c>
      <c r="AH9" t="inlineStr">
        <is>
          <t>TO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20240524</v>
      </c>
      <c r="AM9" t="inlineStr">
        <is>
          <t>D846-900006074-65438157-10000536-4</t>
        </is>
      </c>
    </row>
    <row r="10">
      <c r="A10" t="inlineStr">
        <is>
          <t>900005110D84610058507</t>
        </is>
      </c>
      <c r="B10" t="inlineStr">
        <is>
          <t>4600069259-10</t>
        </is>
      </c>
      <c r="C10" t="n">
        <v>4600069259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900005110</v>
      </c>
      <c r="H10" t="inlineStr">
        <is>
          <t>TP- GRAKO</t>
        </is>
      </c>
      <c r="I10" t="n">
        <v>5065843</v>
      </c>
      <c r="J10" t="inlineStr">
        <is>
          <t>TRITURADOS GRAKO SA DE CV</t>
        </is>
      </c>
      <c r="K10" t="inlineStr">
        <is>
          <t>N30</t>
        </is>
      </c>
      <c r="L10" t="inlineStr">
        <is>
          <t>(AP) NAFIN 30 Dias</t>
        </is>
      </c>
      <c r="M10" t="n">
        <v>10058507</v>
      </c>
      <c r="N10" t="inlineStr">
        <is>
          <t>Base H Triturada Basalto 1 1/2" a Finos</t>
        </is>
      </c>
      <c r="O10" t="inlineStr">
        <is>
          <t>D846</t>
        </is>
      </c>
      <c r="P10" t="inlineStr">
        <is>
          <t>MX-CED. CELAYA</t>
        </is>
      </c>
      <c r="Q10" t="n">
        <v>20240321</v>
      </c>
      <c r="R10" t="n">
        <v>20291231</v>
      </c>
      <c r="S10" t="n">
        <v>20240321</v>
      </c>
      <c r="T10" t="n">
        <v>20291231</v>
      </c>
      <c r="U10" t="n">
        <v>102</v>
      </c>
      <c r="V10" t="inlineStr">
        <is>
          <t>MXN</t>
        </is>
      </c>
      <c r="W10" t="inlineStr">
        <is>
          <t>TN</t>
        </is>
      </c>
      <c r="X10" t="n">
        <v>0</v>
      </c>
      <c r="Y10" t="inlineStr">
        <is>
          <t>MXN</t>
        </is>
      </c>
      <c r="Z10" t="inlineStr">
        <is>
          <t>TN</t>
        </is>
      </c>
      <c r="AC10" t="n">
        <v>56103590</v>
      </c>
      <c r="AD10" t="n">
        <v>6622361867</v>
      </c>
      <c r="AE10" t="n">
        <v>2</v>
      </c>
      <c r="AF10" t="inlineStr">
        <is>
          <t>RECOGIDO</t>
        </is>
      </c>
      <c r="AG10" t="n">
        <v>1</v>
      </c>
      <c r="AH10" t="inlineStr">
        <is>
          <t>TO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20240331</v>
      </c>
      <c r="AM10" t="inlineStr">
        <is>
          <t>D846-900005110-10058507</t>
        </is>
      </c>
    </row>
    <row r="11">
      <c r="A11" t="inlineStr">
        <is>
          <t>900006074D8466543815710000578</t>
        </is>
      </c>
      <c r="B11" t="inlineStr">
        <is>
          <t>4600069573-20</t>
        </is>
      </c>
      <c r="C11" t="n">
        <v>4600069573</v>
      </c>
      <c r="D11" t="n">
        <v>20</v>
      </c>
      <c r="E11" t="inlineStr">
        <is>
          <t>MXPO</t>
        </is>
      </c>
      <c r="F11" t="inlineStr">
        <is>
          <t>MXL</t>
        </is>
      </c>
      <c r="G11" t="n">
        <v>900006074</v>
      </c>
      <c r="H11" t="inlineStr">
        <is>
          <t>SF TP-ED- GRAMOL SLP</t>
        </is>
      </c>
      <c r="I11" t="n">
        <v>5005459</v>
      </c>
      <c r="J11" t="inlineStr">
        <is>
          <t>TRITURADOS GRAMOL SA DE CV</t>
        </is>
      </c>
      <c r="K11" t="inlineStr">
        <is>
          <t>Z04</t>
        </is>
      </c>
      <c r="L11" t="inlineStr">
        <is>
          <t>(AP) 30 Dias</t>
        </is>
      </c>
      <c r="M11" t="n">
        <v>10000578</v>
      </c>
      <c r="N11" t="inlineStr">
        <is>
          <t>Grava Triturada Caliza 20 mm - 3/4"</t>
        </is>
      </c>
      <c r="O11" t="inlineStr">
        <is>
          <t>D846</t>
        </is>
      </c>
      <c r="P11" t="inlineStr">
        <is>
          <t>MX-CED. CELAYA</t>
        </is>
      </c>
      <c r="Q11" t="n">
        <v>20240521</v>
      </c>
      <c r="R11" t="n">
        <v>20291231</v>
      </c>
      <c r="S11" t="n">
        <v>20240521</v>
      </c>
      <c r="T11" t="n">
        <v>20291231</v>
      </c>
      <c r="U11" t="n">
        <v>434</v>
      </c>
      <c r="V11" t="inlineStr">
        <is>
          <t>MXN</t>
        </is>
      </c>
      <c r="W11" t="inlineStr">
        <is>
          <t>TN</t>
        </is>
      </c>
      <c r="X11" t="n">
        <v>284</v>
      </c>
      <c r="Y11" t="inlineStr">
        <is>
          <t>MXN</t>
        </is>
      </c>
      <c r="Z11" t="inlineStr">
        <is>
          <t>TN</t>
        </is>
      </c>
      <c r="AA11" t="inlineStr">
        <is>
          <t>65438157</t>
        </is>
      </c>
      <c r="AB11" t="inlineStr">
        <is>
          <t>CONCRETOS VADICO.</t>
        </is>
      </c>
      <c r="AC11" t="n">
        <v>56103637</v>
      </c>
      <c r="AD11" t="n">
        <v>6622361540</v>
      </c>
      <c r="AE11" t="n">
        <v>4</v>
      </c>
      <c r="AF11" t="inlineStr">
        <is>
          <t>ENTREGA DIRECTA</t>
        </is>
      </c>
      <c r="AG11" t="n">
        <v>1</v>
      </c>
      <c r="AH11" t="inlineStr">
        <is>
          <t>TO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20240524</v>
      </c>
      <c r="AM11" t="inlineStr">
        <is>
          <t>D846-900006074-65438157-10000578-4</t>
        </is>
      </c>
    </row>
    <row r="12">
      <c r="A12" t="inlineStr">
        <is>
          <t>900005110D84610001077</t>
        </is>
      </c>
      <c r="B12" t="inlineStr">
        <is>
          <t>4600069259-50</t>
        </is>
      </c>
      <c r="C12" t="n">
        <v>4600069259</v>
      </c>
      <c r="D12" t="n">
        <v>50</v>
      </c>
      <c r="E12" t="inlineStr">
        <is>
          <t>MXPO</t>
        </is>
      </c>
      <c r="F12" t="inlineStr">
        <is>
          <t>MXL</t>
        </is>
      </c>
      <c r="G12" t="n">
        <v>900005110</v>
      </c>
      <c r="H12" t="inlineStr">
        <is>
          <t>TP- GRAKO</t>
        </is>
      </c>
      <c r="I12" t="n">
        <v>5065843</v>
      </c>
      <c r="J12" t="inlineStr">
        <is>
          <t>TRITURADOS GRAKO SA DE CV</t>
        </is>
      </c>
      <c r="K12" t="inlineStr">
        <is>
          <t>N30</t>
        </is>
      </c>
      <c r="L12" t="inlineStr">
        <is>
          <t>(AP) NAFIN 30 Dias</t>
        </is>
      </c>
      <c r="M12" t="n">
        <v>10001077</v>
      </c>
      <c r="N12" t="inlineStr">
        <is>
          <t>Crudo Basalto</t>
        </is>
      </c>
      <c r="O12" t="inlineStr">
        <is>
          <t>D846</t>
        </is>
      </c>
      <c r="P12" t="inlineStr">
        <is>
          <t>MX-CED. CELAYA</t>
        </is>
      </c>
      <c r="Q12" t="n">
        <v>20240321</v>
      </c>
      <c r="R12" t="n">
        <v>20291231</v>
      </c>
      <c r="S12" t="n">
        <v>20240925</v>
      </c>
      <c r="T12" t="n">
        <v>20291231</v>
      </c>
      <c r="U12" t="n">
        <v>89</v>
      </c>
      <c r="V12" t="inlineStr">
        <is>
          <t>MXN</t>
        </is>
      </c>
      <c r="W12" t="inlineStr">
        <is>
          <t>TN</t>
        </is>
      </c>
      <c r="X12" t="n">
        <v>0</v>
      </c>
      <c r="Y12" t="inlineStr">
        <is>
          <t>MXN</t>
        </is>
      </c>
      <c r="Z12" t="inlineStr">
        <is>
          <t>TN</t>
        </is>
      </c>
      <c r="AC12" t="n">
        <v>56103636</v>
      </c>
      <c r="AD12" t="n">
        <v>6622361540</v>
      </c>
      <c r="AE12" t="n">
        <v>1</v>
      </c>
      <c r="AF12" t="inlineStr">
        <is>
          <t>ENTREGADO</t>
        </is>
      </c>
      <c r="AG12" t="n">
        <v>1</v>
      </c>
      <c r="AH12" t="inlineStr">
        <is>
          <t>TO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20241004</v>
      </c>
      <c r="AM12" t="inlineStr">
        <is>
          <t>D846-900005110-10001077</t>
        </is>
      </c>
    </row>
    <row r="13">
      <c r="A13" t="inlineStr">
        <is>
          <t>900005110D84610147486</t>
        </is>
      </c>
      <c r="B13" t="inlineStr">
        <is>
          <t>4600069259-40</t>
        </is>
      </c>
      <c r="C13" t="n">
        <v>4600069259</v>
      </c>
      <c r="D13" t="n">
        <v>40</v>
      </c>
      <c r="E13" t="inlineStr">
        <is>
          <t>MXPO</t>
        </is>
      </c>
      <c r="F13" t="inlineStr">
        <is>
          <t>MXL</t>
        </is>
      </c>
      <c r="G13" t="n">
        <v>900005110</v>
      </c>
      <c r="H13" t="inlineStr">
        <is>
          <t>TP- GRAKO</t>
        </is>
      </c>
      <c r="I13" t="n">
        <v>5065843</v>
      </c>
      <c r="J13" t="inlineStr">
        <is>
          <t>TRITURADOS GRAKO SA DE CV</t>
        </is>
      </c>
      <c r="K13" t="inlineStr">
        <is>
          <t>N30</t>
        </is>
      </c>
      <c r="L13" t="inlineStr">
        <is>
          <t>(AP) NAFIN 30 Dias</t>
        </is>
      </c>
      <c r="M13" t="n">
        <v>10147486</v>
      </c>
      <c r="N13" t="inlineStr">
        <is>
          <t>BALASTO TRITURADO</t>
        </is>
      </c>
      <c r="O13" t="inlineStr">
        <is>
          <t>D846</t>
        </is>
      </c>
      <c r="P13" t="inlineStr">
        <is>
          <t>MX-CED. CELAYA</t>
        </is>
      </c>
      <c r="Q13" t="n">
        <v>20240321</v>
      </c>
      <c r="R13" t="n">
        <v>20291231</v>
      </c>
      <c r="S13" t="n">
        <v>20240925</v>
      </c>
      <c r="T13" t="n">
        <v>20291231</v>
      </c>
      <c r="U13" t="n">
        <v>89</v>
      </c>
      <c r="V13" t="inlineStr">
        <is>
          <t>MXN</t>
        </is>
      </c>
      <c r="W13" t="inlineStr">
        <is>
          <t>TN</t>
        </is>
      </c>
      <c r="X13" t="n">
        <v>0</v>
      </c>
      <c r="Y13" t="inlineStr">
        <is>
          <t>MXN</t>
        </is>
      </c>
      <c r="Z13" t="inlineStr">
        <is>
          <t>TN</t>
        </is>
      </c>
      <c r="AC13" t="n">
        <v>56103591</v>
      </c>
      <c r="AD13" t="n">
        <v>6622361540</v>
      </c>
      <c r="AE13" t="n">
        <v>1</v>
      </c>
      <c r="AF13" t="inlineStr">
        <is>
          <t>ENTREGADO</t>
        </is>
      </c>
      <c r="AG13" t="n">
        <v>1</v>
      </c>
      <c r="AH13" t="inlineStr">
        <is>
          <t>TO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20240927</v>
      </c>
      <c r="AM13" t="inlineStr">
        <is>
          <t>D846-900005110-10147486</t>
        </is>
      </c>
    </row>
    <row r="14">
      <c r="A14" t="inlineStr">
        <is>
          <t>900006074D8466543815710169508</t>
        </is>
      </c>
      <c r="B14" t="inlineStr">
        <is>
          <t>4600069573-50</t>
        </is>
      </c>
      <c r="C14" t="n">
        <v>4600069573</v>
      </c>
      <c r="D14" t="n">
        <v>50</v>
      </c>
      <c r="E14" t="inlineStr">
        <is>
          <t>MXPO</t>
        </is>
      </c>
      <c r="F14" t="inlineStr">
        <is>
          <t>MXL</t>
        </is>
      </c>
      <c r="G14" t="n">
        <v>900006074</v>
      </c>
      <c r="H14" t="inlineStr">
        <is>
          <t>SF TP-ED- GRAMOL SLP</t>
        </is>
      </c>
      <c r="I14" t="n">
        <v>5005459</v>
      </c>
      <c r="J14" t="inlineStr">
        <is>
          <t>TRITURADOS GRAMOL SA DE CV</t>
        </is>
      </c>
      <c r="K14" t="inlineStr">
        <is>
          <t>Z04</t>
        </is>
      </c>
      <c r="L14" t="inlineStr">
        <is>
          <t>(AP) 30 Dias</t>
        </is>
      </c>
      <c r="M14" t="n">
        <v>10169508</v>
      </c>
      <c r="N14" t="inlineStr">
        <is>
          <t>GRAVA TRITURADA CALIZA 13 MM - 1/2"</t>
        </is>
      </c>
      <c r="O14" t="inlineStr">
        <is>
          <t>D846</t>
        </is>
      </c>
      <c r="P14" t="inlineStr">
        <is>
          <t>MX-CED. CELAYA</t>
        </is>
      </c>
      <c r="Q14" t="n">
        <v>20240521</v>
      </c>
      <c r="R14" t="n">
        <v>20291231</v>
      </c>
      <c r="S14" t="n">
        <v>20240521</v>
      </c>
      <c r="T14" t="n">
        <v>20291231</v>
      </c>
      <c r="U14" t="n">
        <v>446</v>
      </c>
      <c r="V14" t="inlineStr">
        <is>
          <t>MXN</t>
        </is>
      </c>
      <c r="W14" t="inlineStr">
        <is>
          <t>TN</t>
        </is>
      </c>
      <c r="X14" t="n">
        <v>284</v>
      </c>
      <c r="Y14" t="inlineStr">
        <is>
          <t>MXN</t>
        </is>
      </c>
      <c r="Z14" t="inlineStr">
        <is>
          <t>TN</t>
        </is>
      </c>
      <c r="AA14" t="inlineStr">
        <is>
          <t>65438157</t>
        </is>
      </c>
      <c r="AB14" t="inlineStr">
        <is>
          <t>CONCRETOS VADICO.</t>
        </is>
      </c>
      <c r="AC14" t="n">
        <v>56103637</v>
      </c>
      <c r="AD14" t="n">
        <v>6622361540</v>
      </c>
      <c r="AE14" t="n">
        <v>4</v>
      </c>
      <c r="AF14" t="inlineStr">
        <is>
          <t>ENTREGA DIRECTA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20240524</v>
      </c>
      <c r="AM14" t="inlineStr">
        <is>
          <t>D846-900006074-65438157-10169508-4</t>
        </is>
      </c>
    </row>
    <row r="15">
      <c r="A15" t="inlineStr">
        <is>
          <t>900006074D8466543815710000656</t>
        </is>
      </c>
      <c r="B15" t="inlineStr">
        <is>
          <t>4600069573-40</t>
        </is>
      </c>
      <c r="C15" t="n">
        <v>4600069573</v>
      </c>
      <c r="D15" t="n">
        <v>40</v>
      </c>
      <c r="E15" t="inlineStr">
        <is>
          <t>MXPO</t>
        </is>
      </c>
      <c r="F15" t="inlineStr">
        <is>
          <t>MXL</t>
        </is>
      </c>
      <c r="G15" t="n">
        <v>900006074</v>
      </c>
      <c r="H15" t="inlineStr">
        <is>
          <t>SF TP-ED- GRAMOL SLP</t>
        </is>
      </c>
      <c r="I15" t="n">
        <v>5005459</v>
      </c>
      <c r="J15" t="inlineStr">
        <is>
          <t>TRITURADOS GRAMOL SA DE CV</t>
        </is>
      </c>
      <c r="K15" t="inlineStr">
        <is>
          <t>Z04</t>
        </is>
      </c>
      <c r="L15" t="inlineStr">
        <is>
          <t>(AP) 30 Dias</t>
        </is>
      </c>
      <c r="M15" t="n">
        <v>10000656</v>
      </c>
      <c r="N15" t="inlineStr">
        <is>
          <t>Grava Triturada Caliza 10 mm - 3/8"</t>
        </is>
      </c>
      <c r="O15" t="inlineStr">
        <is>
          <t>D846</t>
        </is>
      </c>
      <c r="P15" t="inlineStr">
        <is>
          <t>MX-CED. CELAYA</t>
        </is>
      </c>
      <c r="Q15" t="n">
        <v>20240521</v>
      </c>
      <c r="R15" t="n">
        <v>20291231</v>
      </c>
      <c r="S15" t="n">
        <v>20240521</v>
      </c>
      <c r="T15" t="n">
        <v>20291231</v>
      </c>
      <c r="U15" t="n">
        <v>442</v>
      </c>
      <c r="V15" t="inlineStr">
        <is>
          <t>MXN</t>
        </is>
      </c>
      <c r="W15" t="inlineStr">
        <is>
          <t>TN</t>
        </is>
      </c>
      <c r="X15" t="n">
        <v>284</v>
      </c>
      <c r="Y15" t="inlineStr">
        <is>
          <t>MXN</t>
        </is>
      </c>
      <c r="Z15" t="inlineStr">
        <is>
          <t>TN</t>
        </is>
      </c>
      <c r="AA15" t="inlineStr">
        <is>
          <t>65438157</t>
        </is>
      </c>
      <c r="AB15" t="inlineStr">
        <is>
          <t>CONCRETOS VADICO.</t>
        </is>
      </c>
      <c r="AC15" t="n">
        <v>56103637</v>
      </c>
      <c r="AD15" t="n">
        <v>6622361540</v>
      </c>
      <c r="AE15" t="n">
        <v>4</v>
      </c>
      <c r="AF15" t="inlineStr">
        <is>
          <t>ENTREGA DIRECTA</t>
        </is>
      </c>
      <c r="AG15" t="n">
        <v>1</v>
      </c>
      <c r="AH15" t="inlineStr">
        <is>
          <t>TO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20240524</v>
      </c>
      <c r="AM15" t="inlineStr">
        <is>
          <t>D846-900006074-65438157-10000656-4</t>
        </is>
      </c>
    </row>
    <row r="16">
      <c r="A16" t="inlineStr">
        <is>
          <t>900008596D84610058507</t>
        </is>
      </c>
      <c r="B16" t="inlineStr">
        <is>
          <t>4600069357-10</t>
        </is>
      </c>
      <c r="C16" t="n">
        <v>4600069357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900008596</v>
      </c>
      <c r="H16" t="inlineStr">
        <is>
          <t>SF TP BANCO LA LUZ</t>
        </is>
      </c>
      <c r="I16" t="n">
        <v>5088539</v>
      </c>
      <c r="J16" t="inlineStr">
        <is>
          <t>PAVIMENTOS Y TRITURADOS DEL CENTRO</t>
        </is>
      </c>
      <c r="K16" t="inlineStr">
        <is>
          <t>N30</t>
        </is>
      </c>
      <c r="L16" t="inlineStr">
        <is>
          <t>(AP) NAFIN 30 Dias</t>
        </is>
      </c>
      <c r="M16" t="n">
        <v>10058507</v>
      </c>
      <c r="N16" t="inlineStr">
        <is>
          <t>Base H Triturada Basalto 1 1/2" a Finos</t>
        </is>
      </c>
      <c r="O16" t="inlineStr">
        <is>
          <t>D846</t>
        </is>
      </c>
      <c r="P16" t="inlineStr">
        <is>
          <t>MX-CED. CELAYA</t>
        </is>
      </c>
      <c r="Q16" t="n">
        <v>20240408</v>
      </c>
      <c r="R16" t="n">
        <v>20291231</v>
      </c>
      <c r="S16" t="n">
        <v>20240413</v>
      </c>
      <c r="T16" t="n">
        <v>99991231</v>
      </c>
      <c r="U16" t="n">
        <v>187</v>
      </c>
      <c r="V16" t="inlineStr">
        <is>
          <t>MXN</t>
        </is>
      </c>
      <c r="W16" t="inlineStr">
        <is>
          <t>M3</t>
        </is>
      </c>
      <c r="AC16" t="n">
        <v>56103590</v>
      </c>
      <c r="AD16" t="n">
        <v>6622361867</v>
      </c>
      <c r="AE16" t="n">
        <v>1</v>
      </c>
      <c r="AF16" t="inlineStr">
        <is>
          <t>ENTREGADO</t>
        </is>
      </c>
      <c r="AG16" t="n">
        <v>1.85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20240508</v>
      </c>
      <c r="AM16" t="inlineStr">
        <is>
          <t>D846-900008596-10058507</t>
        </is>
      </c>
    </row>
    <row r="17">
      <c r="A17" t="inlineStr">
        <is>
          <t>900005110D84610000382</t>
        </is>
      </c>
      <c r="B17" t="inlineStr">
        <is>
          <t>4600069259-20</t>
        </is>
      </c>
      <c r="C17" t="n">
        <v>4600069259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900005110</v>
      </c>
      <c r="H17" t="inlineStr">
        <is>
          <t>TP- GRAKO</t>
        </is>
      </c>
      <c r="I17" t="n">
        <v>5065843</v>
      </c>
      <c r="J17" t="inlineStr">
        <is>
          <t>TRITURADOS GRAKO SA DE CV</t>
        </is>
      </c>
      <c r="K17" t="inlineStr">
        <is>
          <t>N30</t>
        </is>
      </c>
      <c r="L17" t="inlineStr">
        <is>
          <t>(AP) NAFIN 30 Dias</t>
        </is>
      </c>
      <c r="M17" t="n">
        <v>10000382</v>
      </c>
      <c r="N17" t="inlineStr">
        <is>
          <t>Grava Triturada Basalto 20 mm - 3/4"</t>
        </is>
      </c>
      <c r="O17" t="inlineStr">
        <is>
          <t>D846</t>
        </is>
      </c>
      <c r="P17" t="inlineStr">
        <is>
          <t>MX-CED. CELAYA</t>
        </is>
      </c>
      <c r="Q17" t="n">
        <v>20240321</v>
      </c>
      <c r="R17" t="n">
        <v>20291231</v>
      </c>
      <c r="S17" t="n">
        <v>20240712</v>
      </c>
      <c r="T17" t="n">
        <v>20291231</v>
      </c>
      <c r="U17" t="n">
        <v>138</v>
      </c>
      <c r="V17" t="inlineStr">
        <is>
          <t>MXN</t>
        </is>
      </c>
      <c r="W17" t="inlineStr">
        <is>
          <t>TN</t>
        </is>
      </c>
      <c r="X17" t="n">
        <v>0</v>
      </c>
      <c r="Y17" t="inlineStr">
        <is>
          <t>MXN</t>
        </is>
      </c>
      <c r="Z17" t="inlineStr">
        <is>
          <t>TN</t>
        </is>
      </c>
      <c r="AC17" t="n">
        <v>56103637</v>
      </c>
      <c r="AD17" t="n">
        <v>6622361540</v>
      </c>
      <c r="AE17" t="n">
        <v>2</v>
      </c>
      <c r="AF17" t="inlineStr">
        <is>
          <t>RECOGIDO</t>
        </is>
      </c>
      <c r="AG17" t="n">
        <v>1</v>
      </c>
      <c r="AH17" t="inlineStr">
        <is>
          <t>TO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20240715</v>
      </c>
      <c r="AM17" t="inlineStr">
        <is>
          <t>D846-900005110-10000382</t>
        </is>
      </c>
    </row>
    <row r="18">
      <c r="A18" t="inlineStr">
        <is>
          <t>900009311D84610058507</t>
        </is>
      </c>
      <c r="B18" t="inlineStr">
        <is>
          <t>4600071809-10</t>
        </is>
      </c>
      <c r="C18" t="n">
        <v>4600071809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900009311</v>
      </c>
      <c r="H18" t="inlineStr">
        <is>
          <t>SF TP-AGACEL BRUJAS</t>
        </is>
      </c>
      <c r="I18" t="n">
        <v>5071383</v>
      </c>
      <c r="J18" t="inlineStr">
        <is>
          <t>AGACEL AGREGADOS Y ASFALTOS</t>
        </is>
      </c>
      <c r="K18" t="inlineStr">
        <is>
          <t>Z03</t>
        </is>
      </c>
      <c r="L18" t="inlineStr">
        <is>
          <t>(AP) 15 Dias</t>
        </is>
      </c>
      <c r="M18" t="n">
        <v>10058507</v>
      </c>
      <c r="N18" t="inlineStr">
        <is>
          <t>Base H Triturada Basalto 1 1/2" a Finos</t>
        </is>
      </c>
      <c r="O18" t="inlineStr">
        <is>
          <t>D846</t>
        </is>
      </c>
      <c r="P18" t="inlineStr">
        <is>
          <t>MX-CED. CELAYA</t>
        </is>
      </c>
      <c r="Q18" t="n">
        <v>20251128</v>
      </c>
      <c r="R18" t="n">
        <v>20301231</v>
      </c>
      <c r="S18" t="n">
        <v>20251128</v>
      </c>
      <c r="T18" t="n">
        <v>20301231</v>
      </c>
      <c r="U18" t="n">
        <v>240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56103590</v>
      </c>
      <c r="AD18" t="n">
        <v>6622361867</v>
      </c>
      <c r="AE18" t="n">
        <v>1</v>
      </c>
      <c r="AF18" t="inlineStr">
        <is>
          <t>ENTREGADO</t>
        </is>
      </c>
      <c r="AG18" t="n">
        <v>1.85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20251202</v>
      </c>
      <c r="AM18" t="inlineStr">
        <is>
          <t>D846-900009311-10058507</t>
        </is>
      </c>
    </row>
    <row r="19">
      <c r="A19" t="inlineStr">
        <is>
          <t>900005110D84610000384</t>
        </is>
      </c>
      <c r="B19" t="inlineStr">
        <is>
          <t>4600069259-30</t>
        </is>
      </c>
      <c r="C19" t="n">
        <v>4600069259</v>
      </c>
      <c r="D19" t="n">
        <v>30</v>
      </c>
      <c r="E19" t="inlineStr">
        <is>
          <t>MXPO</t>
        </is>
      </c>
      <c r="F19" t="inlineStr">
        <is>
          <t>MXL</t>
        </is>
      </c>
      <c r="G19" t="n">
        <v>900005110</v>
      </c>
      <c r="H19" t="inlineStr">
        <is>
          <t>TP- GRAKO</t>
        </is>
      </c>
      <c r="I19" t="n">
        <v>5065843</v>
      </c>
      <c r="J19" t="inlineStr">
        <is>
          <t>TRITURADOS GRAKO SA DE CV</t>
        </is>
      </c>
      <c r="K19" t="inlineStr">
        <is>
          <t>N30</t>
        </is>
      </c>
      <c r="L19" t="inlineStr">
        <is>
          <t>(AP) NAFIN 30 Dias</t>
        </is>
      </c>
      <c r="M19" t="n">
        <v>10000384</v>
      </c>
      <c r="N19" t="inlineStr">
        <is>
          <t>Arena Triturada Basalto Malla 4</t>
        </is>
      </c>
      <c r="O19" t="inlineStr">
        <is>
          <t>D846</t>
        </is>
      </c>
      <c r="P19" t="inlineStr">
        <is>
          <t>MX-CED. CELAYA</t>
        </is>
      </c>
      <c r="Q19" t="n">
        <v>20240321</v>
      </c>
      <c r="R19" t="n">
        <v>20291231</v>
      </c>
      <c r="S19" t="n">
        <v>20240919</v>
      </c>
      <c r="T19" t="n">
        <v>20291231</v>
      </c>
      <c r="U19" t="n">
        <v>80</v>
      </c>
      <c r="V19" t="inlineStr">
        <is>
          <t>MXN</t>
        </is>
      </c>
      <c r="W19" t="inlineStr">
        <is>
          <t>TN</t>
        </is>
      </c>
      <c r="X19" t="n">
        <v>0</v>
      </c>
      <c r="Y19" t="inlineStr">
        <is>
          <t>MXN</t>
        </is>
      </c>
      <c r="Z19" t="inlineStr">
        <is>
          <t>TN</t>
        </is>
      </c>
      <c r="AC19" t="n">
        <v>56103638</v>
      </c>
      <c r="AD19" t="n">
        <v>6622361540</v>
      </c>
      <c r="AE19" t="n">
        <v>1</v>
      </c>
      <c r="AF19" t="inlineStr">
        <is>
          <t>ENTREGADO</t>
        </is>
      </c>
      <c r="AG19" t="n">
        <v>1</v>
      </c>
      <c r="AH19" t="inlineStr">
        <is>
          <t>TO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20240923</v>
      </c>
      <c r="AM19" t="inlineStr">
        <is>
          <t>D846-900005110-10000384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2026-09-14T14:20:18Z</dcterms:created>
  <dcterms:modified xsi:type="dcterms:W3CDTF">2026-09-14T14:20:18Z</dcterms:modified>
</cp:coreProperties>
</file>