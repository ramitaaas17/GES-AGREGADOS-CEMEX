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53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900003541</v>
      </c>
      <c r="D3" s="7">
        <f>IFERROR(VLOOKUP(C3,TRAOPE!$G:$H,2,0),"")</f>
        <v/>
      </c>
      <c r="E3" s="8" t="inlineStr">
        <is>
          <t>D853</t>
        </is>
      </c>
      <c r="F3" s="8" t="inlineStr">
        <is>
          <t>66650160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10000363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20221109</t>
        </is>
      </c>
      <c r="M3" s="8" t="inlineStr">
        <is>
          <t>20251031</t>
        </is>
      </c>
      <c r="N3" s="10" t="n">
        <v>105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900004527</v>
      </c>
      <c r="D4" s="7">
        <f>IFERROR(VLOOKUP(C4,TRAOPE!$G:$H,2,0),"")</f>
        <v/>
      </c>
      <c r="E4" s="8" t="inlineStr">
        <is>
          <t>D853</t>
        </is>
      </c>
      <c r="F4" s="8" t="inlineStr">
        <is>
          <t>66650406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10048387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20221109</t>
        </is>
      </c>
      <c r="M4" s="8" t="inlineStr">
        <is>
          <t>20251031</t>
        </is>
      </c>
      <c r="N4" s="10" t="n">
        <v>196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900005092</v>
      </c>
      <c r="D5" s="7">
        <f>IFERROR(VLOOKUP(C5,TRAOPE!$G:$H,2,0),"")</f>
        <v/>
      </c>
      <c r="E5" s="8" t="inlineStr">
        <is>
          <t>D853</t>
        </is>
      </c>
      <c r="F5" s="8" t="inlineStr">
        <is>
          <t>66804658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10144288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20221109</t>
        </is>
      </c>
      <c r="M5" s="8" t="inlineStr">
        <is>
          <t>20251031</t>
        </is>
      </c>
      <c r="N5" s="10" t="n">
        <v>95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900005242</v>
      </c>
      <c r="D6" s="7">
        <f>IFERROR(VLOOKUP(C6,TRAOPE!$G:$H,2,0),"")</f>
        <v/>
      </c>
      <c r="E6" s="8" t="inlineStr">
        <is>
          <t>D853</t>
        </is>
      </c>
      <c r="F6" s="8" t="inlineStr">
        <is>
          <t>66804658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10144288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20221109</t>
        </is>
      </c>
      <c r="M6" s="8" t="inlineStr">
        <is>
          <t>20251031</t>
        </is>
      </c>
      <c r="N6" s="10" t="n">
        <v>137.64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900005983</v>
      </c>
      <c r="D7" s="7">
        <f>IFERROR(VLOOKUP(C7,TRAOPE!$G:$H,2,0),"")</f>
        <v/>
      </c>
      <c r="E7" s="8" t="inlineStr">
        <is>
          <t>D853</t>
        </is>
      </c>
      <c r="F7" s="8" t="inlineStr">
        <is>
          <t>66650406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10133812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20221109</t>
        </is>
      </c>
      <c r="M7" s="8" t="inlineStr">
        <is>
          <t>20251031</t>
        </is>
      </c>
      <c r="N7" s="10" t="n">
        <v>162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900005983</v>
      </c>
      <c r="D8" s="7">
        <f>IFERROR(VLOOKUP(C8,TRAOPE!$G:$H,2,0),"")</f>
        <v/>
      </c>
      <c r="E8" s="8" t="inlineStr">
        <is>
          <t>D853</t>
        </is>
      </c>
      <c r="F8" s="8" t="inlineStr">
        <is>
          <t>66942585</t>
        </is>
      </c>
      <c r="G8" s="8">
        <f>IFERROR(VLOOKUP(A8,Flete!$A:$E,5,0),"")</f>
        <v/>
      </c>
      <c r="H8" s="7">
        <f>IFERROR(VLOOKUP(F8,TRAOPE!$AA:$AB,2,0),"")</f>
        <v/>
      </c>
      <c r="I8" s="7" t="n">
        <v>10133812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20221109</t>
        </is>
      </c>
      <c r="M8" s="8" t="inlineStr">
        <is>
          <t>20251031</t>
        </is>
      </c>
      <c r="N8" s="10" t="n">
        <v>196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900005992</v>
      </c>
      <c r="D9" s="7">
        <f>IFERROR(VLOOKUP(C9,TRAOPE!$G:$H,2,0),"")</f>
        <v/>
      </c>
      <c r="E9" s="8" t="inlineStr">
        <is>
          <t>D853</t>
        </is>
      </c>
      <c r="F9" s="8" t="inlineStr">
        <is>
          <t>66650160</t>
        </is>
      </c>
      <c r="G9" s="8">
        <f>IFERROR(VLOOKUP(A9,Flete!$A:$E,5,0),"")</f>
        <v/>
      </c>
      <c r="H9" s="7">
        <f>IFERROR(VLOOKUP(F9,TRAOPE!$AA:$AB,2,0),"")</f>
        <v/>
      </c>
      <c r="I9" s="7" t="n">
        <v>10139786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20221109</t>
        </is>
      </c>
      <c r="M9" s="8" t="inlineStr">
        <is>
          <t>20251031</t>
        </is>
      </c>
      <c r="N9" s="10" t="n">
        <v>105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900005992</v>
      </c>
      <c r="D10" s="7">
        <f>IFERROR(VLOOKUP(C10,TRAOPE!$G:$H,2,0),"")</f>
        <v/>
      </c>
      <c r="E10" s="8" t="inlineStr">
        <is>
          <t>D853</t>
        </is>
      </c>
      <c r="F10" s="8" t="inlineStr">
        <is>
          <t>66651140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10139786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20221109</t>
        </is>
      </c>
      <c r="M10" s="8" t="inlineStr">
        <is>
          <t>20251031</t>
        </is>
      </c>
      <c r="N10" s="10" t="n">
        <v>106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900005992</v>
      </c>
      <c r="D11" s="7">
        <f>IFERROR(VLOOKUP(C11,TRAOPE!$G:$H,2,0),"")</f>
        <v/>
      </c>
      <c r="E11" s="8" t="inlineStr">
        <is>
          <t>D853</t>
        </is>
      </c>
      <c r="F11" s="8" t="inlineStr">
        <is>
          <t>66905766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10139786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20221109</t>
        </is>
      </c>
      <c r="M11" s="8" t="inlineStr">
        <is>
          <t>20251031</t>
        </is>
      </c>
      <c r="N11" s="10" t="n">
        <v>110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900006361</v>
      </c>
      <c r="D12" s="7">
        <f>IFERROR(VLOOKUP(C12,TRAOPE!$G:$H,2,0),"")</f>
        <v/>
      </c>
      <c r="E12" s="8" t="inlineStr">
        <is>
          <t>D853</t>
        </is>
      </c>
      <c r="F12" s="8" t="inlineStr">
        <is>
          <t>66650160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10139786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20221109</t>
        </is>
      </c>
      <c r="M12" s="8" t="inlineStr">
        <is>
          <t>20251031</t>
        </is>
      </c>
      <c r="N12" s="10" t="n">
        <v>105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900006962</v>
      </c>
      <c r="D13" s="7">
        <f>IFERROR(VLOOKUP(C13,TRAOPE!$G:$H,2,0),"")</f>
        <v/>
      </c>
      <c r="E13" s="8" t="inlineStr">
        <is>
          <t>D853</t>
        </is>
      </c>
      <c r="F13" s="8" t="inlineStr">
        <is>
          <t>65000971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10140391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20221109</t>
        </is>
      </c>
      <c r="M13" s="8" t="inlineStr">
        <is>
          <t>20251031</t>
        </is>
      </c>
      <c r="N13" s="10" t="n">
        <v>122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900006962</v>
      </c>
      <c r="D14" s="7">
        <f>IFERROR(VLOOKUP(C14,TRAOPE!$G:$H,2,0),"")</f>
        <v/>
      </c>
      <c r="E14" s="8" t="inlineStr">
        <is>
          <t>D853</t>
        </is>
      </c>
      <c r="F14" s="8" t="inlineStr">
        <is>
          <t>66650160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10140391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20221109</t>
        </is>
      </c>
      <c r="M14" s="8" t="inlineStr">
        <is>
          <t>20251031</t>
        </is>
      </c>
      <c r="N14" s="10" t="n">
        <v>122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900007188</v>
      </c>
      <c r="D15" s="7">
        <f>IFERROR(VLOOKUP(C15,TRAOPE!$G:$H,2,0),"")</f>
        <v/>
      </c>
      <c r="E15" s="8" t="inlineStr">
        <is>
          <t>D853</t>
        </is>
      </c>
      <c r="F15" s="8" t="inlineStr">
        <is>
          <t>66650160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10152920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20221109</t>
        </is>
      </c>
      <c r="M15" s="8" t="inlineStr">
        <is>
          <t>20251031</t>
        </is>
      </c>
      <c r="N15" s="10" t="n">
        <v>100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900007188</v>
      </c>
      <c r="D16" s="7">
        <f>IFERROR(VLOOKUP(C16,TRAOPE!$G:$H,2,0),"")</f>
        <v/>
      </c>
      <c r="E16" s="8" t="inlineStr">
        <is>
          <t>D853</t>
        </is>
      </c>
      <c r="F16" s="8" t="inlineStr">
        <is>
          <t>66650160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10208119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20221109</t>
        </is>
      </c>
      <c r="M16" s="8" t="inlineStr">
        <is>
          <t>20251031</t>
        </is>
      </c>
      <c r="N16" s="10" t="n">
        <v>105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900007188</v>
      </c>
      <c r="D17" s="7">
        <f>IFERROR(VLOOKUP(C17,TRAOPE!$G:$H,2,0),"")</f>
        <v/>
      </c>
      <c r="E17" s="8" t="inlineStr">
        <is>
          <t>D853</t>
        </is>
      </c>
      <c r="F17" s="8" t="inlineStr">
        <is>
          <t>66650160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10213459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20221109</t>
        </is>
      </c>
      <c r="M17" s="8" t="inlineStr">
        <is>
          <t>20251031</t>
        </is>
      </c>
      <c r="N17" s="10" t="n">
        <v>100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900002329</v>
      </c>
      <c r="D18" s="7">
        <f>IFERROR(VLOOKUP(C18,TRAOPE!$G:$H,2,0),"")</f>
        <v/>
      </c>
      <c r="E18" s="8" t="inlineStr">
        <is>
          <t>D853</t>
        </is>
      </c>
      <c r="F18" s="8" t="inlineStr">
        <is>
          <t>66905766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10140391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20201014</t>
        </is>
      </c>
      <c r="M18" s="8" t="inlineStr">
        <is>
          <t>99991231</t>
        </is>
      </c>
      <c r="N18" s="10" t="n">
        <v>112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900004527</v>
      </c>
      <c r="D19" s="7">
        <f>IFERROR(VLOOKUP(C19,TRAOPE!$G:$H,2,0),"")</f>
        <v/>
      </c>
      <c r="E19" s="8" t="inlineStr">
        <is>
          <t>D853</t>
        </is>
      </c>
      <c r="F19" s="8" t="inlineStr">
        <is>
          <t>66650160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10048387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20200910</t>
        </is>
      </c>
      <c r="M19" s="8" t="inlineStr">
        <is>
          <t>99991231</t>
        </is>
      </c>
      <c r="N19" s="10" t="n">
        <v>270.3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900005092</v>
      </c>
      <c r="D20" s="7">
        <f>IFERROR(VLOOKUP(C20,TRAOPE!$G:$H,2,0),"")</f>
        <v/>
      </c>
      <c r="E20" s="8" t="inlineStr">
        <is>
          <t>D853</t>
        </is>
      </c>
      <c r="F20" s="8" t="inlineStr">
        <is>
          <t>66650160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10144288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20201201</t>
        </is>
      </c>
      <c r="M20" s="8" t="inlineStr">
        <is>
          <t>99991231</t>
        </is>
      </c>
      <c r="N20" s="10" t="n">
        <v>110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900005992</v>
      </c>
      <c r="D21" s="7">
        <f>IFERROR(VLOOKUP(C21,TRAOPE!$G:$H,2,0),"")</f>
        <v/>
      </c>
      <c r="E21" s="8" t="inlineStr">
        <is>
          <t>D853</t>
        </is>
      </c>
      <c r="F21" s="8" t="inlineStr">
        <is>
          <t>65120212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10173699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20191011</t>
        </is>
      </c>
      <c r="M21" s="8" t="inlineStr">
        <is>
          <t>99991231</t>
        </is>
      </c>
      <c r="N21" s="10" t="n">
        <v>29.95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900006962</v>
      </c>
      <c r="D22" s="7">
        <f>IFERROR(VLOOKUP(C22,TRAOPE!$G:$H,2,0),"")</f>
        <v/>
      </c>
      <c r="E22" s="8" t="inlineStr">
        <is>
          <t>D853</t>
        </is>
      </c>
      <c r="F22" s="8" t="inlineStr">
        <is>
          <t>65000971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10048271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20201107</t>
        </is>
      </c>
      <c r="M22" s="8" t="inlineStr">
        <is>
          <t>99991231</t>
        </is>
      </c>
      <c r="N22" s="10" t="n">
        <v>206.8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900007188</v>
      </c>
      <c r="D23" s="7">
        <f>IFERROR(VLOOKUP(C23,TRAOPE!$G:$H,2,0),"")</f>
        <v/>
      </c>
      <c r="E23" s="8" t="inlineStr">
        <is>
          <t>D853</t>
        </is>
      </c>
      <c r="F23" s="8" t="inlineStr">
        <is>
          <t>66650160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10001455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20211110</t>
        </is>
      </c>
      <c r="M23" s="8" t="inlineStr">
        <is>
          <t>99991231</t>
        </is>
      </c>
      <c r="N23" s="10" t="n">
        <v>110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900007579</v>
      </c>
      <c r="D24" s="7">
        <f>IFERROR(VLOOKUP(C24,TRAOPE!$G:$H,2,0),"")</f>
        <v/>
      </c>
      <c r="E24" s="8" t="inlineStr">
        <is>
          <t>D853</t>
        </is>
      </c>
      <c r="F24" s="8" t="inlineStr">
        <is>
          <t>65120212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10173699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20230120</t>
        </is>
      </c>
      <c r="M24" s="8" t="inlineStr">
        <is>
          <t>99991231</t>
        </is>
      </c>
      <c r="N24" s="10" t="n">
        <v>676.58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900002329</v>
      </c>
      <c r="D25" s="7">
        <f>IFERROR(VLOOKUP(C25,TRAOPE!$G:$H,2,0),"")</f>
        <v/>
      </c>
      <c r="E25" s="8" t="inlineStr">
        <is>
          <t>D853</t>
        </is>
      </c>
      <c r="F25" s="8" t="inlineStr">
        <is>
          <t>66806529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10140391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20240813</t>
        </is>
      </c>
      <c r="M25" s="8" t="inlineStr">
        <is>
          <t>20241108</t>
        </is>
      </c>
      <c r="N25" s="10" t="n">
        <v>122.5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900002329</v>
      </c>
      <c r="D26" s="7">
        <f>IFERROR(VLOOKUP(C26,TRAOPE!$G:$H,2,0),"")</f>
        <v/>
      </c>
      <c r="E26" s="8" t="inlineStr">
        <is>
          <t>D853</t>
        </is>
      </c>
      <c r="F26" s="8" t="inlineStr">
        <is>
          <t>66905766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10140391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20240813</t>
        </is>
      </c>
      <c r="M26" s="8" t="inlineStr">
        <is>
          <t>20241108</t>
        </is>
      </c>
      <c r="N26" s="10" t="n">
        <v>112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900003541</v>
      </c>
      <c r="D27" s="7">
        <f>IFERROR(VLOOKUP(C27,TRAOPE!$G:$H,2,0),"")</f>
        <v/>
      </c>
      <c r="E27" s="8" t="inlineStr">
        <is>
          <t>D853</t>
        </is>
      </c>
      <c r="F27" s="8" t="inlineStr">
        <is>
          <t>66650160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10000363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20240813</t>
        </is>
      </c>
      <c r="M27" s="8" t="inlineStr">
        <is>
          <t>20241108</t>
        </is>
      </c>
      <c r="N27" s="10" t="n">
        <v>105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900003677</v>
      </c>
      <c r="D28" s="7">
        <f>IFERROR(VLOOKUP(C28,TRAOPE!$G:$H,2,0),"")</f>
        <v/>
      </c>
      <c r="E28" s="8" t="inlineStr">
        <is>
          <t>D853</t>
        </is>
      </c>
      <c r="F28" s="8" t="inlineStr">
        <is>
          <t>67300241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10000645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20250721</t>
        </is>
      </c>
      <c r="M28" s="8" t="inlineStr">
        <is>
          <t>99991231</t>
        </is>
      </c>
      <c r="N28" s="10" t="n">
        <v>369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900003677</v>
      </c>
      <c r="D29" s="7">
        <f>IFERROR(VLOOKUP(C29,TRAOPE!$G:$H,2,0),"")</f>
        <v/>
      </c>
      <c r="E29" s="8" t="inlineStr">
        <is>
          <t>D853</t>
        </is>
      </c>
      <c r="F29" s="8" t="inlineStr">
        <is>
          <t>67300241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10003344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20250721</t>
        </is>
      </c>
      <c r="M29" s="8" t="inlineStr">
        <is>
          <t>99991231</t>
        </is>
      </c>
      <c r="N29" s="10" t="n">
        <v>399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900003677</v>
      </c>
      <c r="D30" s="7">
        <f>IFERROR(VLOOKUP(C30,TRAOPE!$G:$H,2,0),"")</f>
        <v/>
      </c>
      <c r="E30" s="8" t="inlineStr">
        <is>
          <t>D853</t>
        </is>
      </c>
      <c r="F30" s="8" t="inlineStr">
        <is>
          <t>67300241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10133051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20250721</t>
        </is>
      </c>
      <c r="M30" s="8" t="inlineStr">
        <is>
          <t>99991231</t>
        </is>
      </c>
      <c r="N30" s="10" t="n">
        <v>855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900004527</v>
      </c>
      <c r="D31" s="7">
        <f>IFERROR(VLOOKUP(C31,TRAOPE!$G:$H,2,0),"")</f>
        <v/>
      </c>
      <c r="E31" s="8" t="inlineStr">
        <is>
          <t>D853</t>
        </is>
      </c>
      <c r="F31" s="8" t="inlineStr">
        <is>
          <t>66650160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10048387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20240813</t>
        </is>
      </c>
      <c r="M31" s="8" t="inlineStr">
        <is>
          <t>20241108</t>
        </is>
      </c>
      <c r="N31" s="10" t="n">
        <v>270.3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900004527</v>
      </c>
      <c r="D32" s="7">
        <f>IFERROR(VLOOKUP(C32,TRAOPE!$G:$H,2,0),"")</f>
        <v/>
      </c>
      <c r="E32" s="8" t="inlineStr">
        <is>
          <t>D853</t>
        </is>
      </c>
      <c r="F32" s="8" t="inlineStr">
        <is>
          <t>66650406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10048387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20240813</t>
        </is>
      </c>
      <c r="M32" s="8" t="inlineStr">
        <is>
          <t>20241108</t>
        </is>
      </c>
      <c r="N32" s="10" t="n">
        <v>196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900005092</v>
      </c>
      <c r="D33" s="7">
        <f>IFERROR(VLOOKUP(C33,TRAOPE!$G:$H,2,0),"")</f>
        <v/>
      </c>
      <c r="E33" s="8" t="inlineStr">
        <is>
          <t>D853</t>
        </is>
      </c>
      <c r="F33" s="8" t="inlineStr">
        <is>
          <t>66650160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10144288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20240813</t>
        </is>
      </c>
      <c r="M33" s="8" t="inlineStr">
        <is>
          <t>20241108</t>
        </is>
      </c>
      <c r="N33" s="10" t="n">
        <v>110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900005092</v>
      </c>
      <c r="D34" s="7">
        <f>IFERROR(VLOOKUP(C34,TRAOPE!$G:$H,2,0),"")</f>
        <v/>
      </c>
      <c r="E34" s="8" t="inlineStr">
        <is>
          <t>D853</t>
        </is>
      </c>
      <c r="F34" s="8" t="inlineStr">
        <is>
          <t>66804658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10144288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20240813</t>
        </is>
      </c>
      <c r="M34" s="8" t="inlineStr">
        <is>
          <t>20241108</t>
        </is>
      </c>
      <c r="N34" s="10" t="n">
        <v>95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900005242</v>
      </c>
      <c r="D35" s="7">
        <f>IFERROR(VLOOKUP(C35,TRAOPE!$G:$H,2,0),"")</f>
        <v/>
      </c>
      <c r="E35" s="8" t="inlineStr">
        <is>
          <t>D853</t>
        </is>
      </c>
      <c r="F35" s="8" t="inlineStr">
        <is>
          <t>66804658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10144288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20240813</t>
        </is>
      </c>
      <c r="M35" s="8" t="inlineStr">
        <is>
          <t>20241108</t>
        </is>
      </c>
      <c r="N35" s="10" t="n">
        <v>137.64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900005983</v>
      </c>
      <c r="D36" s="7">
        <f>IFERROR(VLOOKUP(C36,TRAOPE!$G:$H,2,0),"")</f>
        <v/>
      </c>
      <c r="E36" s="8" t="inlineStr">
        <is>
          <t>D853</t>
        </is>
      </c>
      <c r="F36" s="8" t="inlineStr">
        <is>
          <t>66650406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10133812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20240813</t>
        </is>
      </c>
      <c r="M36" s="8" t="inlineStr">
        <is>
          <t>20241108</t>
        </is>
      </c>
      <c r="N36" s="10" t="n">
        <v>162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900005992</v>
      </c>
      <c r="D37" s="7">
        <f>IFERROR(VLOOKUP(C37,TRAOPE!$G:$H,2,0),"")</f>
        <v/>
      </c>
      <c r="E37" s="8" t="inlineStr">
        <is>
          <t>D853</t>
        </is>
      </c>
      <c r="F37" s="8" t="inlineStr">
        <is>
          <t>65120212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10173699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20191011</t>
        </is>
      </c>
      <c r="M37" s="8" t="inlineStr">
        <is>
          <t>99991231</t>
        </is>
      </c>
      <c r="N37" s="10" t="n">
        <v>29.95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900005992</v>
      </c>
      <c r="D38" s="7">
        <f>IFERROR(VLOOKUP(C38,TRAOPE!$G:$H,2,0),"")</f>
        <v/>
      </c>
      <c r="E38" s="8" t="inlineStr">
        <is>
          <t>D853</t>
        </is>
      </c>
      <c r="F38" s="8" t="inlineStr">
        <is>
          <t>66650160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10139786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20240813</t>
        </is>
      </c>
      <c r="M38" s="8" t="inlineStr">
        <is>
          <t>20241108</t>
        </is>
      </c>
      <c r="N38" s="10" t="n">
        <v>105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900005992</v>
      </c>
      <c r="D39" s="7">
        <f>IFERROR(VLOOKUP(C39,TRAOPE!$G:$H,2,0),"")</f>
        <v/>
      </c>
      <c r="E39" s="8" t="inlineStr">
        <is>
          <t>D853</t>
        </is>
      </c>
      <c r="F39" s="8" t="inlineStr">
        <is>
          <t>66651140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10139786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20240813</t>
        </is>
      </c>
      <c r="M39" s="8" t="inlineStr">
        <is>
          <t>20241108</t>
        </is>
      </c>
      <c r="N39" s="10" t="n">
        <v>106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900005992</v>
      </c>
      <c r="D40" s="7">
        <f>IFERROR(VLOOKUP(C40,TRAOPE!$G:$H,2,0),"")</f>
        <v/>
      </c>
      <c r="E40" s="8" t="inlineStr">
        <is>
          <t>D853</t>
        </is>
      </c>
      <c r="F40" s="8" t="inlineStr">
        <is>
          <t>66905766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10139786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20240813</t>
        </is>
      </c>
      <c r="M40" s="8" t="inlineStr">
        <is>
          <t>20241108</t>
        </is>
      </c>
      <c r="N40" s="10" t="n">
        <v>110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900006361</v>
      </c>
      <c r="D41" s="7">
        <f>IFERROR(VLOOKUP(C41,TRAOPE!$G:$H,2,0),"")</f>
        <v/>
      </c>
      <c r="E41" s="8" t="inlineStr">
        <is>
          <t>D853</t>
        </is>
      </c>
      <c r="F41" s="8" t="inlineStr">
        <is>
          <t>66650160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10139786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20240813</t>
        </is>
      </c>
      <c r="M41" s="8" t="inlineStr">
        <is>
          <t>20241108</t>
        </is>
      </c>
      <c r="N41" s="10" t="n">
        <v>105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900006962</v>
      </c>
      <c r="D42" s="7">
        <f>IFERROR(VLOOKUP(C42,TRAOPE!$G:$H,2,0),"")</f>
        <v/>
      </c>
      <c r="E42" s="8" t="inlineStr">
        <is>
          <t>D853</t>
        </is>
      </c>
      <c r="F42" s="8" t="inlineStr">
        <is>
          <t>66650160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10140391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20240813</t>
        </is>
      </c>
      <c r="M42" s="8" t="inlineStr">
        <is>
          <t>20241108</t>
        </is>
      </c>
      <c r="N42" s="10" t="n">
        <v>122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900007188</v>
      </c>
      <c r="D43" s="7">
        <f>IFERROR(VLOOKUP(C43,TRAOPE!$G:$H,2,0),"")</f>
        <v/>
      </c>
      <c r="E43" s="8" t="inlineStr">
        <is>
          <t>D853</t>
        </is>
      </c>
      <c r="F43" s="8" t="inlineStr">
        <is>
          <t>66650160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10001455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20240813</t>
        </is>
      </c>
      <c r="M43" s="8" t="inlineStr">
        <is>
          <t>20241108</t>
        </is>
      </c>
      <c r="N43" s="10" t="n">
        <v>110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900007188</v>
      </c>
      <c r="D44" s="7">
        <f>IFERROR(VLOOKUP(C44,TRAOPE!$G:$H,2,0),"")</f>
        <v/>
      </c>
      <c r="E44" s="8" t="inlineStr">
        <is>
          <t>D853</t>
        </is>
      </c>
      <c r="F44" s="8" t="inlineStr">
        <is>
          <t>66650160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10148458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20250711</t>
        </is>
      </c>
      <c r="M44" s="8" t="inlineStr">
        <is>
          <t>99991231</t>
        </is>
      </c>
      <c r="N44" s="10" t="n">
        <v>237.6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900007188</v>
      </c>
      <c r="D45" s="7">
        <f>IFERROR(VLOOKUP(C45,TRAOPE!$G:$H,2,0),"")</f>
        <v/>
      </c>
      <c r="E45" s="8" t="inlineStr">
        <is>
          <t>D853</t>
        </is>
      </c>
      <c r="F45" s="8" t="inlineStr">
        <is>
          <t>66650160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10152920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20250711</t>
        </is>
      </c>
      <c r="M45" s="8" t="inlineStr">
        <is>
          <t>99991231</t>
        </is>
      </c>
      <c r="N45" s="10" t="n">
        <v>110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900007188</v>
      </c>
      <c r="D46" s="7">
        <f>IFERROR(VLOOKUP(C46,TRAOPE!$G:$H,2,0),"")</f>
        <v/>
      </c>
      <c r="E46" s="8" t="inlineStr">
        <is>
          <t>D853</t>
        </is>
      </c>
      <c r="F46" s="8" t="inlineStr">
        <is>
          <t>66650160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10173699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20250711</t>
        </is>
      </c>
      <c r="M46" s="8" t="inlineStr">
        <is>
          <t>99991231</t>
        </is>
      </c>
      <c r="N46" s="10" t="n">
        <v>115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900007188</v>
      </c>
      <c r="D47" s="7">
        <f>IFERROR(VLOOKUP(C47,TRAOPE!$G:$H,2,0),"")</f>
        <v/>
      </c>
      <c r="E47" s="8" t="inlineStr">
        <is>
          <t>D853</t>
        </is>
      </c>
      <c r="F47" s="8" t="inlineStr">
        <is>
          <t>66650160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10208119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20240813</t>
        </is>
      </c>
      <c r="M47" s="8" t="inlineStr">
        <is>
          <t>20241108</t>
        </is>
      </c>
      <c r="N47" s="10" t="n">
        <v>105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900007188</v>
      </c>
      <c r="D48" s="7">
        <f>IFERROR(VLOOKUP(C48,TRAOPE!$G:$H,2,0),"")</f>
        <v/>
      </c>
      <c r="E48" s="8" t="inlineStr">
        <is>
          <t>D853</t>
        </is>
      </c>
      <c r="F48" s="8" t="inlineStr">
        <is>
          <t>66650160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10213459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20240813</t>
        </is>
      </c>
      <c r="M48" s="8" t="inlineStr">
        <is>
          <t>20241108</t>
        </is>
      </c>
      <c r="N48" s="10" t="n">
        <v>100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900007188</v>
      </c>
      <c r="D49" s="7">
        <f>IFERROR(VLOOKUP(C49,TRAOPE!$G:$H,2,0),"")</f>
        <v/>
      </c>
      <c r="E49" s="8" t="inlineStr">
        <is>
          <t>D853</t>
        </is>
      </c>
      <c r="F49" s="8" t="inlineStr">
        <is>
          <t>66650259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10000166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20240806</t>
        </is>
      </c>
      <c r="M49" s="8" t="inlineStr">
        <is>
          <t>99991231</t>
        </is>
      </c>
      <c r="N49" s="10" t="n">
        <v>130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900007188</v>
      </c>
      <c r="D50" s="7">
        <f>IFERROR(VLOOKUP(C50,TRAOPE!$G:$H,2,0),"")</f>
        <v/>
      </c>
      <c r="E50" s="8" t="inlineStr">
        <is>
          <t>D853</t>
        </is>
      </c>
      <c r="F50" s="8" t="inlineStr">
        <is>
          <t>67323032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10000176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20250610</t>
        </is>
      </c>
      <c r="M50" s="8" t="inlineStr">
        <is>
          <t>99991231</t>
        </is>
      </c>
      <c r="N50" s="10" t="n">
        <v>65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900007188</v>
      </c>
      <c r="D51" s="7">
        <f>IFERROR(VLOOKUP(C51,TRAOPE!$G:$H,2,0),"")</f>
        <v/>
      </c>
      <c r="E51" s="8" t="inlineStr">
        <is>
          <t>D853</t>
        </is>
      </c>
      <c r="F51" s="8" t="inlineStr">
        <is>
          <t>67323032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10048387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20250604</t>
        </is>
      </c>
      <c r="M51" s="8" t="inlineStr">
        <is>
          <t>99991231</t>
        </is>
      </c>
      <c r="N51" s="10" t="n">
        <v>235.2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900007188</v>
      </c>
      <c r="D52" s="7">
        <f>IFERROR(VLOOKUP(C52,TRAOPE!$G:$H,2,0),"")</f>
        <v/>
      </c>
      <c r="E52" s="8" t="inlineStr">
        <is>
          <t>D853</t>
        </is>
      </c>
      <c r="F52" s="8" t="inlineStr">
        <is>
          <t>67323032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10065403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20250604</t>
        </is>
      </c>
      <c r="M52" s="8" t="inlineStr">
        <is>
          <t>99991231</t>
        </is>
      </c>
      <c r="N52" s="10" t="n">
        <v>201.06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900007188</v>
      </c>
      <c r="D53" s="7">
        <f>IFERROR(VLOOKUP(C53,TRAOPE!$G:$H,2,0),"")</f>
        <v/>
      </c>
      <c r="E53" s="8" t="inlineStr">
        <is>
          <t>D853</t>
        </is>
      </c>
      <c r="F53" s="8" t="inlineStr">
        <is>
          <t>67323032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10133053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20250604</t>
        </is>
      </c>
      <c r="M53" s="8" t="inlineStr">
        <is>
          <t>99991231</t>
        </is>
      </c>
      <c r="N53" s="10" t="n">
        <v>201.06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900007188</v>
      </c>
      <c r="D54" s="7">
        <f>IFERROR(VLOOKUP(C54,TRAOPE!$G:$H,2,0),"")</f>
        <v/>
      </c>
      <c r="E54" s="8" t="inlineStr">
        <is>
          <t>D853</t>
        </is>
      </c>
      <c r="F54" s="8" t="inlineStr">
        <is>
          <t>67323032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10260652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20250604</t>
        </is>
      </c>
      <c r="M54" s="8" t="inlineStr">
        <is>
          <t>99991231</t>
        </is>
      </c>
      <c r="N54" s="10" t="n">
        <v>142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900007579</v>
      </c>
      <c r="D55" s="7">
        <f>IFERROR(VLOOKUP(C55,TRAOPE!$G:$H,2,0),"")</f>
        <v/>
      </c>
      <c r="E55" s="8" t="inlineStr">
        <is>
          <t>D853</t>
        </is>
      </c>
      <c r="F55" s="8" t="inlineStr">
        <is>
          <t>65120212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10173699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20230120</t>
        </is>
      </c>
      <c r="M55" s="8" t="inlineStr">
        <is>
          <t>99991231</t>
        </is>
      </c>
      <c r="N55" s="10" t="n">
        <v>676.58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900007579</v>
      </c>
      <c r="D56" s="7">
        <f>IFERROR(VLOOKUP(C56,TRAOPE!$G:$H,2,0),"")</f>
        <v/>
      </c>
      <c r="E56" s="8" t="inlineStr">
        <is>
          <t>D853</t>
        </is>
      </c>
      <c r="F56" s="8" t="inlineStr">
        <is>
          <t>66264619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10173699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20230120</t>
        </is>
      </c>
      <c r="M56" s="8" t="inlineStr">
        <is>
          <t>99991231</t>
        </is>
      </c>
      <c r="N56" s="10" t="n">
        <v>676.58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900007610</v>
      </c>
      <c r="D57" s="7">
        <f>IFERROR(VLOOKUP(C57,TRAOPE!$G:$H,2,0),"")</f>
        <v/>
      </c>
      <c r="E57" s="8" t="inlineStr">
        <is>
          <t>D853</t>
        </is>
      </c>
      <c r="F57" s="8" t="inlineStr">
        <is>
          <t>66650160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10139786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20240813</t>
        </is>
      </c>
      <c r="M57" s="8" t="inlineStr">
        <is>
          <t>20241108</t>
        </is>
      </c>
      <c r="N57" s="10" t="n">
        <v>115.5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900009025</v>
      </c>
      <c r="D58" s="7">
        <f>IFERROR(VLOOKUP(C58,TRAOPE!$G:$H,2,0),"")</f>
        <v/>
      </c>
      <c r="E58" s="8" t="inlineStr">
        <is>
          <t>D853</t>
        </is>
      </c>
      <c r="F58" s="8" t="inlineStr">
        <is>
          <t>66650259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10048387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20241108</t>
        </is>
      </c>
      <c r="M58" s="8" t="inlineStr">
        <is>
          <t>99991231</t>
        </is>
      </c>
      <c r="N58" s="10" t="n">
        <v>235.2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900009025</v>
      </c>
      <c r="D59" s="7">
        <f>IFERROR(VLOOKUP(C59,TRAOPE!$G:$H,2,0),"")</f>
        <v/>
      </c>
      <c r="E59" s="8" t="inlineStr">
        <is>
          <t>D853</t>
        </is>
      </c>
      <c r="F59" s="8" t="inlineStr">
        <is>
          <t>66650259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10065403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20241108</t>
        </is>
      </c>
      <c r="M59" s="8" t="inlineStr">
        <is>
          <t>99991231</t>
        </is>
      </c>
      <c r="N59" s="10" t="n">
        <v>201.6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900009025</v>
      </c>
      <c r="D60" s="7">
        <f>IFERROR(VLOOKUP(C60,TRAOPE!$G:$H,2,0),"")</f>
        <v/>
      </c>
      <c r="E60" s="8" t="inlineStr">
        <is>
          <t>D853</t>
        </is>
      </c>
      <c r="F60" s="8" t="inlineStr">
        <is>
          <t>66650259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10133053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20241108</t>
        </is>
      </c>
      <c r="M60" s="8" t="inlineStr">
        <is>
          <t>99991231</t>
        </is>
      </c>
      <c r="N60" s="10" t="n">
        <v>201.6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900009025</v>
      </c>
      <c r="D61" s="7">
        <f>IFERROR(VLOOKUP(C61,TRAOPE!$G:$H,2,0),"")</f>
        <v/>
      </c>
      <c r="E61" s="8" t="inlineStr">
        <is>
          <t>D853</t>
        </is>
      </c>
      <c r="F61" s="8" t="inlineStr">
        <is>
          <t>66650259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10260652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20241108</t>
        </is>
      </c>
      <c r="M61" s="8" t="inlineStr">
        <is>
          <t>99991231</t>
        </is>
      </c>
      <c r="N61" s="10" t="n">
        <v>134.4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900009025</v>
      </c>
      <c r="D62" s="7">
        <f>IFERROR(VLOOKUP(C62,TRAOPE!$G:$H,2,0),"")</f>
        <v/>
      </c>
      <c r="E62" s="8" t="inlineStr">
        <is>
          <t>D853</t>
        </is>
      </c>
      <c r="F62" s="8" t="inlineStr">
        <is>
          <t>67323032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10000176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20250610</t>
        </is>
      </c>
      <c r="M62" s="8" t="inlineStr">
        <is>
          <t>99991231</t>
        </is>
      </c>
      <c r="N62" s="10" t="n">
        <v>65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900009025</v>
      </c>
      <c r="D63" s="7">
        <f>IFERROR(VLOOKUP(C63,TRAOPE!$G:$H,2,0),"")</f>
        <v/>
      </c>
      <c r="E63" s="8" t="inlineStr">
        <is>
          <t>D853</t>
        </is>
      </c>
      <c r="F63" s="8" t="inlineStr">
        <is>
          <t>67323032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10048387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20250604</t>
        </is>
      </c>
      <c r="M63" s="8" t="inlineStr">
        <is>
          <t>99991231</t>
        </is>
      </c>
      <c r="N63" s="10" t="n">
        <v>235.2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900009025</v>
      </c>
      <c r="D64" s="7">
        <f>IFERROR(VLOOKUP(C64,TRAOPE!$G:$H,2,0),"")</f>
        <v/>
      </c>
      <c r="E64" s="8" t="inlineStr">
        <is>
          <t>D853</t>
        </is>
      </c>
      <c r="F64" s="8" t="inlineStr">
        <is>
          <t>67323032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10065403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20250604</t>
        </is>
      </c>
      <c r="M64" s="8" t="inlineStr">
        <is>
          <t>99991231</t>
        </is>
      </c>
      <c r="N64" s="10" t="n">
        <v>201.06</v>
      </c>
      <c r="O64" s="10">
        <f>IFERROR(VLOOKUP(A64,Flete!$A:$J,10,0),"")</f>
        <v/>
      </c>
      <c r="P64" s="8" t="inlineStr">
        <is>
          <t>M3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900009025</v>
      </c>
      <c r="D65" s="7">
        <f>IFERROR(VLOOKUP(C65,TRAOPE!$G:$H,2,0),"")</f>
        <v/>
      </c>
      <c r="E65" s="8" t="inlineStr">
        <is>
          <t>D853</t>
        </is>
      </c>
      <c r="F65" s="8" t="inlineStr">
        <is>
          <t>67323032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10133053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20250604</t>
        </is>
      </c>
      <c r="M65" s="8" t="inlineStr">
        <is>
          <t>99991231</t>
        </is>
      </c>
      <c r="N65" s="10" t="n">
        <v>201.06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900009025</v>
      </c>
      <c r="D66" s="7">
        <f>IFERROR(VLOOKUP(C66,TRAOPE!$G:$H,2,0),"")</f>
        <v/>
      </c>
      <c r="E66" s="8" t="inlineStr">
        <is>
          <t>D853</t>
        </is>
      </c>
      <c r="F66" s="8" t="inlineStr">
        <is>
          <t>67323032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10260652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20250604</t>
        </is>
      </c>
      <c r="M66" s="8" t="inlineStr">
        <is>
          <t>99991231</t>
        </is>
      </c>
      <c r="N66" s="10" t="n">
        <v>142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900009025</v>
      </c>
      <c r="D67" s="7">
        <f>IFERROR(VLOOKUP(C67,TRAOPE!$G:$H,2,0),"")</f>
        <v/>
      </c>
      <c r="E67" s="8" t="inlineStr">
        <is>
          <t>D853</t>
        </is>
      </c>
      <c r="F67" s="8" t="inlineStr">
        <is>
          <t>67330441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10048387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20250719</t>
        </is>
      </c>
      <c r="M67" s="8" t="inlineStr">
        <is>
          <t>99991231</t>
        </is>
      </c>
      <c r="N67" s="10" t="n">
        <v>235.2</v>
      </c>
      <c r="O67" s="10">
        <f>IFERROR(VLOOKUP(A67,Flete!$A:$J,10,0),"")</f>
        <v/>
      </c>
      <c r="P67" s="8" t="inlineStr">
        <is>
          <t>M3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900009025</v>
      </c>
      <c r="D68" s="7">
        <f>IFERROR(VLOOKUP(C68,TRAOPE!$G:$H,2,0),"")</f>
        <v/>
      </c>
      <c r="E68" s="8" t="inlineStr">
        <is>
          <t>D853</t>
        </is>
      </c>
      <c r="F68" s="8" t="inlineStr">
        <is>
          <t>67330441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10065403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20250719</t>
        </is>
      </c>
      <c r="M68" s="8" t="inlineStr">
        <is>
          <t>99991231</t>
        </is>
      </c>
      <c r="N68" s="10" t="n">
        <v>201.6</v>
      </c>
      <c r="O68" s="10">
        <f>IFERROR(VLOOKUP(A68,Flete!$A:$J,10,0),"")</f>
        <v/>
      </c>
      <c r="P68" s="8" t="inlineStr">
        <is>
          <t>M3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900009025</v>
      </c>
      <c r="D69" s="7">
        <f>IFERROR(VLOOKUP(C69,TRAOPE!$G:$H,2,0),"")</f>
        <v/>
      </c>
      <c r="E69" s="8" t="inlineStr">
        <is>
          <t>D853</t>
        </is>
      </c>
      <c r="F69" s="8" t="inlineStr">
        <is>
          <t>67330441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10133053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20250719</t>
        </is>
      </c>
      <c r="M69" s="8" t="inlineStr">
        <is>
          <t>99991231</t>
        </is>
      </c>
      <c r="N69" s="10" t="n">
        <v>201.6</v>
      </c>
      <c r="O69" s="10">
        <f>IFERROR(VLOOKUP(A69,Flete!$A:$J,10,0),"")</f>
        <v/>
      </c>
      <c r="P69" s="8" t="inlineStr">
        <is>
          <t>M3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900009025</v>
      </c>
      <c r="D70" s="7">
        <f>IFERROR(VLOOKUP(C70,TRAOPE!$G:$H,2,0),"")</f>
        <v/>
      </c>
      <c r="E70" s="8" t="inlineStr">
        <is>
          <t>D853</t>
        </is>
      </c>
      <c r="F70" s="8" t="inlineStr">
        <is>
          <t>67330441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10260652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20250719</t>
        </is>
      </c>
      <c r="M70" s="8" t="inlineStr">
        <is>
          <t>99991231</t>
        </is>
      </c>
      <c r="N70" s="10" t="n">
        <v>134.4</v>
      </c>
      <c r="O70" s="10">
        <f>IFERROR(VLOOKUP(A70,Flete!$A:$J,10,0),"")</f>
        <v/>
      </c>
      <c r="P70" s="8" t="inlineStr">
        <is>
          <t>M3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900003541</t>
        </is>
      </c>
      <c r="B2" t="inlineStr">
        <is>
          <t>D853</t>
        </is>
      </c>
      <c r="C2" t="inlineStr">
        <is>
          <t>66650160</t>
        </is>
      </c>
      <c r="D2" t="inlineStr">
        <is>
          <t>10000363</t>
        </is>
      </c>
      <c r="E2" t="inlineStr"/>
      <c r="F2" s="11" t="n">
        <v>105</v>
      </c>
      <c r="G2" t="inlineStr"/>
      <c r="I2" t="inlineStr">
        <is>
          <t>M3</t>
        </is>
      </c>
      <c r="J2" t="inlineStr"/>
      <c r="K2" t="inlineStr">
        <is>
          <t>20221109</t>
        </is>
      </c>
      <c r="L2" t="inlineStr">
        <is>
          <t>20251031</t>
        </is>
      </c>
    </row>
    <row r="3">
      <c r="A3" t="inlineStr">
        <is>
          <t>900004527</t>
        </is>
      </c>
      <c r="B3" t="inlineStr">
        <is>
          <t>D853</t>
        </is>
      </c>
      <c r="C3" t="inlineStr">
        <is>
          <t>66650406</t>
        </is>
      </c>
      <c r="D3" t="inlineStr">
        <is>
          <t>10048387</t>
        </is>
      </c>
      <c r="E3" t="inlineStr"/>
      <c r="F3" s="11" t="n">
        <v>196</v>
      </c>
      <c r="G3" t="inlineStr"/>
      <c r="I3" t="inlineStr">
        <is>
          <t>M3</t>
        </is>
      </c>
      <c r="J3" t="inlineStr"/>
      <c r="K3" t="inlineStr">
        <is>
          <t>20221109</t>
        </is>
      </c>
      <c r="L3" t="inlineStr">
        <is>
          <t>20251031</t>
        </is>
      </c>
    </row>
    <row r="4">
      <c r="A4" t="inlineStr">
        <is>
          <t>900005092</t>
        </is>
      </c>
      <c r="B4" t="inlineStr">
        <is>
          <t>D853</t>
        </is>
      </c>
      <c r="C4" t="inlineStr">
        <is>
          <t>66804658</t>
        </is>
      </c>
      <c r="D4" t="inlineStr">
        <is>
          <t>10144288</t>
        </is>
      </c>
      <c r="E4" t="inlineStr"/>
      <c r="F4" s="11" t="n">
        <v>95</v>
      </c>
      <c r="G4" t="inlineStr"/>
      <c r="I4" t="inlineStr">
        <is>
          <t>M3</t>
        </is>
      </c>
      <c r="J4" t="inlineStr"/>
      <c r="K4" t="inlineStr">
        <is>
          <t>20221109</t>
        </is>
      </c>
      <c r="L4" t="inlineStr">
        <is>
          <t>20251031</t>
        </is>
      </c>
    </row>
    <row r="5">
      <c r="A5" t="inlineStr">
        <is>
          <t>900005242</t>
        </is>
      </c>
      <c r="B5" t="inlineStr">
        <is>
          <t>D853</t>
        </is>
      </c>
      <c r="C5" t="inlineStr">
        <is>
          <t>66804658</t>
        </is>
      </c>
      <c r="D5" t="inlineStr">
        <is>
          <t>10144288</t>
        </is>
      </c>
      <c r="E5" t="inlineStr"/>
      <c r="F5" s="11" t="n">
        <v>137.64</v>
      </c>
      <c r="G5" t="inlineStr"/>
      <c r="I5" t="inlineStr">
        <is>
          <t>M3</t>
        </is>
      </c>
      <c r="J5" t="inlineStr"/>
      <c r="K5" t="inlineStr">
        <is>
          <t>20221109</t>
        </is>
      </c>
      <c r="L5" t="inlineStr">
        <is>
          <t>20251031</t>
        </is>
      </c>
    </row>
    <row r="6">
      <c r="A6" t="inlineStr">
        <is>
          <t>900005983</t>
        </is>
      </c>
      <c r="B6" t="inlineStr">
        <is>
          <t>D853</t>
        </is>
      </c>
      <c r="C6" t="inlineStr">
        <is>
          <t>66650406</t>
        </is>
      </c>
      <c r="D6" t="inlineStr">
        <is>
          <t>10133812</t>
        </is>
      </c>
      <c r="E6" t="inlineStr"/>
      <c r="F6" s="11" t="n">
        <v>162</v>
      </c>
      <c r="G6" t="inlineStr"/>
      <c r="I6" t="inlineStr">
        <is>
          <t>M3</t>
        </is>
      </c>
      <c r="J6" t="inlineStr"/>
      <c r="K6" t="inlineStr">
        <is>
          <t>20221109</t>
        </is>
      </c>
      <c r="L6" t="inlineStr">
        <is>
          <t>20251031</t>
        </is>
      </c>
    </row>
    <row r="7">
      <c r="A7" t="inlineStr">
        <is>
          <t>900005983</t>
        </is>
      </c>
      <c r="B7" t="inlineStr">
        <is>
          <t>D853</t>
        </is>
      </c>
      <c r="C7" t="inlineStr">
        <is>
          <t>66942585</t>
        </is>
      </c>
      <c r="D7" t="inlineStr">
        <is>
          <t>10133812</t>
        </is>
      </c>
      <c r="E7" t="inlineStr"/>
      <c r="F7" s="11" t="n">
        <v>196</v>
      </c>
      <c r="G7" t="inlineStr"/>
      <c r="I7" t="inlineStr">
        <is>
          <t>M3</t>
        </is>
      </c>
      <c r="J7" t="inlineStr"/>
      <c r="K7" t="inlineStr">
        <is>
          <t>20221109</t>
        </is>
      </c>
      <c r="L7" t="inlineStr">
        <is>
          <t>20251031</t>
        </is>
      </c>
    </row>
    <row r="8">
      <c r="A8" t="inlineStr">
        <is>
          <t>900005992</t>
        </is>
      </c>
      <c r="B8" t="inlineStr">
        <is>
          <t>D853</t>
        </is>
      </c>
      <c r="C8" t="inlineStr">
        <is>
          <t>66650160</t>
        </is>
      </c>
      <c r="D8" t="inlineStr">
        <is>
          <t>10139786</t>
        </is>
      </c>
      <c r="E8" t="inlineStr"/>
      <c r="F8" s="11" t="n">
        <v>105</v>
      </c>
      <c r="G8" t="inlineStr"/>
      <c r="I8" t="inlineStr">
        <is>
          <t>M3</t>
        </is>
      </c>
      <c r="J8" t="inlineStr"/>
      <c r="K8" t="inlineStr">
        <is>
          <t>20221109</t>
        </is>
      </c>
      <c r="L8" t="inlineStr">
        <is>
          <t>20251031</t>
        </is>
      </c>
    </row>
    <row r="9">
      <c r="A9" t="inlineStr">
        <is>
          <t>900005992</t>
        </is>
      </c>
      <c r="B9" t="inlineStr">
        <is>
          <t>D853</t>
        </is>
      </c>
      <c r="C9" t="inlineStr">
        <is>
          <t>66651140</t>
        </is>
      </c>
      <c r="D9" t="inlineStr">
        <is>
          <t>10139786</t>
        </is>
      </c>
      <c r="E9" t="inlineStr"/>
      <c r="F9" s="11" t="n">
        <v>106</v>
      </c>
      <c r="G9" t="inlineStr"/>
      <c r="I9" t="inlineStr">
        <is>
          <t>M3</t>
        </is>
      </c>
      <c r="J9" t="inlineStr"/>
      <c r="K9" t="inlineStr">
        <is>
          <t>20221109</t>
        </is>
      </c>
      <c r="L9" t="inlineStr">
        <is>
          <t>20251031</t>
        </is>
      </c>
    </row>
    <row r="10">
      <c r="A10" t="inlineStr">
        <is>
          <t>900005992</t>
        </is>
      </c>
      <c r="B10" t="inlineStr">
        <is>
          <t>D853</t>
        </is>
      </c>
      <c r="C10" t="inlineStr">
        <is>
          <t>66905766</t>
        </is>
      </c>
      <c r="D10" t="inlineStr">
        <is>
          <t>10139786</t>
        </is>
      </c>
      <c r="E10" t="inlineStr"/>
      <c r="F10" s="11" t="n">
        <v>110</v>
      </c>
      <c r="G10" t="inlineStr"/>
      <c r="I10" t="inlineStr">
        <is>
          <t>M3</t>
        </is>
      </c>
      <c r="J10" t="inlineStr"/>
      <c r="K10" t="inlineStr">
        <is>
          <t>20221109</t>
        </is>
      </c>
      <c r="L10" t="inlineStr">
        <is>
          <t>20251031</t>
        </is>
      </c>
    </row>
    <row r="11">
      <c r="A11" t="inlineStr">
        <is>
          <t>900006361</t>
        </is>
      </c>
      <c r="B11" t="inlineStr">
        <is>
          <t>D853</t>
        </is>
      </c>
      <c r="C11" t="inlineStr">
        <is>
          <t>66650160</t>
        </is>
      </c>
      <c r="D11" t="inlineStr">
        <is>
          <t>10139786</t>
        </is>
      </c>
      <c r="E11" t="inlineStr"/>
      <c r="F11" s="11" t="n">
        <v>105</v>
      </c>
      <c r="G11" t="inlineStr"/>
      <c r="I11" t="inlineStr">
        <is>
          <t>M3</t>
        </is>
      </c>
      <c r="J11" t="inlineStr"/>
      <c r="K11" t="inlineStr">
        <is>
          <t>20221109</t>
        </is>
      </c>
      <c r="L11" t="inlineStr">
        <is>
          <t>20251031</t>
        </is>
      </c>
    </row>
    <row r="12">
      <c r="A12" t="inlineStr">
        <is>
          <t>900006962</t>
        </is>
      </c>
      <c r="B12" t="inlineStr">
        <is>
          <t>D853</t>
        </is>
      </c>
      <c r="C12" t="inlineStr">
        <is>
          <t>65000971</t>
        </is>
      </c>
      <c r="D12" t="inlineStr">
        <is>
          <t>10140391</t>
        </is>
      </c>
      <c r="E12" t="inlineStr"/>
      <c r="F12" s="11" t="n">
        <v>122</v>
      </c>
      <c r="G12" t="inlineStr"/>
      <c r="I12" t="inlineStr">
        <is>
          <t>M3</t>
        </is>
      </c>
      <c r="J12" t="inlineStr"/>
      <c r="K12" t="inlineStr">
        <is>
          <t>20221109</t>
        </is>
      </c>
      <c r="L12" t="inlineStr">
        <is>
          <t>20251031</t>
        </is>
      </c>
    </row>
    <row r="13">
      <c r="A13" t="inlineStr">
        <is>
          <t>900006962</t>
        </is>
      </c>
      <c r="B13" t="inlineStr">
        <is>
          <t>D853</t>
        </is>
      </c>
      <c r="C13" t="inlineStr">
        <is>
          <t>66650160</t>
        </is>
      </c>
      <c r="D13" t="inlineStr">
        <is>
          <t>10140391</t>
        </is>
      </c>
      <c r="E13" t="inlineStr"/>
      <c r="F13" s="11" t="n">
        <v>122</v>
      </c>
      <c r="G13" t="inlineStr"/>
      <c r="I13" t="inlineStr">
        <is>
          <t>M3</t>
        </is>
      </c>
      <c r="J13" t="inlineStr"/>
      <c r="K13" t="inlineStr">
        <is>
          <t>20221109</t>
        </is>
      </c>
      <c r="L13" t="inlineStr">
        <is>
          <t>20251031</t>
        </is>
      </c>
    </row>
    <row r="14">
      <c r="A14" t="inlineStr">
        <is>
          <t>900007188</t>
        </is>
      </c>
      <c r="B14" t="inlineStr">
        <is>
          <t>D853</t>
        </is>
      </c>
      <c r="C14" t="inlineStr">
        <is>
          <t>66650160</t>
        </is>
      </c>
      <c r="D14" t="inlineStr">
        <is>
          <t>10152920</t>
        </is>
      </c>
      <c r="E14" t="inlineStr"/>
      <c r="F14" s="11" t="n">
        <v>100</v>
      </c>
      <c r="G14" t="inlineStr"/>
      <c r="I14" t="inlineStr">
        <is>
          <t>M3</t>
        </is>
      </c>
      <c r="J14" t="inlineStr"/>
      <c r="K14" t="inlineStr">
        <is>
          <t>20221109</t>
        </is>
      </c>
      <c r="L14" t="inlineStr">
        <is>
          <t>20251031</t>
        </is>
      </c>
    </row>
    <row r="15">
      <c r="A15" t="inlineStr">
        <is>
          <t>900007188</t>
        </is>
      </c>
      <c r="B15" t="inlineStr">
        <is>
          <t>D853</t>
        </is>
      </c>
      <c r="C15" t="inlineStr">
        <is>
          <t>66650160</t>
        </is>
      </c>
      <c r="D15" t="inlineStr">
        <is>
          <t>10208119</t>
        </is>
      </c>
      <c r="E15" t="inlineStr"/>
      <c r="F15" s="11" t="n">
        <v>105</v>
      </c>
      <c r="G15" t="inlineStr"/>
      <c r="I15" t="inlineStr">
        <is>
          <t>M3</t>
        </is>
      </c>
      <c r="J15" t="inlineStr"/>
      <c r="K15" t="inlineStr">
        <is>
          <t>20221109</t>
        </is>
      </c>
      <c r="L15" t="inlineStr">
        <is>
          <t>20251031</t>
        </is>
      </c>
    </row>
    <row r="16">
      <c r="A16" t="inlineStr">
        <is>
          <t>900007188</t>
        </is>
      </c>
      <c r="B16" t="inlineStr">
        <is>
          <t>D853</t>
        </is>
      </c>
      <c r="C16" t="inlineStr">
        <is>
          <t>66650160</t>
        </is>
      </c>
      <c r="D16" t="inlineStr">
        <is>
          <t>10213459</t>
        </is>
      </c>
      <c r="E16" t="inlineStr"/>
      <c r="F16" s="11" t="n">
        <v>100</v>
      </c>
      <c r="G16" t="inlineStr"/>
      <c r="I16" t="inlineStr">
        <is>
          <t>M3</t>
        </is>
      </c>
      <c r="J16" t="inlineStr"/>
      <c r="K16" t="inlineStr">
        <is>
          <t>20221109</t>
        </is>
      </c>
      <c r="L16" t="inlineStr">
        <is>
          <t>20251031</t>
        </is>
      </c>
    </row>
    <row r="17">
      <c r="A17" t="inlineStr">
        <is>
          <t>900002329</t>
        </is>
      </c>
      <c r="B17" t="inlineStr">
        <is>
          <t>D853</t>
        </is>
      </c>
      <c r="C17" t="inlineStr">
        <is>
          <t>66905766</t>
        </is>
      </c>
      <c r="D17" t="inlineStr">
        <is>
          <t>10140391</t>
        </is>
      </c>
      <c r="E17" t="inlineStr"/>
      <c r="F17" s="11" t="n">
        <v>112</v>
      </c>
      <c r="G17" t="inlineStr"/>
      <c r="I17" t="inlineStr">
        <is>
          <t>M3</t>
        </is>
      </c>
      <c r="J17" t="inlineStr"/>
      <c r="K17" t="inlineStr">
        <is>
          <t>20201014</t>
        </is>
      </c>
      <c r="L17" t="inlineStr">
        <is>
          <t>99991231</t>
        </is>
      </c>
    </row>
    <row r="18">
      <c r="A18" t="inlineStr">
        <is>
          <t>900004527</t>
        </is>
      </c>
      <c r="B18" t="inlineStr">
        <is>
          <t>D853</t>
        </is>
      </c>
      <c r="C18" t="inlineStr">
        <is>
          <t>66650160</t>
        </is>
      </c>
      <c r="D18" t="inlineStr">
        <is>
          <t>10048387</t>
        </is>
      </c>
      <c r="E18" t="inlineStr"/>
      <c r="F18" s="11" t="n">
        <v>270.3</v>
      </c>
      <c r="G18" t="inlineStr"/>
      <c r="I18" t="inlineStr">
        <is>
          <t>M3</t>
        </is>
      </c>
      <c r="J18" t="inlineStr"/>
      <c r="K18" t="inlineStr">
        <is>
          <t>20200910</t>
        </is>
      </c>
      <c r="L18" t="inlineStr">
        <is>
          <t>99991231</t>
        </is>
      </c>
    </row>
    <row r="19">
      <c r="A19" t="inlineStr">
        <is>
          <t>900005092</t>
        </is>
      </c>
      <c r="B19" t="inlineStr">
        <is>
          <t>D853</t>
        </is>
      </c>
      <c r="C19" t="inlineStr">
        <is>
          <t>66650160</t>
        </is>
      </c>
      <c r="D19" t="inlineStr">
        <is>
          <t>10144288</t>
        </is>
      </c>
      <c r="E19" t="inlineStr"/>
      <c r="F19" s="11" t="n">
        <v>110</v>
      </c>
      <c r="G19" t="inlineStr"/>
      <c r="I19" t="inlineStr">
        <is>
          <t>M3</t>
        </is>
      </c>
      <c r="J19" t="inlineStr"/>
      <c r="K19" t="inlineStr">
        <is>
          <t>20201201</t>
        </is>
      </c>
      <c r="L19" t="inlineStr">
        <is>
          <t>99991231</t>
        </is>
      </c>
    </row>
    <row r="20">
      <c r="A20" t="inlineStr">
        <is>
          <t>900005992</t>
        </is>
      </c>
      <c r="B20" t="inlineStr">
        <is>
          <t>D853</t>
        </is>
      </c>
      <c r="C20" t="inlineStr">
        <is>
          <t>65120212</t>
        </is>
      </c>
      <c r="D20" t="inlineStr">
        <is>
          <t>10173699</t>
        </is>
      </c>
      <c r="E20" t="inlineStr"/>
      <c r="F20" s="11" t="n">
        <v>29.95</v>
      </c>
      <c r="G20" t="inlineStr"/>
      <c r="I20" t="inlineStr">
        <is>
          <t>TN</t>
        </is>
      </c>
      <c r="J20" t="inlineStr"/>
      <c r="K20" t="inlineStr">
        <is>
          <t>20191011</t>
        </is>
      </c>
      <c r="L20" t="inlineStr">
        <is>
          <t>99991231</t>
        </is>
      </c>
    </row>
    <row r="21">
      <c r="A21" t="inlineStr">
        <is>
          <t>900006962</t>
        </is>
      </c>
      <c r="B21" t="inlineStr">
        <is>
          <t>D853</t>
        </is>
      </c>
      <c r="C21" t="inlineStr">
        <is>
          <t>65000971</t>
        </is>
      </c>
      <c r="D21" t="inlineStr">
        <is>
          <t>10048271</t>
        </is>
      </c>
      <c r="E21" t="inlineStr"/>
      <c r="F21" s="11" t="n">
        <v>206.8</v>
      </c>
      <c r="G21" t="inlineStr"/>
      <c r="I21" t="inlineStr">
        <is>
          <t>M3</t>
        </is>
      </c>
      <c r="J21" t="inlineStr"/>
      <c r="K21" t="inlineStr">
        <is>
          <t>20201107</t>
        </is>
      </c>
      <c r="L21" t="inlineStr">
        <is>
          <t>99991231</t>
        </is>
      </c>
    </row>
    <row r="22">
      <c r="A22" t="inlineStr">
        <is>
          <t>900007188</t>
        </is>
      </c>
      <c r="B22" t="inlineStr">
        <is>
          <t>D853</t>
        </is>
      </c>
      <c r="C22" t="inlineStr">
        <is>
          <t>66650160</t>
        </is>
      </c>
      <c r="D22" t="inlineStr">
        <is>
          <t>10001455</t>
        </is>
      </c>
      <c r="E22" t="inlineStr"/>
      <c r="F22" s="11" t="n">
        <v>110</v>
      </c>
      <c r="G22" t="inlineStr"/>
      <c r="I22" t="inlineStr">
        <is>
          <t>M3</t>
        </is>
      </c>
      <c r="J22" t="inlineStr"/>
      <c r="K22" t="inlineStr">
        <is>
          <t>20211110</t>
        </is>
      </c>
      <c r="L22" t="inlineStr">
        <is>
          <t>99991231</t>
        </is>
      </c>
    </row>
    <row r="23">
      <c r="A23" t="inlineStr">
        <is>
          <t>900007579</t>
        </is>
      </c>
      <c r="B23" t="inlineStr">
        <is>
          <t>D853</t>
        </is>
      </c>
      <c r="C23" t="inlineStr">
        <is>
          <t>65120212</t>
        </is>
      </c>
      <c r="D23" t="inlineStr">
        <is>
          <t>10173699</t>
        </is>
      </c>
      <c r="E23" t="inlineStr"/>
      <c r="F23" s="11" t="n">
        <v>676.58</v>
      </c>
      <c r="G23" t="inlineStr"/>
      <c r="I23" t="inlineStr">
        <is>
          <t>TN</t>
        </is>
      </c>
      <c r="J23" t="inlineStr"/>
      <c r="K23" t="inlineStr">
        <is>
          <t>20230120</t>
        </is>
      </c>
      <c r="L23" t="inlineStr">
        <is>
          <t>99991231</t>
        </is>
      </c>
    </row>
    <row r="24">
      <c r="A24" t="inlineStr">
        <is>
          <t>900002329</t>
        </is>
      </c>
      <c r="B24" t="inlineStr">
        <is>
          <t>D853</t>
        </is>
      </c>
      <c r="C24" t="inlineStr">
        <is>
          <t>66806529</t>
        </is>
      </c>
      <c r="D24" t="inlineStr">
        <is>
          <t>10140391</t>
        </is>
      </c>
      <c r="E24" t="inlineStr"/>
      <c r="F24" s="11" t="n">
        <v>122.5</v>
      </c>
      <c r="G24" t="inlineStr"/>
      <c r="I24" t="inlineStr">
        <is>
          <t>M3</t>
        </is>
      </c>
      <c r="J24" t="inlineStr"/>
      <c r="K24" t="inlineStr">
        <is>
          <t>20240813</t>
        </is>
      </c>
      <c r="L24" t="inlineStr">
        <is>
          <t>20241108</t>
        </is>
      </c>
    </row>
    <row r="25">
      <c r="A25" t="inlineStr">
        <is>
          <t>900002329</t>
        </is>
      </c>
      <c r="B25" t="inlineStr">
        <is>
          <t>D853</t>
        </is>
      </c>
      <c r="C25" t="inlineStr">
        <is>
          <t>66905766</t>
        </is>
      </c>
      <c r="D25" t="inlineStr">
        <is>
          <t>10140391</t>
        </is>
      </c>
      <c r="E25" t="inlineStr"/>
      <c r="F25" s="11" t="n">
        <v>112</v>
      </c>
      <c r="G25" t="inlineStr"/>
      <c r="I25" t="inlineStr">
        <is>
          <t>M3</t>
        </is>
      </c>
      <c r="J25" t="inlineStr"/>
      <c r="K25" t="inlineStr">
        <is>
          <t>20240813</t>
        </is>
      </c>
      <c r="L25" t="inlineStr">
        <is>
          <t>20241108</t>
        </is>
      </c>
    </row>
    <row r="26">
      <c r="A26" t="inlineStr">
        <is>
          <t>900003541</t>
        </is>
      </c>
      <c r="B26" t="inlineStr">
        <is>
          <t>D853</t>
        </is>
      </c>
      <c r="C26" t="inlineStr">
        <is>
          <t>66650160</t>
        </is>
      </c>
      <c r="D26" t="inlineStr">
        <is>
          <t>10000363</t>
        </is>
      </c>
      <c r="E26" t="inlineStr"/>
      <c r="F26" s="11" t="n">
        <v>105</v>
      </c>
      <c r="G26" t="inlineStr"/>
      <c r="I26" t="inlineStr">
        <is>
          <t>M3</t>
        </is>
      </c>
      <c r="J26" t="inlineStr"/>
      <c r="K26" t="inlineStr">
        <is>
          <t>20240813</t>
        </is>
      </c>
      <c r="L26" t="inlineStr">
        <is>
          <t>20241108</t>
        </is>
      </c>
    </row>
    <row r="27">
      <c r="A27" t="inlineStr">
        <is>
          <t>900003677</t>
        </is>
      </c>
      <c r="B27" t="inlineStr">
        <is>
          <t>D853</t>
        </is>
      </c>
      <c r="C27" t="inlineStr">
        <is>
          <t>67300241</t>
        </is>
      </c>
      <c r="D27" t="inlineStr">
        <is>
          <t>10000645</t>
        </is>
      </c>
      <c r="E27" t="inlineStr"/>
      <c r="F27" s="11" t="n">
        <v>369</v>
      </c>
      <c r="G27" t="inlineStr"/>
      <c r="I27" t="inlineStr">
        <is>
          <t>M3</t>
        </is>
      </c>
      <c r="J27" t="inlineStr"/>
      <c r="K27" t="inlineStr">
        <is>
          <t>20250721</t>
        </is>
      </c>
      <c r="L27" t="inlineStr">
        <is>
          <t>99991231</t>
        </is>
      </c>
    </row>
    <row r="28">
      <c r="A28" t="inlineStr">
        <is>
          <t>900003677</t>
        </is>
      </c>
      <c r="B28" t="inlineStr">
        <is>
          <t>D853</t>
        </is>
      </c>
      <c r="C28" t="inlineStr">
        <is>
          <t>67300241</t>
        </is>
      </c>
      <c r="D28" t="inlineStr">
        <is>
          <t>10003344</t>
        </is>
      </c>
      <c r="E28" t="inlineStr"/>
      <c r="F28" s="11" t="n">
        <v>399</v>
      </c>
      <c r="G28" t="inlineStr"/>
      <c r="I28" t="inlineStr">
        <is>
          <t>M3</t>
        </is>
      </c>
      <c r="J28" t="inlineStr"/>
      <c r="K28" t="inlineStr">
        <is>
          <t>20250721</t>
        </is>
      </c>
      <c r="L28" t="inlineStr">
        <is>
          <t>99991231</t>
        </is>
      </c>
    </row>
    <row r="29">
      <c r="A29" t="inlineStr">
        <is>
          <t>900003677</t>
        </is>
      </c>
      <c r="B29" t="inlineStr">
        <is>
          <t>D853</t>
        </is>
      </c>
      <c r="C29" t="inlineStr">
        <is>
          <t>67300241</t>
        </is>
      </c>
      <c r="D29" t="inlineStr">
        <is>
          <t>10133051</t>
        </is>
      </c>
      <c r="E29" t="inlineStr"/>
      <c r="F29" s="11" t="n">
        <v>855</v>
      </c>
      <c r="G29" t="inlineStr"/>
      <c r="I29" t="inlineStr">
        <is>
          <t>M3</t>
        </is>
      </c>
      <c r="J29" t="inlineStr"/>
      <c r="K29" t="inlineStr">
        <is>
          <t>20250721</t>
        </is>
      </c>
      <c r="L29" t="inlineStr">
        <is>
          <t>99991231</t>
        </is>
      </c>
    </row>
    <row r="30">
      <c r="A30" t="inlineStr">
        <is>
          <t>900004527</t>
        </is>
      </c>
      <c r="B30" t="inlineStr">
        <is>
          <t>D853</t>
        </is>
      </c>
      <c r="C30" t="inlineStr">
        <is>
          <t>66650160</t>
        </is>
      </c>
      <c r="D30" t="inlineStr">
        <is>
          <t>10048387</t>
        </is>
      </c>
      <c r="E30" t="inlineStr"/>
      <c r="F30" s="11" t="n">
        <v>270.3</v>
      </c>
      <c r="G30" t="inlineStr"/>
      <c r="I30" t="inlineStr">
        <is>
          <t>M3</t>
        </is>
      </c>
      <c r="J30" t="inlineStr"/>
      <c r="K30" t="inlineStr">
        <is>
          <t>20240813</t>
        </is>
      </c>
      <c r="L30" t="inlineStr">
        <is>
          <t>20241108</t>
        </is>
      </c>
    </row>
    <row r="31">
      <c r="A31" t="inlineStr">
        <is>
          <t>900004527</t>
        </is>
      </c>
      <c r="B31" t="inlineStr">
        <is>
          <t>D853</t>
        </is>
      </c>
      <c r="C31" t="inlineStr">
        <is>
          <t>66650406</t>
        </is>
      </c>
      <c r="D31" t="inlineStr">
        <is>
          <t>10048387</t>
        </is>
      </c>
      <c r="E31" t="inlineStr"/>
      <c r="F31" s="11" t="n">
        <v>196</v>
      </c>
      <c r="G31" t="inlineStr"/>
      <c r="I31" t="inlineStr">
        <is>
          <t>M3</t>
        </is>
      </c>
      <c r="J31" t="inlineStr"/>
      <c r="K31" t="inlineStr">
        <is>
          <t>20240813</t>
        </is>
      </c>
      <c r="L31" t="inlineStr">
        <is>
          <t>20241108</t>
        </is>
      </c>
    </row>
    <row r="32">
      <c r="A32" t="inlineStr">
        <is>
          <t>900005092</t>
        </is>
      </c>
      <c r="B32" t="inlineStr">
        <is>
          <t>D853</t>
        </is>
      </c>
      <c r="C32" t="inlineStr">
        <is>
          <t>66650160</t>
        </is>
      </c>
      <c r="D32" t="inlineStr">
        <is>
          <t>10144288</t>
        </is>
      </c>
      <c r="E32" t="inlineStr"/>
      <c r="F32" s="11" t="n">
        <v>110</v>
      </c>
      <c r="G32" t="inlineStr"/>
      <c r="I32" t="inlineStr">
        <is>
          <t>M3</t>
        </is>
      </c>
      <c r="J32" t="inlineStr"/>
      <c r="K32" t="inlineStr">
        <is>
          <t>20240813</t>
        </is>
      </c>
      <c r="L32" t="inlineStr">
        <is>
          <t>20241108</t>
        </is>
      </c>
    </row>
    <row r="33">
      <c r="A33" t="inlineStr">
        <is>
          <t>900005092</t>
        </is>
      </c>
      <c r="B33" t="inlineStr">
        <is>
          <t>D853</t>
        </is>
      </c>
      <c r="C33" t="inlineStr">
        <is>
          <t>66804658</t>
        </is>
      </c>
      <c r="D33" t="inlineStr">
        <is>
          <t>10144288</t>
        </is>
      </c>
      <c r="E33" t="inlineStr"/>
      <c r="F33" s="11" t="n">
        <v>95</v>
      </c>
      <c r="G33" t="inlineStr"/>
      <c r="I33" t="inlineStr">
        <is>
          <t>M3</t>
        </is>
      </c>
      <c r="J33" t="inlineStr"/>
      <c r="K33" t="inlineStr">
        <is>
          <t>20240813</t>
        </is>
      </c>
      <c r="L33" t="inlineStr">
        <is>
          <t>20241108</t>
        </is>
      </c>
    </row>
    <row r="34">
      <c r="A34" t="inlineStr">
        <is>
          <t>900005242</t>
        </is>
      </c>
      <c r="B34" t="inlineStr">
        <is>
          <t>D853</t>
        </is>
      </c>
      <c r="C34" t="inlineStr">
        <is>
          <t>66804658</t>
        </is>
      </c>
      <c r="D34" t="inlineStr">
        <is>
          <t>10144288</t>
        </is>
      </c>
      <c r="E34" t="inlineStr"/>
      <c r="F34" s="11" t="n">
        <v>137.64</v>
      </c>
      <c r="G34" t="inlineStr"/>
      <c r="I34" t="inlineStr">
        <is>
          <t>M3</t>
        </is>
      </c>
      <c r="J34" t="inlineStr"/>
      <c r="K34" t="inlineStr">
        <is>
          <t>20240813</t>
        </is>
      </c>
      <c r="L34" t="inlineStr">
        <is>
          <t>20241108</t>
        </is>
      </c>
    </row>
    <row r="35">
      <c r="A35" t="inlineStr">
        <is>
          <t>900005983</t>
        </is>
      </c>
      <c r="B35" t="inlineStr">
        <is>
          <t>D853</t>
        </is>
      </c>
      <c r="C35" t="inlineStr">
        <is>
          <t>66650406</t>
        </is>
      </c>
      <c r="D35" t="inlineStr">
        <is>
          <t>10133812</t>
        </is>
      </c>
      <c r="E35" t="inlineStr"/>
      <c r="F35" s="11" t="n">
        <v>162</v>
      </c>
      <c r="G35" t="inlineStr"/>
      <c r="I35" t="inlineStr">
        <is>
          <t>M3</t>
        </is>
      </c>
      <c r="J35" t="inlineStr"/>
      <c r="K35" t="inlineStr">
        <is>
          <t>20240813</t>
        </is>
      </c>
      <c r="L35" t="inlineStr">
        <is>
          <t>20241108</t>
        </is>
      </c>
    </row>
    <row r="36">
      <c r="A36" t="inlineStr">
        <is>
          <t>900005992</t>
        </is>
      </c>
      <c r="B36" t="inlineStr">
        <is>
          <t>D853</t>
        </is>
      </c>
      <c r="C36" t="inlineStr">
        <is>
          <t>65120212</t>
        </is>
      </c>
      <c r="D36" t="inlineStr">
        <is>
          <t>10173699</t>
        </is>
      </c>
      <c r="E36" t="inlineStr"/>
      <c r="F36" s="11" t="n">
        <v>29.95</v>
      </c>
      <c r="G36" t="inlineStr"/>
      <c r="I36" t="inlineStr">
        <is>
          <t>TN</t>
        </is>
      </c>
      <c r="J36" t="inlineStr"/>
      <c r="K36" t="inlineStr">
        <is>
          <t>20191011</t>
        </is>
      </c>
      <c r="L36" t="inlineStr">
        <is>
          <t>99991231</t>
        </is>
      </c>
    </row>
    <row r="37">
      <c r="A37" t="inlineStr">
        <is>
          <t>900005992</t>
        </is>
      </c>
      <c r="B37" t="inlineStr">
        <is>
          <t>D853</t>
        </is>
      </c>
      <c r="C37" t="inlineStr">
        <is>
          <t>66650160</t>
        </is>
      </c>
      <c r="D37" t="inlineStr">
        <is>
          <t>10139786</t>
        </is>
      </c>
      <c r="E37" t="inlineStr"/>
      <c r="F37" s="11" t="n">
        <v>105</v>
      </c>
      <c r="G37" t="inlineStr"/>
      <c r="I37" t="inlineStr">
        <is>
          <t>M3</t>
        </is>
      </c>
      <c r="J37" t="inlineStr"/>
      <c r="K37" t="inlineStr">
        <is>
          <t>20240813</t>
        </is>
      </c>
      <c r="L37" t="inlineStr">
        <is>
          <t>20241108</t>
        </is>
      </c>
    </row>
    <row r="38">
      <c r="A38" t="inlineStr">
        <is>
          <t>900005992</t>
        </is>
      </c>
      <c r="B38" t="inlineStr">
        <is>
          <t>D853</t>
        </is>
      </c>
      <c r="C38" t="inlineStr">
        <is>
          <t>66651140</t>
        </is>
      </c>
      <c r="D38" t="inlineStr">
        <is>
          <t>10139786</t>
        </is>
      </c>
      <c r="E38" t="inlineStr"/>
      <c r="F38" s="11" t="n">
        <v>106</v>
      </c>
      <c r="G38" t="inlineStr"/>
      <c r="I38" t="inlineStr">
        <is>
          <t>M3</t>
        </is>
      </c>
      <c r="J38" t="inlineStr"/>
      <c r="K38" t="inlineStr">
        <is>
          <t>20240813</t>
        </is>
      </c>
      <c r="L38" t="inlineStr">
        <is>
          <t>20241108</t>
        </is>
      </c>
    </row>
    <row r="39">
      <c r="A39" t="inlineStr">
        <is>
          <t>900005992</t>
        </is>
      </c>
      <c r="B39" t="inlineStr">
        <is>
          <t>D853</t>
        </is>
      </c>
      <c r="C39" t="inlineStr">
        <is>
          <t>66905766</t>
        </is>
      </c>
      <c r="D39" t="inlineStr">
        <is>
          <t>10139786</t>
        </is>
      </c>
      <c r="E39" t="inlineStr"/>
      <c r="F39" s="11" t="n">
        <v>110</v>
      </c>
      <c r="G39" t="inlineStr"/>
      <c r="I39" t="inlineStr">
        <is>
          <t>M3</t>
        </is>
      </c>
      <c r="J39" t="inlineStr"/>
      <c r="K39" t="inlineStr">
        <is>
          <t>20240813</t>
        </is>
      </c>
      <c r="L39" t="inlineStr">
        <is>
          <t>20241108</t>
        </is>
      </c>
    </row>
    <row r="40">
      <c r="A40" t="inlineStr">
        <is>
          <t>900006361</t>
        </is>
      </c>
      <c r="B40" t="inlineStr">
        <is>
          <t>D853</t>
        </is>
      </c>
      <c r="C40" t="inlineStr">
        <is>
          <t>66650160</t>
        </is>
      </c>
      <c r="D40" t="inlineStr">
        <is>
          <t>10139786</t>
        </is>
      </c>
      <c r="E40" t="inlineStr"/>
      <c r="F40" s="11" t="n">
        <v>105</v>
      </c>
      <c r="G40" t="inlineStr"/>
      <c r="I40" t="inlineStr">
        <is>
          <t>M3</t>
        </is>
      </c>
      <c r="J40" t="inlineStr"/>
      <c r="K40" t="inlineStr">
        <is>
          <t>20240813</t>
        </is>
      </c>
      <c r="L40" t="inlineStr">
        <is>
          <t>20241108</t>
        </is>
      </c>
    </row>
    <row r="41">
      <c r="A41" t="inlineStr">
        <is>
          <t>900006962</t>
        </is>
      </c>
      <c r="B41" t="inlineStr">
        <is>
          <t>D853</t>
        </is>
      </c>
      <c r="C41" t="inlineStr">
        <is>
          <t>66650160</t>
        </is>
      </c>
      <c r="D41" t="inlineStr">
        <is>
          <t>10140391</t>
        </is>
      </c>
      <c r="E41" t="inlineStr"/>
      <c r="F41" s="11" t="n">
        <v>122</v>
      </c>
      <c r="G41" t="inlineStr"/>
      <c r="I41" t="inlineStr">
        <is>
          <t>M3</t>
        </is>
      </c>
      <c r="J41" t="inlineStr"/>
      <c r="K41" t="inlineStr">
        <is>
          <t>20240813</t>
        </is>
      </c>
      <c r="L41" t="inlineStr">
        <is>
          <t>20241108</t>
        </is>
      </c>
    </row>
    <row r="42">
      <c r="A42" t="inlineStr">
        <is>
          <t>900007188</t>
        </is>
      </c>
      <c r="B42" t="inlineStr">
        <is>
          <t>D853</t>
        </is>
      </c>
      <c r="C42" t="inlineStr">
        <is>
          <t>66650160</t>
        </is>
      </c>
      <c r="D42" t="inlineStr">
        <is>
          <t>10001455</t>
        </is>
      </c>
      <c r="E42" t="inlineStr"/>
      <c r="F42" s="11" t="n">
        <v>110</v>
      </c>
      <c r="G42" t="inlineStr"/>
      <c r="I42" t="inlineStr">
        <is>
          <t>M3</t>
        </is>
      </c>
      <c r="J42" t="inlineStr"/>
      <c r="K42" t="inlineStr">
        <is>
          <t>20240813</t>
        </is>
      </c>
      <c r="L42" t="inlineStr">
        <is>
          <t>20241108</t>
        </is>
      </c>
    </row>
    <row r="43">
      <c r="A43" t="inlineStr">
        <is>
          <t>900007188</t>
        </is>
      </c>
      <c r="B43" t="inlineStr">
        <is>
          <t>D853</t>
        </is>
      </c>
      <c r="C43" t="inlineStr">
        <is>
          <t>66650160</t>
        </is>
      </c>
      <c r="D43" t="inlineStr">
        <is>
          <t>10148458</t>
        </is>
      </c>
      <c r="E43" t="inlineStr"/>
      <c r="F43" s="11" t="n">
        <v>237.6</v>
      </c>
      <c r="G43" t="inlineStr"/>
      <c r="I43" t="inlineStr">
        <is>
          <t>M3</t>
        </is>
      </c>
      <c r="J43" t="inlineStr"/>
      <c r="K43" t="inlineStr">
        <is>
          <t>20250711</t>
        </is>
      </c>
      <c r="L43" t="inlineStr">
        <is>
          <t>99991231</t>
        </is>
      </c>
    </row>
    <row r="44">
      <c r="A44" t="inlineStr">
        <is>
          <t>900007188</t>
        </is>
      </c>
      <c r="B44" t="inlineStr">
        <is>
          <t>D853</t>
        </is>
      </c>
      <c r="C44" t="inlineStr">
        <is>
          <t>66650160</t>
        </is>
      </c>
      <c r="D44" t="inlineStr">
        <is>
          <t>10152920</t>
        </is>
      </c>
      <c r="E44" t="inlineStr"/>
      <c r="F44" s="11" t="n">
        <v>110</v>
      </c>
      <c r="G44" t="inlineStr"/>
      <c r="I44" t="inlineStr">
        <is>
          <t>M3</t>
        </is>
      </c>
      <c r="J44" t="inlineStr"/>
      <c r="K44" t="inlineStr">
        <is>
          <t>20250711</t>
        </is>
      </c>
      <c r="L44" t="inlineStr">
        <is>
          <t>99991231</t>
        </is>
      </c>
    </row>
    <row r="45">
      <c r="A45" t="inlineStr">
        <is>
          <t>900007188</t>
        </is>
      </c>
      <c r="B45" t="inlineStr">
        <is>
          <t>D853</t>
        </is>
      </c>
      <c r="C45" t="inlineStr">
        <is>
          <t>66650160</t>
        </is>
      </c>
      <c r="D45" t="inlineStr">
        <is>
          <t>10173699</t>
        </is>
      </c>
      <c r="E45" t="inlineStr"/>
      <c r="F45" s="11" t="n">
        <v>115</v>
      </c>
      <c r="G45" t="inlineStr"/>
      <c r="I45" t="inlineStr">
        <is>
          <t>M3</t>
        </is>
      </c>
      <c r="J45" t="inlineStr"/>
      <c r="K45" t="inlineStr">
        <is>
          <t>20250711</t>
        </is>
      </c>
      <c r="L45" t="inlineStr">
        <is>
          <t>99991231</t>
        </is>
      </c>
    </row>
    <row r="46">
      <c r="A46" t="inlineStr">
        <is>
          <t>900007188</t>
        </is>
      </c>
      <c r="B46" t="inlineStr">
        <is>
          <t>D853</t>
        </is>
      </c>
      <c r="C46" t="inlineStr">
        <is>
          <t>66650160</t>
        </is>
      </c>
      <c r="D46" t="inlineStr">
        <is>
          <t>10208119</t>
        </is>
      </c>
      <c r="E46" t="inlineStr"/>
      <c r="F46" s="11" t="n">
        <v>105</v>
      </c>
      <c r="G46" t="inlineStr"/>
      <c r="I46" t="inlineStr">
        <is>
          <t>M3</t>
        </is>
      </c>
      <c r="J46" t="inlineStr"/>
      <c r="K46" t="inlineStr">
        <is>
          <t>20240813</t>
        </is>
      </c>
      <c r="L46" t="inlineStr">
        <is>
          <t>20241108</t>
        </is>
      </c>
    </row>
    <row r="47">
      <c r="A47" t="inlineStr">
        <is>
          <t>900007188</t>
        </is>
      </c>
      <c r="B47" t="inlineStr">
        <is>
          <t>D853</t>
        </is>
      </c>
      <c r="C47" t="inlineStr">
        <is>
          <t>66650160</t>
        </is>
      </c>
      <c r="D47" t="inlineStr">
        <is>
          <t>10213459</t>
        </is>
      </c>
      <c r="E47" t="inlineStr"/>
      <c r="F47" s="11" t="n">
        <v>100</v>
      </c>
      <c r="G47" t="inlineStr"/>
      <c r="I47" t="inlineStr">
        <is>
          <t>M3</t>
        </is>
      </c>
      <c r="J47" t="inlineStr"/>
      <c r="K47" t="inlineStr">
        <is>
          <t>20240813</t>
        </is>
      </c>
      <c r="L47" t="inlineStr">
        <is>
          <t>20241108</t>
        </is>
      </c>
    </row>
    <row r="48">
      <c r="A48" t="inlineStr">
        <is>
          <t>900007188</t>
        </is>
      </c>
      <c r="B48" t="inlineStr">
        <is>
          <t>D853</t>
        </is>
      </c>
      <c r="C48" t="inlineStr">
        <is>
          <t>66650259</t>
        </is>
      </c>
      <c r="D48" t="inlineStr">
        <is>
          <t>10000166</t>
        </is>
      </c>
      <c r="E48" t="inlineStr"/>
      <c r="F48" s="11" t="n">
        <v>130</v>
      </c>
      <c r="G48" t="inlineStr"/>
      <c r="I48" t="inlineStr">
        <is>
          <t>M3</t>
        </is>
      </c>
      <c r="J48" t="inlineStr"/>
      <c r="K48" t="inlineStr">
        <is>
          <t>20240806</t>
        </is>
      </c>
      <c r="L48" t="inlineStr">
        <is>
          <t>99991231</t>
        </is>
      </c>
    </row>
    <row r="49">
      <c r="A49" t="inlineStr">
        <is>
          <t>900007188</t>
        </is>
      </c>
      <c r="B49" t="inlineStr">
        <is>
          <t>D853</t>
        </is>
      </c>
      <c r="C49" t="inlineStr">
        <is>
          <t>67323032</t>
        </is>
      </c>
      <c r="D49" t="inlineStr">
        <is>
          <t>10000176</t>
        </is>
      </c>
      <c r="E49" t="inlineStr"/>
      <c r="F49" s="11" t="n">
        <v>65</v>
      </c>
      <c r="G49" t="inlineStr"/>
      <c r="I49" t="inlineStr">
        <is>
          <t>M3</t>
        </is>
      </c>
      <c r="J49" t="inlineStr"/>
      <c r="K49" t="inlineStr">
        <is>
          <t>20250610</t>
        </is>
      </c>
      <c r="L49" t="inlineStr">
        <is>
          <t>99991231</t>
        </is>
      </c>
    </row>
    <row r="50">
      <c r="A50" t="inlineStr">
        <is>
          <t>900007188</t>
        </is>
      </c>
      <c r="B50" t="inlineStr">
        <is>
          <t>D853</t>
        </is>
      </c>
      <c r="C50" t="inlineStr">
        <is>
          <t>67323032</t>
        </is>
      </c>
      <c r="D50" t="inlineStr">
        <is>
          <t>10048387</t>
        </is>
      </c>
      <c r="E50" t="inlineStr"/>
      <c r="F50" s="11" t="n">
        <v>235.2</v>
      </c>
      <c r="G50" t="inlineStr"/>
      <c r="I50" t="inlineStr">
        <is>
          <t>M3</t>
        </is>
      </c>
      <c r="J50" t="inlineStr"/>
      <c r="K50" t="inlineStr">
        <is>
          <t>20250604</t>
        </is>
      </c>
      <c r="L50" t="inlineStr">
        <is>
          <t>99991231</t>
        </is>
      </c>
    </row>
    <row r="51">
      <c r="A51" t="inlineStr">
        <is>
          <t>900007188</t>
        </is>
      </c>
      <c r="B51" t="inlineStr">
        <is>
          <t>D853</t>
        </is>
      </c>
      <c r="C51" t="inlineStr">
        <is>
          <t>67323032</t>
        </is>
      </c>
      <c r="D51" t="inlineStr">
        <is>
          <t>10065403</t>
        </is>
      </c>
      <c r="E51" t="inlineStr"/>
      <c r="F51" s="11" t="n">
        <v>201.06</v>
      </c>
      <c r="G51" t="inlineStr"/>
      <c r="I51" t="inlineStr">
        <is>
          <t>M3</t>
        </is>
      </c>
      <c r="J51" t="inlineStr"/>
      <c r="K51" t="inlineStr">
        <is>
          <t>20250604</t>
        </is>
      </c>
      <c r="L51" t="inlineStr">
        <is>
          <t>99991231</t>
        </is>
      </c>
    </row>
    <row r="52">
      <c r="A52" t="inlineStr">
        <is>
          <t>900007188</t>
        </is>
      </c>
      <c r="B52" t="inlineStr">
        <is>
          <t>D853</t>
        </is>
      </c>
      <c r="C52" t="inlineStr">
        <is>
          <t>67323032</t>
        </is>
      </c>
      <c r="D52" t="inlineStr">
        <is>
          <t>10133053</t>
        </is>
      </c>
      <c r="E52" t="inlineStr"/>
      <c r="F52" s="11" t="n">
        <v>201.06</v>
      </c>
      <c r="G52" t="inlineStr"/>
      <c r="I52" t="inlineStr">
        <is>
          <t>M3</t>
        </is>
      </c>
      <c r="J52" t="inlineStr"/>
      <c r="K52" t="inlineStr">
        <is>
          <t>20250604</t>
        </is>
      </c>
      <c r="L52" t="inlineStr">
        <is>
          <t>99991231</t>
        </is>
      </c>
    </row>
    <row r="53">
      <c r="A53" t="inlineStr">
        <is>
          <t>900007188</t>
        </is>
      </c>
      <c r="B53" t="inlineStr">
        <is>
          <t>D853</t>
        </is>
      </c>
      <c r="C53" t="inlineStr">
        <is>
          <t>67323032</t>
        </is>
      </c>
      <c r="D53" t="inlineStr">
        <is>
          <t>10260652</t>
        </is>
      </c>
      <c r="E53" t="inlineStr"/>
      <c r="F53" s="11" t="n">
        <v>142</v>
      </c>
      <c r="G53" t="inlineStr"/>
      <c r="I53" t="inlineStr">
        <is>
          <t>M3</t>
        </is>
      </c>
      <c r="J53" t="inlineStr"/>
      <c r="K53" t="inlineStr">
        <is>
          <t>20250604</t>
        </is>
      </c>
      <c r="L53" t="inlineStr">
        <is>
          <t>99991231</t>
        </is>
      </c>
    </row>
    <row r="54">
      <c r="A54" t="inlineStr">
        <is>
          <t>900007579</t>
        </is>
      </c>
      <c r="B54" t="inlineStr">
        <is>
          <t>D853</t>
        </is>
      </c>
      <c r="C54" t="inlineStr">
        <is>
          <t>65120212</t>
        </is>
      </c>
      <c r="D54" t="inlineStr">
        <is>
          <t>10173699</t>
        </is>
      </c>
      <c r="E54" t="inlineStr"/>
      <c r="F54" s="11" t="n">
        <v>676.58</v>
      </c>
      <c r="G54" t="inlineStr"/>
      <c r="I54" t="inlineStr">
        <is>
          <t>TN</t>
        </is>
      </c>
      <c r="J54" t="inlineStr"/>
      <c r="K54" t="inlineStr">
        <is>
          <t>20230120</t>
        </is>
      </c>
      <c r="L54" t="inlineStr">
        <is>
          <t>99991231</t>
        </is>
      </c>
    </row>
    <row r="55">
      <c r="A55" t="inlineStr">
        <is>
          <t>900007579</t>
        </is>
      </c>
      <c r="B55" t="inlineStr">
        <is>
          <t>D853</t>
        </is>
      </c>
      <c r="C55" t="inlineStr">
        <is>
          <t>66264619</t>
        </is>
      </c>
      <c r="D55" t="inlineStr">
        <is>
          <t>10173699</t>
        </is>
      </c>
      <c r="E55" t="inlineStr"/>
      <c r="F55" s="11" t="n">
        <v>676.58</v>
      </c>
      <c r="G55" t="inlineStr"/>
      <c r="I55" t="inlineStr">
        <is>
          <t>TN</t>
        </is>
      </c>
      <c r="J55" t="inlineStr"/>
      <c r="K55" t="inlineStr">
        <is>
          <t>20230120</t>
        </is>
      </c>
      <c r="L55" t="inlineStr">
        <is>
          <t>99991231</t>
        </is>
      </c>
    </row>
    <row r="56">
      <c r="A56" t="inlineStr">
        <is>
          <t>900007610</t>
        </is>
      </c>
      <c r="B56" t="inlineStr">
        <is>
          <t>D853</t>
        </is>
      </c>
      <c r="C56" t="inlineStr">
        <is>
          <t>66650160</t>
        </is>
      </c>
      <c r="D56" t="inlineStr">
        <is>
          <t>10139786</t>
        </is>
      </c>
      <c r="E56" t="inlineStr"/>
      <c r="F56" s="11" t="n">
        <v>115.5</v>
      </c>
      <c r="G56" t="inlineStr"/>
      <c r="I56" t="inlineStr">
        <is>
          <t>M3</t>
        </is>
      </c>
      <c r="J56" t="inlineStr"/>
      <c r="K56" t="inlineStr">
        <is>
          <t>20240813</t>
        </is>
      </c>
      <c r="L56" t="inlineStr">
        <is>
          <t>20241108</t>
        </is>
      </c>
    </row>
    <row r="57">
      <c r="A57" t="inlineStr">
        <is>
          <t>900009025</t>
        </is>
      </c>
      <c r="B57" t="inlineStr">
        <is>
          <t>D853</t>
        </is>
      </c>
      <c r="C57" t="inlineStr">
        <is>
          <t>66650259</t>
        </is>
      </c>
      <c r="D57" t="inlineStr">
        <is>
          <t>10048387</t>
        </is>
      </c>
      <c r="E57" t="inlineStr"/>
      <c r="F57" s="11" t="n">
        <v>235.2</v>
      </c>
      <c r="G57" t="inlineStr"/>
      <c r="I57" t="inlineStr">
        <is>
          <t>M3</t>
        </is>
      </c>
      <c r="J57" t="inlineStr"/>
      <c r="K57" t="inlineStr">
        <is>
          <t>20241108</t>
        </is>
      </c>
      <c r="L57" t="inlineStr">
        <is>
          <t>99991231</t>
        </is>
      </c>
    </row>
    <row r="58">
      <c r="A58" t="inlineStr">
        <is>
          <t>900009025</t>
        </is>
      </c>
      <c r="B58" t="inlineStr">
        <is>
          <t>D853</t>
        </is>
      </c>
      <c r="C58" t="inlineStr">
        <is>
          <t>66650259</t>
        </is>
      </c>
      <c r="D58" t="inlineStr">
        <is>
          <t>10065403</t>
        </is>
      </c>
      <c r="E58" t="inlineStr"/>
      <c r="F58" s="11" t="n">
        <v>201.6</v>
      </c>
      <c r="G58" t="inlineStr"/>
      <c r="I58" t="inlineStr">
        <is>
          <t>M3</t>
        </is>
      </c>
      <c r="J58" t="inlineStr"/>
      <c r="K58" t="inlineStr">
        <is>
          <t>20241108</t>
        </is>
      </c>
      <c r="L58" t="inlineStr">
        <is>
          <t>99991231</t>
        </is>
      </c>
    </row>
    <row r="59">
      <c r="A59" t="inlineStr">
        <is>
          <t>900009025</t>
        </is>
      </c>
      <c r="B59" t="inlineStr">
        <is>
          <t>D853</t>
        </is>
      </c>
      <c r="C59" t="inlineStr">
        <is>
          <t>66650259</t>
        </is>
      </c>
      <c r="D59" t="inlineStr">
        <is>
          <t>10133053</t>
        </is>
      </c>
      <c r="E59" t="inlineStr"/>
      <c r="F59" s="11" t="n">
        <v>201.6</v>
      </c>
      <c r="G59" t="inlineStr"/>
      <c r="I59" t="inlineStr">
        <is>
          <t>M3</t>
        </is>
      </c>
      <c r="J59" t="inlineStr"/>
      <c r="K59" t="inlineStr">
        <is>
          <t>20241108</t>
        </is>
      </c>
      <c r="L59" t="inlineStr">
        <is>
          <t>99991231</t>
        </is>
      </c>
    </row>
    <row r="60">
      <c r="A60" t="inlineStr">
        <is>
          <t>900009025</t>
        </is>
      </c>
      <c r="B60" t="inlineStr">
        <is>
          <t>D853</t>
        </is>
      </c>
      <c r="C60" t="inlineStr">
        <is>
          <t>66650259</t>
        </is>
      </c>
      <c r="D60" t="inlineStr">
        <is>
          <t>10260652</t>
        </is>
      </c>
      <c r="E60" t="inlineStr"/>
      <c r="F60" s="11" t="n">
        <v>134.4</v>
      </c>
      <c r="G60" t="inlineStr"/>
      <c r="I60" t="inlineStr">
        <is>
          <t>M3</t>
        </is>
      </c>
      <c r="J60" t="inlineStr"/>
      <c r="K60" t="inlineStr">
        <is>
          <t>20241108</t>
        </is>
      </c>
      <c r="L60" t="inlineStr">
        <is>
          <t>99991231</t>
        </is>
      </c>
    </row>
    <row r="61">
      <c r="A61" t="inlineStr">
        <is>
          <t>900009025</t>
        </is>
      </c>
      <c r="B61" t="inlineStr">
        <is>
          <t>D853</t>
        </is>
      </c>
      <c r="C61" t="inlineStr">
        <is>
          <t>67323032</t>
        </is>
      </c>
      <c r="D61" t="inlineStr">
        <is>
          <t>10000176</t>
        </is>
      </c>
      <c r="E61" t="inlineStr"/>
      <c r="F61" s="11" t="n">
        <v>65</v>
      </c>
      <c r="G61" t="inlineStr"/>
      <c r="I61" t="inlineStr">
        <is>
          <t>M3</t>
        </is>
      </c>
      <c r="J61" t="inlineStr"/>
      <c r="K61" t="inlineStr">
        <is>
          <t>20250610</t>
        </is>
      </c>
      <c r="L61" t="inlineStr">
        <is>
          <t>99991231</t>
        </is>
      </c>
    </row>
    <row r="62">
      <c r="A62" t="inlineStr">
        <is>
          <t>900009025</t>
        </is>
      </c>
      <c r="B62" t="inlineStr">
        <is>
          <t>D853</t>
        </is>
      </c>
      <c r="C62" t="inlineStr">
        <is>
          <t>67323032</t>
        </is>
      </c>
      <c r="D62" t="inlineStr">
        <is>
          <t>10048387</t>
        </is>
      </c>
      <c r="E62" t="inlineStr"/>
      <c r="F62" s="11" t="n">
        <v>235.2</v>
      </c>
      <c r="G62" t="inlineStr"/>
      <c r="I62" t="inlineStr">
        <is>
          <t>M3</t>
        </is>
      </c>
      <c r="J62" t="inlineStr"/>
      <c r="K62" t="inlineStr">
        <is>
          <t>20250604</t>
        </is>
      </c>
      <c r="L62" t="inlineStr">
        <is>
          <t>99991231</t>
        </is>
      </c>
    </row>
    <row r="63">
      <c r="A63" t="inlineStr">
        <is>
          <t>900009025</t>
        </is>
      </c>
      <c r="B63" t="inlineStr">
        <is>
          <t>D853</t>
        </is>
      </c>
      <c r="C63" t="inlineStr">
        <is>
          <t>67323032</t>
        </is>
      </c>
      <c r="D63" t="inlineStr">
        <is>
          <t>10065403</t>
        </is>
      </c>
      <c r="E63" t="inlineStr"/>
      <c r="F63" s="11" t="n">
        <v>201.06</v>
      </c>
      <c r="G63" t="inlineStr"/>
      <c r="I63" t="inlineStr">
        <is>
          <t>M3</t>
        </is>
      </c>
      <c r="J63" t="inlineStr"/>
      <c r="K63" t="inlineStr">
        <is>
          <t>20250604</t>
        </is>
      </c>
      <c r="L63" t="inlineStr">
        <is>
          <t>99991231</t>
        </is>
      </c>
    </row>
    <row r="64">
      <c r="A64" t="inlineStr">
        <is>
          <t>900009025</t>
        </is>
      </c>
      <c r="B64" t="inlineStr">
        <is>
          <t>D853</t>
        </is>
      </c>
      <c r="C64" t="inlineStr">
        <is>
          <t>67323032</t>
        </is>
      </c>
      <c r="D64" t="inlineStr">
        <is>
          <t>10133053</t>
        </is>
      </c>
      <c r="E64" t="inlineStr"/>
      <c r="F64" s="11" t="n">
        <v>201.06</v>
      </c>
      <c r="G64" t="inlineStr"/>
      <c r="I64" t="inlineStr">
        <is>
          <t>M3</t>
        </is>
      </c>
      <c r="J64" t="inlineStr"/>
      <c r="K64" t="inlineStr">
        <is>
          <t>20250604</t>
        </is>
      </c>
      <c r="L64" t="inlineStr">
        <is>
          <t>99991231</t>
        </is>
      </c>
    </row>
    <row r="65">
      <c r="A65" t="inlineStr">
        <is>
          <t>900009025</t>
        </is>
      </c>
      <c r="B65" t="inlineStr">
        <is>
          <t>D853</t>
        </is>
      </c>
      <c r="C65" t="inlineStr">
        <is>
          <t>67323032</t>
        </is>
      </c>
      <c r="D65" t="inlineStr">
        <is>
          <t>10260652</t>
        </is>
      </c>
      <c r="E65" t="inlineStr"/>
      <c r="F65" s="11" t="n">
        <v>142</v>
      </c>
      <c r="G65" t="inlineStr"/>
      <c r="I65" t="inlineStr">
        <is>
          <t>M3</t>
        </is>
      </c>
      <c r="J65" t="inlineStr"/>
      <c r="K65" t="inlineStr">
        <is>
          <t>20250604</t>
        </is>
      </c>
      <c r="L65" t="inlineStr">
        <is>
          <t>99991231</t>
        </is>
      </c>
    </row>
    <row r="66">
      <c r="A66" t="inlineStr">
        <is>
          <t>900009025</t>
        </is>
      </c>
      <c r="B66" t="inlineStr">
        <is>
          <t>D853</t>
        </is>
      </c>
      <c r="C66" t="inlineStr">
        <is>
          <t>67330441</t>
        </is>
      </c>
      <c r="D66" t="inlineStr">
        <is>
          <t>10048387</t>
        </is>
      </c>
      <c r="E66" t="inlineStr"/>
      <c r="F66" s="11" t="n">
        <v>235.2</v>
      </c>
      <c r="G66" t="inlineStr"/>
      <c r="I66" t="inlineStr">
        <is>
          <t>M3</t>
        </is>
      </c>
      <c r="J66" t="inlineStr"/>
      <c r="K66" t="inlineStr">
        <is>
          <t>20250719</t>
        </is>
      </c>
      <c r="L66" t="inlineStr">
        <is>
          <t>99991231</t>
        </is>
      </c>
    </row>
    <row r="67">
      <c r="A67" t="inlineStr">
        <is>
          <t>900009025</t>
        </is>
      </c>
      <c r="B67" t="inlineStr">
        <is>
          <t>D853</t>
        </is>
      </c>
      <c r="C67" t="inlineStr">
        <is>
          <t>67330441</t>
        </is>
      </c>
      <c r="D67" t="inlineStr">
        <is>
          <t>10065403</t>
        </is>
      </c>
      <c r="E67" t="inlineStr"/>
      <c r="F67" s="11" t="n">
        <v>201.6</v>
      </c>
      <c r="G67" t="inlineStr"/>
      <c r="I67" t="inlineStr">
        <is>
          <t>M3</t>
        </is>
      </c>
      <c r="J67" t="inlineStr"/>
      <c r="K67" t="inlineStr">
        <is>
          <t>20250719</t>
        </is>
      </c>
      <c r="L67" t="inlineStr">
        <is>
          <t>99991231</t>
        </is>
      </c>
    </row>
    <row r="68">
      <c r="A68" t="inlineStr">
        <is>
          <t>900009025</t>
        </is>
      </c>
      <c r="B68" t="inlineStr">
        <is>
          <t>D853</t>
        </is>
      </c>
      <c r="C68" t="inlineStr">
        <is>
          <t>67330441</t>
        </is>
      </c>
      <c r="D68" t="inlineStr">
        <is>
          <t>10133053</t>
        </is>
      </c>
      <c r="E68" t="inlineStr"/>
      <c r="F68" s="11" t="n">
        <v>201.6</v>
      </c>
      <c r="G68" t="inlineStr"/>
      <c r="I68" t="inlineStr">
        <is>
          <t>M3</t>
        </is>
      </c>
      <c r="J68" t="inlineStr"/>
      <c r="K68" t="inlineStr">
        <is>
          <t>20250719</t>
        </is>
      </c>
      <c r="L68" t="inlineStr">
        <is>
          <t>99991231</t>
        </is>
      </c>
    </row>
    <row r="69">
      <c r="A69" t="inlineStr">
        <is>
          <t>900009025</t>
        </is>
      </c>
      <c r="B69" t="inlineStr">
        <is>
          <t>D853</t>
        </is>
      </c>
      <c r="C69" t="inlineStr">
        <is>
          <t>67330441</t>
        </is>
      </c>
      <c r="D69" t="inlineStr">
        <is>
          <t>10260652</t>
        </is>
      </c>
      <c r="E69" t="inlineStr"/>
      <c r="F69" s="11" t="n">
        <v>134.4</v>
      </c>
      <c r="G69" t="inlineStr"/>
      <c r="I69" t="inlineStr">
        <is>
          <t>M3</t>
        </is>
      </c>
      <c r="J69" t="inlineStr"/>
      <c r="K69" t="inlineStr">
        <is>
          <t>20250719</t>
        </is>
      </c>
      <c r="L69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900002329D8536690576610140391</t>
        </is>
      </c>
      <c r="B2" t="inlineStr">
        <is>
          <t>900002329</t>
        </is>
      </c>
      <c r="C2" t="inlineStr">
        <is>
          <t>D853</t>
        </is>
      </c>
      <c r="D2" t="inlineStr">
        <is>
          <t>66905766</t>
        </is>
      </c>
      <c r="E2" t="inlineStr">
        <is>
          <t>4</t>
        </is>
      </c>
      <c r="F2" t="inlineStr">
        <is>
          <t>10140391</t>
        </is>
      </c>
      <c r="H2" t="inlineStr"/>
      <c r="J2" t="n">
        <v>153</v>
      </c>
      <c r="K2" t="inlineStr"/>
      <c r="M2" t="inlineStr">
        <is>
          <t>M3</t>
        </is>
      </c>
      <c r="N2" t="inlineStr"/>
      <c r="P2" t="inlineStr">
        <is>
          <t>20201014</t>
        </is>
      </c>
      <c r="Q2" t="inlineStr">
        <is>
          <t>99991231</t>
        </is>
      </c>
    </row>
    <row r="3">
      <c r="A3" t="inlineStr">
        <is>
          <t>900005242D8536680465810144288</t>
        </is>
      </c>
      <c r="B3" t="inlineStr">
        <is>
          <t>900005242</t>
        </is>
      </c>
      <c r="C3" t="inlineStr">
        <is>
          <t>D853</t>
        </is>
      </c>
      <c r="D3" t="inlineStr">
        <is>
          <t>66804658</t>
        </is>
      </c>
      <c r="E3" t="inlineStr">
        <is>
          <t>1</t>
        </is>
      </c>
      <c r="F3" t="inlineStr">
        <is>
          <t>10144288</t>
        </is>
      </c>
      <c r="H3" t="inlineStr"/>
      <c r="J3" t="n">
        <v>62.36</v>
      </c>
      <c r="K3" t="inlineStr"/>
      <c r="M3" t="inlineStr">
        <is>
          <t>M3</t>
        </is>
      </c>
      <c r="N3" t="inlineStr"/>
      <c r="P3" t="inlineStr">
        <is>
          <t>20210424</t>
        </is>
      </c>
      <c r="Q3" t="inlineStr">
        <is>
          <t>99991231</t>
        </is>
      </c>
    </row>
    <row r="4">
      <c r="A4" t="inlineStr">
        <is>
          <t>900005992D8536512021210173699</t>
        </is>
      </c>
      <c r="B4" t="inlineStr">
        <is>
          <t>900005992</t>
        </is>
      </c>
      <c r="C4" t="inlineStr">
        <is>
          <t>D853</t>
        </is>
      </c>
      <c r="D4" t="inlineStr">
        <is>
          <t>65120212</t>
        </is>
      </c>
      <c r="E4" t="inlineStr">
        <is>
          <t>4</t>
        </is>
      </c>
      <c r="F4" t="inlineStr">
        <is>
          <t>10173699</t>
        </is>
      </c>
      <c r="H4" t="inlineStr"/>
      <c r="J4" t="n">
        <v>19.98</v>
      </c>
      <c r="K4" t="inlineStr"/>
      <c r="M4" t="inlineStr">
        <is>
          <t>TN</t>
        </is>
      </c>
      <c r="N4" t="inlineStr"/>
      <c r="P4" t="inlineStr">
        <is>
          <t>20191011</t>
        </is>
      </c>
      <c r="Q4" t="inlineStr">
        <is>
          <t>99991231</t>
        </is>
      </c>
    </row>
    <row r="5">
      <c r="A5" t="inlineStr">
        <is>
          <t>900005992D8536665114010000363</t>
        </is>
      </c>
      <c r="B5" t="inlineStr">
        <is>
          <t>900005992</t>
        </is>
      </c>
      <c r="C5" t="inlineStr">
        <is>
          <t>D853</t>
        </is>
      </c>
      <c r="D5" t="inlineStr">
        <is>
          <t>66651140</t>
        </is>
      </c>
      <c r="E5" t="inlineStr">
        <is>
          <t>4</t>
        </is>
      </c>
      <c r="F5" t="inlineStr">
        <is>
          <t>10000363</t>
        </is>
      </c>
      <c r="H5" t="inlineStr"/>
      <c r="J5" t="n">
        <v>239</v>
      </c>
      <c r="K5" t="inlineStr"/>
      <c r="M5" t="inlineStr">
        <is>
          <t>M3</t>
        </is>
      </c>
      <c r="N5" t="inlineStr"/>
      <c r="P5" t="inlineStr">
        <is>
          <t>20210424</t>
        </is>
      </c>
      <c r="Q5" t="inlineStr">
        <is>
          <t>99991231</t>
        </is>
      </c>
    </row>
    <row r="6">
      <c r="A6" t="inlineStr">
        <is>
          <t>900005992D8536665114010139786</t>
        </is>
      </c>
      <c r="B6" t="inlineStr">
        <is>
          <t>900005992</t>
        </is>
      </c>
      <c r="C6" t="inlineStr">
        <is>
          <t>D853</t>
        </is>
      </c>
      <c r="D6" t="inlineStr">
        <is>
          <t>66651140</t>
        </is>
      </c>
      <c r="E6" t="inlineStr">
        <is>
          <t>4</t>
        </is>
      </c>
      <c r="F6" t="inlineStr">
        <is>
          <t>10139786</t>
        </is>
      </c>
      <c r="H6" t="inlineStr"/>
      <c r="J6" t="n">
        <v>239</v>
      </c>
      <c r="K6" t="inlineStr"/>
      <c r="M6" t="inlineStr">
        <is>
          <t>M3</t>
        </is>
      </c>
      <c r="N6" t="inlineStr"/>
      <c r="P6" t="inlineStr">
        <is>
          <t>20210424</t>
        </is>
      </c>
      <c r="Q6" t="inlineStr">
        <is>
          <t>99991231</t>
        </is>
      </c>
    </row>
    <row r="7">
      <c r="A7" t="inlineStr">
        <is>
          <t>900005992D8536690576610139786</t>
        </is>
      </c>
      <c r="B7" t="inlineStr">
        <is>
          <t>900005992</t>
        </is>
      </c>
      <c r="C7" t="inlineStr">
        <is>
          <t>D853</t>
        </is>
      </c>
      <c r="D7" t="inlineStr">
        <is>
          <t>66905766</t>
        </is>
      </c>
      <c r="E7" t="inlineStr">
        <is>
          <t>4</t>
        </is>
      </c>
      <c r="F7" t="inlineStr">
        <is>
          <t>10139786</t>
        </is>
      </c>
      <c r="H7" t="inlineStr"/>
      <c r="J7" t="n">
        <v>300</v>
      </c>
      <c r="K7" t="inlineStr"/>
      <c r="M7" t="inlineStr">
        <is>
          <t>M3</t>
        </is>
      </c>
      <c r="N7" t="inlineStr"/>
      <c r="P7" t="inlineStr">
        <is>
          <t>20200403</t>
        </is>
      </c>
      <c r="Q7" t="inlineStr">
        <is>
          <t>20251031</t>
        </is>
      </c>
    </row>
    <row r="8">
      <c r="A8" t="inlineStr">
        <is>
          <t>900005992D853D85310147091</t>
        </is>
      </c>
      <c r="B8" t="inlineStr">
        <is>
          <t>900005992</t>
        </is>
      </c>
      <c r="C8" t="inlineStr">
        <is>
          <t>D853</t>
        </is>
      </c>
      <c r="D8" t="inlineStr">
        <is>
          <t>D853</t>
        </is>
      </c>
      <c r="E8" t="inlineStr">
        <is>
          <t>4</t>
        </is>
      </c>
      <c r="F8" t="inlineStr">
        <is>
          <t>10147091</t>
        </is>
      </c>
      <c r="H8" t="inlineStr"/>
      <c r="J8" t="n">
        <v>270</v>
      </c>
      <c r="K8" t="inlineStr"/>
      <c r="M8" t="inlineStr">
        <is>
          <t>TN</t>
        </is>
      </c>
      <c r="N8" t="inlineStr"/>
      <c r="P8" t="inlineStr">
        <is>
          <t>20190306</t>
        </is>
      </c>
      <c r="Q8" t="inlineStr">
        <is>
          <t>99991231</t>
        </is>
      </c>
    </row>
    <row r="9">
      <c r="A9" t="inlineStr">
        <is>
          <t>900007579D8536512021210173699</t>
        </is>
      </c>
      <c r="B9" t="inlineStr">
        <is>
          <t>900007579</t>
        </is>
      </c>
      <c r="C9" t="inlineStr">
        <is>
          <t>D853</t>
        </is>
      </c>
      <c r="D9" t="inlineStr">
        <is>
          <t>65120212</t>
        </is>
      </c>
      <c r="E9" t="inlineStr">
        <is>
          <t>4</t>
        </is>
      </c>
      <c r="F9" t="inlineStr">
        <is>
          <t>10173699</t>
        </is>
      </c>
      <c r="H9" t="inlineStr"/>
      <c r="J9" t="n">
        <v>600</v>
      </c>
      <c r="K9" t="inlineStr"/>
      <c r="M9" t="inlineStr">
        <is>
          <t>TN</t>
        </is>
      </c>
      <c r="N9" t="inlineStr"/>
      <c r="P9" t="inlineStr">
        <is>
          <t>20230120</t>
        </is>
      </c>
      <c r="Q9" t="inlineStr">
        <is>
          <t>99991231</t>
        </is>
      </c>
    </row>
    <row r="10">
      <c r="A10" t="inlineStr">
        <is>
          <t>900002329D8536680652910140391</t>
        </is>
      </c>
      <c r="B10" t="inlineStr">
        <is>
          <t>900002329</t>
        </is>
      </c>
      <c r="C10" t="inlineStr">
        <is>
          <t>D853</t>
        </is>
      </c>
      <c r="D10" t="inlineStr">
        <is>
          <t>66806529</t>
        </is>
      </c>
      <c r="E10" t="inlineStr">
        <is>
          <t>4</t>
        </is>
      </c>
      <c r="F10" t="inlineStr">
        <is>
          <t>10140391</t>
        </is>
      </c>
      <c r="H10" t="inlineStr"/>
      <c r="J10" t="n">
        <v>127.5</v>
      </c>
      <c r="K10" t="inlineStr"/>
      <c r="M10" t="inlineStr">
        <is>
          <t>M3</t>
        </is>
      </c>
      <c r="N10" t="inlineStr"/>
      <c r="P10" t="inlineStr">
        <is>
          <t>20240706</t>
        </is>
      </c>
      <c r="Q10" t="inlineStr">
        <is>
          <t>20240814</t>
        </is>
      </c>
    </row>
    <row r="11">
      <c r="A11" t="inlineStr">
        <is>
          <t>900002329D8536690576610140391</t>
        </is>
      </c>
      <c r="B11" t="inlineStr">
        <is>
          <t>900002329</t>
        </is>
      </c>
      <c r="C11" t="inlineStr">
        <is>
          <t>D853</t>
        </is>
      </c>
      <c r="D11" t="inlineStr">
        <is>
          <t>66905766</t>
        </is>
      </c>
      <c r="E11" t="inlineStr">
        <is>
          <t>4</t>
        </is>
      </c>
      <c r="F11" t="inlineStr">
        <is>
          <t>10140391</t>
        </is>
      </c>
      <c r="H11" t="inlineStr"/>
      <c r="J11" t="n">
        <v>153</v>
      </c>
      <c r="K11" t="inlineStr"/>
      <c r="M11" t="inlineStr">
        <is>
          <t>M3</t>
        </is>
      </c>
      <c r="N11" t="inlineStr"/>
      <c r="P11" t="inlineStr">
        <is>
          <t>20210615</t>
        </is>
      </c>
      <c r="Q11" t="inlineStr">
        <is>
          <t>20261231</t>
        </is>
      </c>
    </row>
    <row r="12">
      <c r="A12" t="inlineStr">
        <is>
          <t>900003677D8536730024110000645</t>
        </is>
      </c>
      <c r="B12" t="inlineStr">
        <is>
          <t>900003677</t>
        </is>
      </c>
      <c r="C12" t="inlineStr">
        <is>
          <t>D853</t>
        </is>
      </c>
      <c r="D12" t="inlineStr">
        <is>
          <t>67300241</t>
        </is>
      </c>
      <c r="E12" t="inlineStr">
        <is>
          <t>1</t>
        </is>
      </c>
      <c r="F12" t="inlineStr">
        <is>
          <t>10000645</t>
        </is>
      </c>
      <c r="H12" t="inlineStr"/>
      <c r="J12" t="n">
        <v>100</v>
      </c>
      <c r="K12" t="inlineStr"/>
      <c r="M12" t="inlineStr">
        <is>
          <t>M3</t>
        </is>
      </c>
      <c r="N12" t="inlineStr"/>
      <c r="P12" t="inlineStr">
        <is>
          <t>20250721</t>
        </is>
      </c>
      <c r="Q12" t="inlineStr">
        <is>
          <t>99991231</t>
        </is>
      </c>
    </row>
    <row r="13">
      <c r="A13" t="inlineStr">
        <is>
          <t>900003677D8536730024110003344</t>
        </is>
      </c>
      <c r="B13" t="inlineStr">
        <is>
          <t>900003677</t>
        </is>
      </c>
      <c r="C13" t="inlineStr">
        <is>
          <t>D853</t>
        </is>
      </c>
      <c r="D13" t="inlineStr">
        <is>
          <t>67300241</t>
        </is>
      </c>
      <c r="E13" t="inlineStr">
        <is>
          <t>1</t>
        </is>
      </c>
      <c r="F13" t="inlineStr">
        <is>
          <t>10003344</t>
        </is>
      </c>
      <c r="H13" t="inlineStr"/>
      <c r="J13" t="n">
        <v>100</v>
      </c>
      <c r="K13" t="inlineStr"/>
      <c r="M13" t="inlineStr">
        <is>
          <t>M3</t>
        </is>
      </c>
      <c r="N13" t="inlineStr"/>
      <c r="P13" t="inlineStr">
        <is>
          <t>20250721</t>
        </is>
      </c>
      <c r="Q13" t="inlineStr">
        <is>
          <t>99991231</t>
        </is>
      </c>
    </row>
    <row r="14">
      <c r="A14" t="inlineStr">
        <is>
          <t>900003677D8536730024110133051</t>
        </is>
      </c>
      <c r="B14" t="inlineStr">
        <is>
          <t>900003677</t>
        </is>
      </c>
      <c r="C14" t="inlineStr">
        <is>
          <t>D853</t>
        </is>
      </c>
      <c r="D14" t="inlineStr">
        <is>
          <t>67300241</t>
        </is>
      </c>
      <c r="E14" t="inlineStr">
        <is>
          <t>1</t>
        </is>
      </c>
      <c r="F14" t="inlineStr">
        <is>
          <t>10133051</t>
        </is>
      </c>
      <c r="H14" t="inlineStr"/>
      <c r="J14" t="n">
        <v>100</v>
      </c>
      <c r="K14" t="inlineStr"/>
      <c r="M14" t="inlineStr">
        <is>
          <t>M3</t>
        </is>
      </c>
      <c r="N14" t="inlineStr"/>
      <c r="P14" t="inlineStr">
        <is>
          <t>20250721</t>
        </is>
      </c>
      <c r="Q14" t="inlineStr">
        <is>
          <t>99991231</t>
        </is>
      </c>
    </row>
    <row r="15">
      <c r="A15" t="inlineStr">
        <is>
          <t>900005242D8536680465810144288</t>
        </is>
      </c>
      <c r="B15" t="inlineStr">
        <is>
          <t>900005242</t>
        </is>
      </c>
      <c r="C15" t="inlineStr">
        <is>
          <t>D853</t>
        </is>
      </c>
      <c r="D15" t="inlineStr">
        <is>
          <t>66804658</t>
        </is>
      </c>
      <c r="E15" t="inlineStr">
        <is>
          <t>1</t>
        </is>
      </c>
      <c r="F15" t="inlineStr">
        <is>
          <t>10144288</t>
        </is>
      </c>
      <c r="H15" t="inlineStr"/>
      <c r="J15" t="n">
        <v>62.36</v>
      </c>
      <c r="K15" t="inlineStr"/>
      <c r="M15" t="inlineStr">
        <is>
          <t>M3</t>
        </is>
      </c>
      <c r="N15" t="inlineStr"/>
      <c r="P15" t="inlineStr">
        <is>
          <t>20210615</t>
        </is>
      </c>
      <c r="Q15" t="inlineStr">
        <is>
          <t>20261231</t>
        </is>
      </c>
    </row>
    <row r="16">
      <c r="A16" t="inlineStr">
        <is>
          <t>900005992D8536665114010000363</t>
        </is>
      </c>
      <c r="B16" t="inlineStr">
        <is>
          <t>900005992</t>
        </is>
      </c>
      <c r="C16" t="inlineStr">
        <is>
          <t>D853</t>
        </is>
      </c>
      <c r="D16" t="inlineStr">
        <is>
          <t>66651140</t>
        </is>
      </c>
      <c r="E16" t="inlineStr">
        <is>
          <t>4</t>
        </is>
      </c>
      <c r="F16" t="inlineStr">
        <is>
          <t>10000363</t>
        </is>
      </c>
      <c r="H16" t="inlineStr"/>
      <c r="J16" t="n">
        <v>239</v>
      </c>
      <c r="K16" t="inlineStr"/>
      <c r="M16" t="inlineStr">
        <is>
          <t>M3</t>
        </is>
      </c>
      <c r="N16" t="inlineStr"/>
      <c r="P16" t="inlineStr">
        <is>
          <t>20191114</t>
        </is>
      </c>
      <c r="Q16" t="inlineStr">
        <is>
          <t>99991231</t>
        </is>
      </c>
    </row>
    <row r="17">
      <c r="A17" t="inlineStr">
        <is>
          <t>900005992D8536665114010139786</t>
        </is>
      </c>
      <c r="B17" t="inlineStr">
        <is>
          <t>900005992</t>
        </is>
      </c>
      <c r="C17" t="inlineStr">
        <is>
          <t>D853</t>
        </is>
      </c>
      <c r="D17" t="inlineStr">
        <is>
          <t>66651140</t>
        </is>
      </c>
      <c r="E17" t="inlineStr">
        <is>
          <t>4</t>
        </is>
      </c>
      <c r="F17" t="inlineStr">
        <is>
          <t>10139786</t>
        </is>
      </c>
      <c r="H17" t="inlineStr"/>
      <c r="J17" t="n">
        <v>239</v>
      </c>
      <c r="K17" t="inlineStr"/>
      <c r="M17" t="inlineStr">
        <is>
          <t>M3</t>
        </is>
      </c>
      <c r="N17" t="inlineStr"/>
      <c r="P17" t="inlineStr">
        <is>
          <t>20210615</t>
        </is>
      </c>
      <c r="Q17" t="inlineStr">
        <is>
          <t>20261231</t>
        </is>
      </c>
    </row>
    <row r="18">
      <c r="A18" t="inlineStr">
        <is>
          <t>900005992D8536690576610139786</t>
        </is>
      </c>
      <c r="B18" t="inlineStr">
        <is>
          <t>900005992</t>
        </is>
      </c>
      <c r="C18" t="inlineStr">
        <is>
          <t>D853</t>
        </is>
      </c>
      <c r="D18" t="inlineStr">
        <is>
          <t>66905766</t>
        </is>
      </c>
      <c r="E18" t="inlineStr">
        <is>
          <t>4</t>
        </is>
      </c>
      <c r="F18" t="inlineStr">
        <is>
          <t>10139786</t>
        </is>
      </c>
      <c r="H18" t="inlineStr"/>
      <c r="J18" t="n">
        <v>300</v>
      </c>
      <c r="K18" t="inlineStr"/>
      <c r="M18" t="inlineStr">
        <is>
          <t>M3</t>
        </is>
      </c>
      <c r="N18" t="inlineStr"/>
      <c r="P18" t="inlineStr">
        <is>
          <t>20210615</t>
        </is>
      </c>
      <c r="Q18" t="inlineStr">
        <is>
          <t>20261231</t>
        </is>
      </c>
    </row>
    <row r="19">
      <c r="A19" t="inlineStr">
        <is>
          <t>900005992D853D85310147091</t>
        </is>
      </c>
      <c r="B19" t="inlineStr">
        <is>
          <t>900005992</t>
        </is>
      </c>
      <c r="C19" t="inlineStr">
        <is>
          <t>D853</t>
        </is>
      </c>
      <c r="D19" t="inlineStr">
        <is>
          <t>D853</t>
        </is>
      </c>
      <c r="E19" t="inlineStr">
        <is>
          <t>4</t>
        </is>
      </c>
      <c r="F19" t="inlineStr">
        <is>
          <t>10147091</t>
        </is>
      </c>
      <c r="H19" t="inlineStr"/>
      <c r="J19" t="n">
        <v>270</v>
      </c>
      <c r="K19" t="inlineStr"/>
      <c r="M19" t="inlineStr">
        <is>
          <t>TN</t>
        </is>
      </c>
      <c r="N19" t="inlineStr"/>
      <c r="P19" t="inlineStr">
        <is>
          <t>20190306</t>
        </is>
      </c>
      <c r="Q19" t="inlineStr">
        <is>
          <t>99991231</t>
        </is>
      </c>
    </row>
    <row r="20">
      <c r="A20" t="inlineStr">
        <is>
          <t>900007579D8536512021210173699</t>
        </is>
      </c>
      <c r="B20" t="inlineStr">
        <is>
          <t>900007579</t>
        </is>
      </c>
      <c r="C20" t="inlineStr">
        <is>
          <t>D853</t>
        </is>
      </c>
      <c r="D20" t="inlineStr">
        <is>
          <t>65120212</t>
        </is>
      </c>
      <c r="E20" t="inlineStr">
        <is>
          <t>4</t>
        </is>
      </c>
      <c r="F20" t="inlineStr">
        <is>
          <t>10173699</t>
        </is>
      </c>
      <c r="H20" t="inlineStr"/>
      <c r="J20" t="n">
        <v>600</v>
      </c>
      <c r="K20" t="inlineStr"/>
      <c r="M20" t="inlineStr">
        <is>
          <t>TN</t>
        </is>
      </c>
      <c r="N20" t="inlineStr"/>
      <c r="P20" t="inlineStr">
        <is>
          <t>20240706</t>
        </is>
      </c>
      <c r="Q20" t="inlineStr">
        <is>
          <t>20240814</t>
        </is>
      </c>
    </row>
    <row r="21">
      <c r="A21" t="inlineStr">
        <is>
          <t>900009025D8536665025910048387</t>
        </is>
      </c>
      <c r="B21" t="inlineStr">
        <is>
          <t>900009025</t>
        </is>
      </c>
      <c r="C21" t="inlineStr">
        <is>
          <t>D853</t>
        </is>
      </c>
      <c r="D21" t="inlineStr">
        <is>
          <t>66650259</t>
        </is>
      </c>
      <c r="E21" t="inlineStr">
        <is>
          <t>4</t>
        </is>
      </c>
      <c r="F21" t="inlineStr">
        <is>
          <t>10048387</t>
        </is>
      </c>
      <c r="H21" t="inlineStr"/>
      <c r="J21" t="n">
        <v>56</v>
      </c>
      <c r="K21" t="inlineStr"/>
      <c r="M21" t="inlineStr">
        <is>
          <t>M3</t>
        </is>
      </c>
      <c r="N21" t="inlineStr"/>
      <c r="P21" t="inlineStr">
        <is>
          <t>20241108</t>
        </is>
      </c>
      <c r="Q21" t="inlineStr">
        <is>
          <t>99991231</t>
        </is>
      </c>
    </row>
    <row r="22">
      <c r="A22" t="inlineStr">
        <is>
          <t>900009025D8536665025910065403</t>
        </is>
      </c>
      <c r="B22" t="inlineStr">
        <is>
          <t>900009025</t>
        </is>
      </c>
      <c r="C22" t="inlineStr">
        <is>
          <t>D853</t>
        </is>
      </c>
      <c r="D22" t="inlineStr">
        <is>
          <t>66650259</t>
        </is>
      </c>
      <c r="E22" t="inlineStr">
        <is>
          <t>4</t>
        </is>
      </c>
      <c r="F22" t="inlineStr">
        <is>
          <t>10065403</t>
        </is>
      </c>
      <c r="H22" t="inlineStr"/>
      <c r="J22" t="n">
        <v>56</v>
      </c>
      <c r="K22" t="inlineStr"/>
      <c r="M22" t="inlineStr">
        <is>
          <t>M3</t>
        </is>
      </c>
      <c r="N22" t="inlineStr"/>
      <c r="P22" t="inlineStr">
        <is>
          <t>20241108</t>
        </is>
      </c>
      <c r="Q22" t="inlineStr">
        <is>
          <t>99991231</t>
        </is>
      </c>
    </row>
    <row r="23">
      <c r="A23" t="inlineStr">
        <is>
          <t>900009025D8536665025910133053</t>
        </is>
      </c>
      <c r="B23" t="inlineStr">
        <is>
          <t>900009025</t>
        </is>
      </c>
      <c r="C23" t="inlineStr">
        <is>
          <t>D853</t>
        </is>
      </c>
      <c r="D23" t="inlineStr">
        <is>
          <t>66650259</t>
        </is>
      </c>
      <c r="E23" t="inlineStr">
        <is>
          <t>4</t>
        </is>
      </c>
      <c r="F23" t="inlineStr">
        <is>
          <t>10133053</t>
        </is>
      </c>
      <c r="H23" t="inlineStr"/>
      <c r="J23" t="n">
        <v>56</v>
      </c>
      <c r="K23" t="inlineStr"/>
      <c r="M23" t="inlineStr">
        <is>
          <t>M3</t>
        </is>
      </c>
      <c r="N23" t="inlineStr"/>
      <c r="P23" t="inlineStr">
        <is>
          <t>20241108</t>
        </is>
      </c>
      <c r="Q23" t="inlineStr">
        <is>
          <t>99991231</t>
        </is>
      </c>
    </row>
    <row r="24">
      <c r="A24" t="inlineStr">
        <is>
          <t>900009025D8536665025910260652</t>
        </is>
      </c>
      <c r="B24" t="inlineStr">
        <is>
          <t>900009025</t>
        </is>
      </c>
      <c r="C24" t="inlineStr">
        <is>
          <t>D853</t>
        </is>
      </c>
      <c r="D24" t="inlineStr">
        <is>
          <t>66650259</t>
        </is>
      </c>
      <c r="E24" t="inlineStr">
        <is>
          <t>4</t>
        </is>
      </c>
      <c r="F24" t="inlineStr">
        <is>
          <t>10260652</t>
        </is>
      </c>
      <c r="H24" t="inlineStr"/>
      <c r="J24" t="n">
        <v>56</v>
      </c>
      <c r="K24" t="inlineStr"/>
      <c r="M24" t="inlineStr">
        <is>
          <t>M3</t>
        </is>
      </c>
      <c r="N24" t="inlineStr"/>
      <c r="P24" t="inlineStr">
        <is>
          <t>20241108</t>
        </is>
      </c>
      <c r="Q24" t="inlineStr">
        <is>
          <t>99991231</t>
        </is>
      </c>
    </row>
    <row r="25">
      <c r="A25" t="inlineStr">
        <is>
          <t>900009025D8536732303210000176</t>
        </is>
      </c>
      <c r="B25" t="inlineStr">
        <is>
          <t>900009025</t>
        </is>
      </c>
      <c r="C25" t="inlineStr">
        <is>
          <t>D853</t>
        </is>
      </c>
      <c r="D25" t="inlineStr">
        <is>
          <t>67323032</t>
        </is>
      </c>
      <c r="E25" t="inlineStr">
        <is>
          <t>4</t>
        </is>
      </c>
      <c r="F25" t="inlineStr">
        <is>
          <t>10000176</t>
        </is>
      </c>
      <c r="H25" t="inlineStr"/>
      <c r="J25" t="n">
        <v>134</v>
      </c>
      <c r="K25" t="inlineStr"/>
      <c r="M25" t="inlineStr">
        <is>
          <t>M3</t>
        </is>
      </c>
      <c r="N25" t="inlineStr"/>
      <c r="P25" t="inlineStr">
        <is>
          <t>20250610</t>
        </is>
      </c>
      <c r="Q25" t="inlineStr">
        <is>
          <t>99991231</t>
        </is>
      </c>
    </row>
    <row r="26">
      <c r="A26" t="inlineStr">
        <is>
          <t>900009025D8536732303210048387</t>
        </is>
      </c>
      <c r="B26" t="inlineStr">
        <is>
          <t>900009025</t>
        </is>
      </c>
      <c r="C26" t="inlineStr">
        <is>
          <t>D853</t>
        </is>
      </c>
      <c r="D26" t="inlineStr">
        <is>
          <t>67323032</t>
        </is>
      </c>
      <c r="E26" t="inlineStr">
        <is>
          <t>4</t>
        </is>
      </c>
      <c r="F26" t="inlineStr">
        <is>
          <t>10048387</t>
        </is>
      </c>
      <c r="H26" t="inlineStr"/>
      <c r="J26" t="n">
        <v>134</v>
      </c>
      <c r="K26" t="inlineStr"/>
      <c r="M26" t="inlineStr">
        <is>
          <t>M3</t>
        </is>
      </c>
      <c r="N26" t="inlineStr"/>
      <c r="P26" t="inlineStr">
        <is>
          <t>20250604</t>
        </is>
      </c>
      <c r="Q26" t="inlineStr">
        <is>
          <t>99991231</t>
        </is>
      </c>
    </row>
    <row r="27">
      <c r="A27" t="inlineStr">
        <is>
          <t>900009025D8536732303210065403</t>
        </is>
      </c>
      <c r="B27" t="inlineStr">
        <is>
          <t>900009025</t>
        </is>
      </c>
      <c r="C27" t="inlineStr">
        <is>
          <t>D853</t>
        </is>
      </c>
      <c r="D27" t="inlineStr">
        <is>
          <t>67323032</t>
        </is>
      </c>
      <c r="E27" t="inlineStr">
        <is>
          <t>4</t>
        </is>
      </c>
      <c r="F27" t="inlineStr">
        <is>
          <t>10065403</t>
        </is>
      </c>
      <c r="H27" t="inlineStr"/>
      <c r="J27" t="n">
        <v>134</v>
      </c>
      <c r="K27" t="inlineStr"/>
      <c r="M27" t="inlineStr">
        <is>
          <t>M3</t>
        </is>
      </c>
      <c r="N27" t="inlineStr"/>
      <c r="P27" t="inlineStr">
        <is>
          <t>20250604</t>
        </is>
      </c>
      <c r="Q27" t="inlineStr">
        <is>
          <t>99991231</t>
        </is>
      </c>
    </row>
    <row r="28">
      <c r="A28" t="inlineStr">
        <is>
          <t>900009025D8536732303210133053</t>
        </is>
      </c>
      <c r="B28" t="inlineStr">
        <is>
          <t>900009025</t>
        </is>
      </c>
      <c r="C28" t="inlineStr">
        <is>
          <t>D853</t>
        </is>
      </c>
      <c r="D28" t="inlineStr">
        <is>
          <t>67323032</t>
        </is>
      </c>
      <c r="E28" t="inlineStr">
        <is>
          <t>4</t>
        </is>
      </c>
      <c r="F28" t="inlineStr">
        <is>
          <t>10133053</t>
        </is>
      </c>
      <c r="H28" t="inlineStr"/>
      <c r="J28" t="n">
        <v>134</v>
      </c>
      <c r="K28" t="inlineStr"/>
      <c r="M28" t="inlineStr">
        <is>
          <t>M3</t>
        </is>
      </c>
      <c r="N28" t="inlineStr"/>
      <c r="P28" t="inlineStr">
        <is>
          <t>20250604</t>
        </is>
      </c>
      <c r="Q28" t="inlineStr">
        <is>
          <t>99991231</t>
        </is>
      </c>
    </row>
    <row r="29">
      <c r="A29" t="inlineStr">
        <is>
          <t>900009025D8536732303210260652</t>
        </is>
      </c>
      <c r="B29" t="inlineStr">
        <is>
          <t>900009025</t>
        </is>
      </c>
      <c r="C29" t="inlineStr">
        <is>
          <t>D853</t>
        </is>
      </c>
      <c r="D29" t="inlineStr">
        <is>
          <t>67323032</t>
        </is>
      </c>
      <c r="E29" t="inlineStr">
        <is>
          <t>4</t>
        </is>
      </c>
      <c r="F29" t="inlineStr">
        <is>
          <t>10260652</t>
        </is>
      </c>
      <c r="H29" t="inlineStr"/>
      <c r="J29" t="n">
        <v>134</v>
      </c>
      <c r="K29" t="inlineStr"/>
      <c r="M29" t="inlineStr">
        <is>
          <t>M3</t>
        </is>
      </c>
      <c r="N29" t="inlineStr"/>
      <c r="P29" t="inlineStr">
        <is>
          <t>20250604</t>
        </is>
      </c>
      <c r="Q29" t="inlineStr">
        <is>
          <t>99991231</t>
        </is>
      </c>
    </row>
    <row r="30">
      <c r="A30" t="inlineStr">
        <is>
          <t>900009025D8536733044110048387</t>
        </is>
      </c>
      <c r="B30" t="inlineStr">
        <is>
          <t>900009025</t>
        </is>
      </c>
      <c r="C30" t="inlineStr">
        <is>
          <t>D853</t>
        </is>
      </c>
      <c r="D30" t="inlineStr">
        <is>
          <t>67330441</t>
        </is>
      </c>
      <c r="E30" t="inlineStr">
        <is>
          <t>4</t>
        </is>
      </c>
      <c r="F30" t="inlineStr">
        <is>
          <t>10048387</t>
        </is>
      </c>
      <c r="H30" t="inlineStr"/>
      <c r="J30" t="n">
        <v>56</v>
      </c>
      <c r="K30" t="inlineStr"/>
      <c r="M30" t="inlineStr">
        <is>
          <t>M3</t>
        </is>
      </c>
      <c r="N30" t="inlineStr"/>
      <c r="P30" t="inlineStr">
        <is>
          <t>20250719</t>
        </is>
      </c>
      <c r="Q30" t="inlineStr">
        <is>
          <t>99991231</t>
        </is>
      </c>
    </row>
    <row r="31">
      <c r="A31" t="inlineStr">
        <is>
          <t>900009025D8536733044110065403</t>
        </is>
      </c>
      <c r="B31" t="inlineStr">
        <is>
          <t>900009025</t>
        </is>
      </c>
      <c r="C31" t="inlineStr">
        <is>
          <t>D853</t>
        </is>
      </c>
      <c r="D31" t="inlineStr">
        <is>
          <t>67330441</t>
        </is>
      </c>
      <c r="E31" t="inlineStr">
        <is>
          <t>4</t>
        </is>
      </c>
      <c r="F31" t="inlineStr">
        <is>
          <t>10065403</t>
        </is>
      </c>
      <c r="H31" t="inlineStr"/>
      <c r="J31" t="n">
        <v>56</v>
      </c>
      <c r="K31" t="inlineStr"/>
      <c r="M31" t="inlineStr">
        <is>
          <t>M3</t>
        </is>
      </c>
      <c r="N31" t="inlineStr"/>
      <c r="P31" t="inlineStr">
        <is>
          <t>20250719</t>
        </is>
      </c>
      <c r="Q31" t="inlineStr">
        <is>
          <t>99991231</t>
        </is>
      </c>
    </row>
    <row r="32">
      <c r="A32" t="inlineStr">
        <is>
          <t>900009025D8536733044110133053</t>
        </is>
      </c>
      <c r="B32" t="inlineStr">
        <is>
          <t>900009025</t>
        </is>
      </c>
      <c r="C32" t="inlineStr">
        <is>
          <t>D853</t>
        </is>
      </c>
      <c r="D32" t="inlineStr">
        <is>
          <t>67330441</t>
        </is>
      </c>
      <c r="E32" t="inlineStr">
        <is>
          <t>4</t>
        </is>
      </c>
      <c r="F32" t="inlineStr">
        <is>
          <t>10133053</t>
        </is>
      </c>
      <c r="H32" t="inlineStr"/>
      <c r="J32" t="n">
        <v>56</v>
      </c>
      <c r="K32" t="inlineStr"/>
      <c r="M32" t="inlineStr">
        <is>
          <t>M3</t>
        </is>
      </c>
      <c r="N32" t="inlineStr"/>
      <c r="P32" t="inlineStr">
        <is>
          <t>20250719</t>
        </is>
      </c>
      <c r="Q32" t="inlineStr">
        <is>
          <t>99991231</t>
        </is>
      </c>
    </row>
    <row r="33">
      <c r="A33" t="inlineStr">
        <is>
          <t>900009025D8536733044110260652</t>
        </is>
      </c>
      <c r="B33" t="inlineStr">
        <is>
          <t>900009025</t>
        </is>
      </c>
      <c r="C33" t="inlineStr">
        <is>
          <t>D853</t>
        </is>
      </c>
      <c r="D33" t="inlineStr">
        <is>
          <t>67330441</t>
        </is>
      </c>
      <c r="E33" t="inlineStr">
        <is>
          <t>4</t>
        </is>
      </c>
      <c r="F33" t="inlineStr">
        <is>
          <t>10260652</t>
        </is>
      </c>
      <c r="H33" t="inlineStr"/>
      <c r="J33" t="n">
        <v>56</v>
      </c>
      <c r="K33" t="inlineStr"/>
      <c r="M33" t="inlineStr">
        <is>
          <t>M3</t>
        </is>
      </c>
      <c r="N33" t="inlineStr"/>
      <c r="P33" t="inlineStr">
        <is>
          <t>20250719</t>
        </is>
      </c>
      <c r="Q33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900007188D85310000176</t>
        </is>
      </c>
      <c r="B2" t="inlineStr">
        <is>
          <t>4600050169-120</t>
        </is>
      </c>
      <c r="C2" t="n">
        <v>4600050169</v>
      </c>
      <c r="D2" t="n">
        <v>120</v>
      </c>
      <c r="E2" t="inlineStr">
        <is>
          <t>MXPO</t>
        </is>
      </c>
      <c r="F2" t="inlineStr">
        <is>
          <t>MXL</t>
        </is>
      </c>
      <c r="G2" t="n">
        <v>900007188</v>
      </c>
      <c r="H2" t="inlineStr">
        <is>
          <t>TP-FERNANDO WOOLFOLK</t>
        </is>
      </c>
      <c r="I2" t="n">
        <v>5081080</v>
      </c>
      <c r="J2" t="inlineStr">
        <is>
          <t>WOOLFOLK CARBALLO FERNANDO</t>
        </is>
      </c>
      <c r="K2" t="inlineStr">
        <is>
          <t>N90</t>
        </is>
      </c>
      <c r="L2" t="inlineStr">
        <is>
          <t>(AP) NAFIN 90 Dias</t>
        </is>
      </c>
      <c r="M2" t="n">
        <v>10000176</v>
      </c>
      <c r="N2" t="inlineStr">
        <is>
          <t>Base H Clasificada Río  1 1/2" a Finos</t>
        </is>
      </c>
      <c r="O2" t="inlineStr">
        <is>
          <t>D853</t>
        </is>
      </c>
      <c r="P2" t="inlineStr">
        <is>
          <t>MX-CED. MEXICALI</t>
        </is>
      </c>
      <c r="Q2" t="n">
        <v>20210615</v>
      </c>
      <c r="R2" t="n">
        <v>20271231</v>
      </c>
      <c r="S2" t="n">
        <v>20250610</v>
      </c>
      <c r="T2" t="n">
        <v>20301231</v>
      </c>
      <c r="U2" t="n">
        <v>50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56103590</v>
      </c>
      <c r="AD2" t="n">
        <v>6622431540</v>
      </c>
      <c r="AE2" t="n">
        <v>1</v>
      </c>
      <c r="AF2" t="inlineStr">
        <is>
          <t>ENTREGADO</t>
        </is>
      </c>
      <c r="AG2" t="n">
        <v>1.6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V1</t>
        </is>
      </c>
      <c r="AL2" t="n">
        <v>20260127</v>
      </c>
      <c r="AM2" t="inlineStr">
        <is>
          <t>D853-900007188-10000176</t>
        </is>
      </c>
    </row>
    <row r="3">
      <c r="A3" t="inlineStr">
        <is>
          <t>900005242D8536500097110148458</t>
        </is>
      </c>
      <c r="B3" t="inlineStr">
        <is>
          <t>4600038144-40</t>
        </is>
      </c>
      <c r="C3" t="n">
        <v>4600038144</v>
      </c>
      <c r="D3" t="n">
        <v>40</v>
      </c>
      <c r="E3" t="inlineStr">
        <is>
          <t>MXPO</t>
        </is>
      </c>
      <c r="F3" t="inlineStr">
        <is>
          <t>MXL</t>
        </is>
      </c>
      <c r="G3" t="n">
        <v>900005242</v>
      </c>
      <c r="H3" t="inlineStr">
        <is>
          <t>SF TP-ED- SEXTIN MEXICALI</t>
        </is>
      </c>
      <c r="I3" t="n">
        <v>5042038</v>
      </c>
      <c r="J3" t="inlineStr">
        <is>
          <t>CONSTRUCTORA SEXTIN  SA DE CV</t>
        </is>
      </c>
      <c r="K3" t="inlineStr">
        <is>
          <t>N120</t>
        </is>
      </c>
      <c r="L3" t="inlineStr">
        <is>
          <t>(AP) NAFIN 120 Dias</t>
        </is>
      </c>
      <c r="M3" t="n">
        <v>10148458</v>
      </c>
      <c r="N3" t="inlineStr">
        <is>
          <t>GRAVA TRITURADA GRANITO 10 MM - 3/8"</t>
        </is>
      </c>
      <c r="O3" t="inlineStr">
        <is>
          <t>D853</t>
        </is>
      </c>
      <c r="P3" t="inlineStr">
        <is>
          <t>MX-CED. MEXICALI</t>
        </is>
      </c>
      <c r="Q3" t="n">
        <v>20170530</v>
      </c>
      <c r="R3" t="n">
        <v>20241231</v>
      </c>
      <c r="S3" t="n">
        <v>20180501</v>
      </c>
      <c r="T3" t="n">
        <v>20241231</v>
      </c>
      <c r="U3" t="n">
        <v>260</v>
      </c>
      <c r="V3" t="inlineStr">
        <is>
          <t>MXN</t>
        </is>
      </c>
      <c r="W3" t="inlineStr">
        <is>
          <t>M3</t>
        </is>
      </c>
      <c r="X3" t="n">
        <v>95</v>
      </c>
      <c r="Y3" t="inlineStr">
        <is>
          <t>MXN</t>
        </is>
      </c>
      <c r="Z3" t="inlineStr">
        <is>
          <t>M3</t>
        </is>
      </c>
      <c r="AA3" t="inlineStr">
        <is>
          <t>65000971</t>
        </is>
      </c>
      <c r="AB3" t="inlineStr">
        <is>
          <t>(P) BLOQUERA MODERNA, S.A. DE C.V..</t>
        </is>
      </c>
      <c r="AC3" t="n">
        <v>56103637</v>
      </c>
      <c r="AD3" t="n">
        <v>6622431540</v>
      </c>
      <c r="AE3" t="n">
        <v>4</v>
      </c>
      <c r="AF3" t="inlineStr">
        <is>
          <t>ENTREGA DIRECTA</t>
        </is>
      </c>
      <c r="AG3" t="n">
        <v>1.486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V1</t>
        </is>
      </c>
      <c r="AL3" t="n">
        <v>20230920</v>
      </c>
      <c r="AM3" t="inlineStr">
        <is>
          <t>D853-900005242-65000971-10148458-4</t>
        </is>
      </c>
    </row>
    <row r="4">
      <c r="A4" t="inlineStr">
        <is>
          <t>900007188D85310148458</t>
        </is>
      </c>
      <c r="B4" t="inlineStr">
        <is>
          <t>4600050169-60</t>
        </is>
      </c>
      <c r="C4" t="n">
        <v>4600050169</v>
      </c>
      <c r="D4" t="n">
        <v>60</v>
      </c>
      <c r="E4" t="inlineStr">
        <is>
          <t>MXPO</t>
        </is>
      </c>
      <c r="F4" t="inlineStr">
        <is>
          <t>MXL</t>
        </is>
      </c>
      <c r="G4" t="n">
        <v>900007188</v>
      </c>
      <c r="H4" t="inlineStr">
        <is>
          <t>TP-FERNANDO WOOLFOLK</t>
        </is>
      </c>
      <c r="I4" t="n">
        <v>5081080</v>
      </c>
      <c r="J4" t="inlineStr">
        <is>
          <t>WOOLFOLK CARBALLO FERNANDO</t>
        </is>
      </c>
      <c r="K4" t="inlineStr">
        <is>
          <t>N90</t>
        </is>
      </c>
      <c r="L4" t="inlineStr">
        <is>
          <t>(AP) NAFIN 90 Dias</t>
        </is>
      </c>
      <c r="M4" t="n">
        <v>10148458</v>
      </c>
      <c r="N4" t="inlineStr">
        <is>
          <t>GRAVA TRITURADA GRANITO 10 MM - 3/8"</t>
        </is>
      </c>
      <c r="O4" t="inlineStr">
        <is>
          <t>D853</t>
        </is>
      </c>
      <c r="P4" t="inlineStr">
        <is>
          <t>MX-CED. MEXICALI</t>
        </is>
      </c>
      <c r="Q4" t="n">
        <v>20210615</v>
      </c>
      <c r="R4" t="n">
        <v>20271231</v>
      </c>
      <c r="S4" t="n">
        <v>20250711</v>
      </c>
      <c r="T4" t="n">
        <v>20301231</v>
      </c>
      <c r="U4" t="n">
        <v>220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6622431540</v>
      </c>
      <c r="AE4" t="n">
        <v>1</v>
      </c>
      <c r="AF4" t="inlineStr">
        <is>
          <t>ENTREGADO</t>
        </is>
      </c>
      <c r="AG4" t="n">
        <v>1.486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V1</t>
        </is>
      </c>
      <c r="AL4" t="n">
        <v>20260127</v>
      </c>
      <c r="AM4" t="inlineStr">
        <is>
          <t>D853-900007188-10148458</t>
        </is>
      </c>
    </row>
    <row r="5">
      <c r="A5" t="inlineStr">
        <is>
          <t>900009025D8536732303210000176</t>
        </is>
      </c>
      <c r="B5" t="inlineStr">
        <is>
          <t>4600070533-90</t>
        </is>
      </c>
      <c r="C5" t="n">
        <v>4600070533</v>
      </c>
      <c r="D5" t="n">
        <v>90</v>
      </c>
      <c r="E5" t="inlineStr">
        <is>
          <t>MXPO</t>
        </is>
      </c>
      <c r="F5" t="inlineStr">
        <is>
          <t>MXL</t>
        </is>
      </c>
      <c r="G5" t="n">
        <v>900009025</v>
      </c>
      <c r="H5" t="inlineStr">
        <is>
          <t>SF TP-ED FERNANDO WOOLFOLK</t>
        </is>
      </c>
      <c r="I5" t="n">
        <v>5081080</v>
      </c>
      <c r="J5" t="inlineStr">
        <is>
          <t>WOOLFOLK CARBALLO FERNANDO</t>
        </is>
      </c>
      <c r="K5" t="inlineStr">
        <is>
          <t>N90</t>
        </is>
      </c>
      <c r="L5" t="inlineStr">
        <is>
          <t>(AP) NAFIN 90 Dias</t>
        </is>
      </c>
      <c r="M5" t="n">
        <v>10000176</v>
      </c>
      <c r="N5" t="inlineStr">
        <is>
          <t>Base H Clasificada Río  1 1/2" a Finos</t>
        </is>
      </c>
      <c r="O5" t="inlineStr">
        <is>
          <t>D853</t>
        </is>
      </c>
      <c r="P5" t="inlineStr">
        <is>
          <t>MX-CED. MEXICALI</t>
        </is>
      </c>
      <c r="Q5" t="n">
        <v>20241108</v>
      </c>
      <c r="R5" t="n">
        <v>20291231</v>
      </c>
      <c r="S5" t="n">
        <v>20250610</v>
      </c>
      <c r="T5" t="n">
        <v>20301231</v>
      </c>
      <c r="U5" t="n">
        <v>175</v>
      </c>
      <c r="V5" t="inlineStr">
        <is>
          <t>MXN</t>
        </is>
      </c>
      <c r="W5" t="inlineStr">
        <is>
          <t>M3</t>
        </is>
      </c>
      <c r="X5" t="n">
        <v>125</v>
      </c>
      <c r="Y5" t="inlineStr">
        <is>
          <t>MXN</t>
        </is>
      </c>
      <c r="Z5" t="inlineStr">
        <is>
          <t>M3</t>
        </is>
      </c>
      <c r="AA5" t="inlineStr">
        <is>
          <t>67323032</t>
        </is>
      </c>
      <c r="AB5" t="inlineStr">
        <is>
          <t>JL PLANTA MEXICALI</t>
        </is>
      </c>
      <c r="AC5" t="n">
        <v>56103590</v>
      </c>
      <c r="AD5" t="n">
        <v>6622431540</v>
      </c>
      <c r="AE5" t="n">
        <v>4</v>
      </c>
      <c r="AF5" t="inlineStr">
        <is>
          <t>ENTREGA DIRECTA</t>
        </is>
      </c>
      <c r="AG5" t="n">
        <v>1.6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V1</t>
        </is>
      </c>
      <c r="AL5" t="n">
        <v>20260127</v>
      </c>
      <c r="AM5" t="inlineStr">
        <is>
          <t>D853-900009025-67323032-10000176-4</t>
        </is>
      </c>
    </row>
    <row r="6">
      <c r="A6" t="inlineStr">
        <is>
          <t>900007188D85310152920</t>
        </is>
      </c>
      <c r="B6" t="inlineStr">
        <is>
          <t>4600050169-10</t>
        </is>
      </c>
      <c r="C6" t="n">
        <v>4600050169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900007188</v>
      </c>
      <c r="H6" t="inlineStr">
        <is>
          <t>TP-FERNANDO WOOLFOLK</t>
        </is>
      </c>
      <c r="I6" t="n">
        <v>5081080</v>
      </c>
      <c r="J6" t="inlineStr">
        <is>
          <t>WOOLFOLK CARBALLO FERNANDO</t>
        </is>
      </c>
      <c r="K6" t="inlineStr">
        <is>
          <t>N90</t>
        </is>
      </c>
      <c r="L6" t="inlineStr">
        <is>
          <t>(AP) NAFIN 90 Dias</t>
        </is>
      </c>
      <c r="M6" t="n">
        <v>10152920</v>
      </c>
      <c r="N6" t="inlineStr">
        <is>
          <t>POLVO TRITURADO GRANITO</t>
        </is>
      </c>
      <c r="O6" t="inlineStr">
        <is>
          <t>D853</t>
        </is>
      </c>
      <c r="P6" t="inlineStr">
        <is>
          <t>MX-CED. MEXICALI</t>
        </is>
      </c>
      <c r="Q6" t="n">
        <v>20210615</v>
      </c>
      <c r="R6" t="n">
        <v>20271231</v>
      </c>
      <c r="S6" t="n">
        <v>20250711</v>
      </c>
      <c r="T6" t="n">
        <v>20301231</v>
      </c>
      <c r="U6" t="n">
        <v>100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56103591</v>
      </c>
      <c r="AD6" t="n">
        <v>6622431867</v>
      </c>
      <c r="AE6" t="n">
        <v>1</v>
      </c>
      <c r="AF6" t="inlineStr">
        <is>
          <t>ENTREGADO</t>
        </is>
      </c>
      <c r="AG6" t="n">
        <v>1.615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V1</t>
        </is>
      </c>
      <c r="AL6" t="n">
        <v>20260127</v>
      </c>
      <c r="AM6" t="inlineStr">
        <is>
          <t>D853-900007188-10152920</t>
        </is>
      </c>
    </row>
    <row r="7">
      <c r="A7" t="inlineStr">
        <is>
          <t>900007188D85310173699</t>
        </is>
      </c>
      <c r="B7" t="inlineStr">
        <is>
          <t>4600050169-40</t>
        </is>
      </c>
      <c r="C7" t="n">
        <v>4600050169</v>
      </c>
      <c r="D7" t="n">
        <v>40</v>
      </c>
      <c r="E7" t="inlineStr">
        <is>
          <t>MXPO</t>
        </is>
      </c>
      <c r="F7" t="inlineStr">
        <is>
          <t>MXL</t>
        </is>
      </c>
      <c r="G7" t="n">
        <v>900007188</v>
      </c>
      <c r="H7" t="inlineStr">
        <is>
          <t>TP-FERNANDO WOOLFOLK</t>
        </is>
      </c>
      <c r="I7" t="n">
        <v>5081080</v>
      </c>
      <c r="J7" t="inlineStr">
        <is>
          <t>WOOLFOLK CARBALLO FERNANDO</t>
        </is>
      </c>
      <c r="K7" t="inlineStr">
        <is>
          <t>N90</t>
        </is>
      </c>
      <c r="L7" t="inlineStr">
        <is>
          <t>(AP) NAFIN 90 Dias</t>
        </is>
      </c>
      <c r="M7" t="n">
        <v>10173699</v>
      </c>
      <c r="N7" t="inlineStr">
        <is>
          <t>ARENA CLASIFICADA RIO MALLA 4 LAVADA</t>
        </is>
      </c>
      <c r="O7" t="inlineStr">
        <is>
          <t>D853</t>
        </is>
      </c>
      <c r="P7" t="inlineStr">
        <is>
          <t>MX-CED. MEXICALI</t>
        </is>
      </c>
      <c r="Q7" t="n">
        <v>20210615</v>
      </c>
      <c r="R7" t="n">
        <v>20271231</v>
      </c>
      <c r="S7" t="n">
        <v>20250711</v>
      </c>
      <c r="T7" t="n">
        <v>20301231</v>
      </c>
      <c r="U7" t="n">
        <v>103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56103638</v>
      </c>
      <c r="AD7" t="n">
        <v>6622431540</v>
      </c>
      <c r="AE7" t="n">
        <v>1</v>
      </c>
      <c r="AF7" t="inlineStr">
        <is>
          <t>ENTREGADO</t>
        </is>
      </c>
      <c r="AG7" t="n">
        <v>1.576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V1</t>
        </is>
      </c>
      <c r="AL7" t="n">
        <v>20260127</v>
      </c>
      <c r="AM7" t="inlineStr">
        <is>
          <t>D853-900007188-10173699</t>
        </is>
      </c>
    </row>
    <row r="8">
      <c r="A8" t="inlineStr">
        <is>
          <t>900005092D85310148458</t>
        </is>
      </c>
      <c r="B8" t="inlineStr">
        <is>
          <t>4600036854-50</t>
        </is>
      </c>
      <c r="C8" t="n">
        <v>4600036854</v>
      </c>
      <c r="D8" t="n">
        <v>50</v>
      </c>
      <c r="E8" t="inlineStr">
        <is>
          <t>MXPO</t>
        </is>
      </c>
      <c r="F8" t="inlineStr">
        <is>
          <t>MXL</t>
        </is>
      </c>
      <c r="G8" t="n">
        <v>900005092</v>
      </c>
      <c r="H8" t="inlineStr">
        <is>
          <t>SF TP- SEXTIN MEXICALI</t>
        </is>
      </c>
      <c r="I8" t="n">
        <v>5042038</v>
      </c>
      <c r="J8" t="inlineStr">
        <is>
          <t>CONSTRUCTORA SEXTIN  SA DE CV</t>
        </is>
      </c>
      <c r="K8" t="inlineStr">
        <is>
          <t>N120</t>
        </is>
      </c>
      <c r="L8" t="inlineStr">
        <is>
          <t>(AP) NAFIN 120 Dias</t>
        </is>
      </c>
      <c r="M8" t="n">
        <v>10148458</v>
      </c>
      <c r="N8" t="inlineStr">
        <is>
          <t>GRAVA TRITURADA GRANITO 10 MM - 3/8"</t>
        </is>
      </c>
      <c r="O8" t="inlineStr">
        <is>
          <t>D853</t>
        </is>
      </c>
      <c r="P8" t="inlineStr">
        <is>
          <t>MX-CED. MEXICALI</t>
        </is>
      </c>
      <c r="Q8" t="n">
        <v>20170210</v>
      </c>
      <c r="R8" t="n">
        <v>20241231</v>
      </c>
      <c r="S8" t="n">
        <v>20180501</v>
      </c>
      <c r="T8" t="n">
        <v>20241231</v>
      </c>
      <c r="U8" t="n">
        <v>176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6622431540</v>
      </c>
      <c r="AE8" t="n">
        <v>1</v>
      </c>
      <c r="AF8" t="inlineStr">
        <is>
          <t>ENTREGADO</t>
        </is>
      </c>
      <c r="AG8" t="n">
        <v>1.486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V1</t>
        </is>
      </c>
      <c r="AL8" t="n">
        <v>20230920</v>
      </c>
      <c r="AM8" t="inlineStr">
        <is>
          <t>D853-900005092-10148458</t>
        </is>
      </c>
    </row>
    <row r="9">
      <c r="A9" t="inlineStr">
        <is>
          <t>900007188D85310208119</t>
        </is>
      </c>
      <c r="B9" t="inlineStr">
        <is>
          <t>4600050169-30</t>
        </is>
      </c>
      <c r="C9" t="n">
        <v>4600050169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900007188</v>
      </c>
      <c r="H9" t="inlineStr">
        <is>
          <t>TP-FERNANDO WOOLFOLK</t>
        </is>
      </c>
      <c r="I9" t="n">
        <v>5081080</v>
      </c>
      <c r="J9" t="inlineStr">
        <is>
          <t>WOOLFOLK CARBALLO FERNANDO</t>
        </is>
      </c>
      <c r="K9" t="inlineStr">
        <is>
          <t>N90</t>
        </is>
      </c>
      <c r="L9" t="inlineStr">
        <is>
          <t>(AP) NAFIN 90 Dias</t>
        </is>
      </c>
      <c r="M9" t="n">
        <v>10208119</v>
      </c>
      <c r="N9" t="inlineStr">
        <is>
          <t>ARENA DE RIO 50% - POLVO TRITURADO GRANI</t>
        </is>
      </c>
      <c r="O9" t="inlineStr">
        <is>
          <t>D853</t>
        </is>
      </c>
      <c r="P9" t="inlineStr">
        <is>
          <t>MX-CED. MEXICALI</t>
        </is>
      </c>
      <c r="Q9" t="n">
        <v>20210615</v>
      </c>
      <c r="R9" t="n">
        <v>20271231</v>
      </c>
      <c r="S9" t="n">
        <v>20211110</v>
      </c>
      <c r="T9" t="n">
        <v>20261231</v>
      </c>
      <c r="U9" t="n">
        <v>95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6622431867</v>
      </c>
      <c r="AE9" t="n">
        <v>1</v>
      </c>
      <c r="AF9" t="inlineStr">
        <is>
          <t>ENTREGADO</t>
        </is>
      </c>
      <c r="AG9" t="n">
        <v>1.565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V1</t>
        </is>
      </c>
      <c r="AL9" t="n">
        <v>20260127</v>
      </c>
      <c r="AM9" t="inlineStr">
        <is>
          <t>D853-900007188-10208119</t>
        </is>
      </c>
    </row>
    <row r="10">
      <c r="A10" t="inlineStr">
        <is>
          <t>900004527D85310000375</t>
        </is>
      </c>
      <c r="B10" t="inlineStr">
        <is>
          <t>4600033292-10</t>
        </is>
      </c>
      <c r="C10" t="n">
        <v>4600033292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900004527</v>
      </c>
      <c r="H10" t="inlineStr">
        <is>
          <t>TP- GUSA</t>
        </is>
      </c>
      <c r="I10" t="n">
        <v>5002503</v>
      </c>
      <c r="J10" t="inlineStr">
        <is>
          <t>CONSTRUCTORA GUSA SA DE CV</t>
        </is>
      </c>
      <c r="K10" t="inlineStr">
        <is>
          <t>Z03</t>
        </is>
      </c>
      <c r="L10" t="inlineStr">
        <is>
          <t>(AP) 15 Dias</t>
        </is>
      </c>
      <c r="M10" t="n">
        <v>10000375</v>
      </c>
      <c r="N10" t="inlineStr">
        <is>
          <t>Grava Triturada Granito 20 mm - 3/4"</t>
        </is>
      </c>
      <c r="O10" t="inlineStr">
        <is>
          <t>D853</t>
        </is>
      </c>
      <c r="P10" t="inlineStr">
        <is>
          <t>MX-CED. MEXICALI</t>
        </is>
      </c>
      <c r="Q10" t="n">
        <v>20160301</v>
      </c>
      <c r="R10" t="n">
        <v>20281231</v>
      </c>
      <c r="S10" t="n">
        <v>20160901</v>
      </c>
      <c r="T10" t="n">
        <v>20241231</v>
      </c>
      <c r="U10" t="n">
        <v>133.4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6622431540</v>
      </c>
      <c r="AE10" t="n">
        <v>2</v>
      </c>
      <c r="AF10" t="inlineStr">
        <is>
          <t>RECOGIDO</t>
        </is>
      </c>
      <c r="AG10" t="n">
        <v>1.46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V1</t>
        </is>
      </c>
      <c r="AL10" t="n">
        <v>20230920</v>
      </c>
      <c r="AM10" t="inlineStr">
        <is>
          <t>D853-900004527-10000375</t>
        </is>
      </c>
    </row>
    <row r="11">
      <c r="A11" t="inlineStr">
        <is>
          <t>900005092D85310139786</t>
        </is>
      </c>
      <c r="B11" t="inlineStr">
        <is>
          <t>4600036854-20</t>
        </is>
      </c>
      <c r="C11" t="n">
        <v>4600036854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900005092</v>
      </c>
      <c r="H11" t="inlineStr">
        <is>
          <t>SF TP- SEXTIN MEXICALI</t>
        </is>
      </c>
      <c r="I11" t="n">
        <v>5042038</v>
      </c>
      <c r="J11" t="inlineStr">
        <is>
          <t>CONSTRUCTORA SEXTIN  SA DE CV</t>
        </is>
      </c>
      <c r="K11" t="inlineStr">
        <is>
          <t>N120</t>
        </is>
      </c>
      <c r="L11" t="inlineStr">
        <is>
          <t>(AP) NAFIN 120 Dias</t>
        </is>
      </c>
      <c r="M11" t="n">
        <v>10139786</v>
      </c>
      <c r="N11" t="inlineStr">
        <is>
          <t>ARENA CLASIFICADA RÍO MALLA 4</t>
        </is>
      </c>
      <c r="O11" t="inlineStr">
        <is>
          <t>D853</t>
        </is>
      </c>
      <c r="P11" t="inlineStr">
        <is>
          <t>MX-CED. MEXICALI</t>
        </is>
      </c>
      <c r="Q11" t="n">
        <v>20170210</v>
      </c>
      <c r="R11" t="n">
        <v>20241231</v>
      </c>
      <c r="S11" t="n">
        <v>20180501</v>
      </c>
      <c r="T11" t="n">
        <v>20241231</v>
      </c>
      <c r="U11" t="n">
        <v>50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6622431540</v>
      </c>
      <c r="AE11" t="n">
        <v>1</v>
      </c>
      <c r="AF11" t="inlineStr">
        <is>
          <t>ENTREGADO</t>
        </is>
      </c>
      <c r="AG11" t="n">
        <v>1.535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V1</t>
        </is>
      </c>
      <c r="AL11" t="n">
        <v>20230920</v>
      </c>
      <c r="AM11" t="inlineStr">
        <is>
          <t>D853-900005092-10139786</t>
        </is>
      </c>
    </row>
    <row r="12">
      <c r="A12" t="inlineStr">
        <is>
          <t>900006361D85310139786</t>
        </is>
      </c>
      <c r="B12" t="inlineStr">
        <is>
          <t>4600045827-20</t>
        </is>
      </c>
      <c r="C12" t="n">
        <v>4600045827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900006361</v>
      </c>
      <c r="H12" t="inlineStr">
        <is>
          <t>SF TP- MABUSA</t>
        </is>
      </c>
      <c r="I12" t="n">
        <v>5071161</v>
      </c>
      <c r="J12" t="inlineStr">
        <is>
          <t>BUSTAMANTE LOPEZ MARIA ANGELICA</t>
        </is>
      </c>
      <c r="K12" t="inlineStr">
        <is>
          <t>N90</t>
        </is>
      </c>
      <c r="L12" t="inlineStr">
        <is>
          <t>(AP) NAFIN 90 Dias</t>
        </is>
      </c>
      <c r="M12" t="n">
        <v>10139786</v>
      </c>
      <c r="N12" t="inlineStr">
        <is>
          <t>ARENA CLASIFICADA RÍO MALLA 4</t>
        </is>
      </c>
      <c r="O12" t="inlineStr">
        <is>
          <t>D853</t>
        </is>
      </c>
      <c r="P12" t="inlineStr">
        <is>
          <t>MX-CED. MEXICALI</t>
        </is>
      </c>
      <c r="Q12" t="n">
        <v>20191025</v>
      </c>
      <c r="R12" t="n">
        <v>20241231</v>
      </c>
      <c r="S12" t="n">
        <v>20191025</v>
      </c>
      <c r="T12" t="n">
        <v>20241231</v>
      </c>
      <c r="U12" t="n">
        <v>100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6622431540</v>
      </c>
      <c r="AE12" t="n">
        <v>1</v>
      </c>
      <c r="AF12" t="inlineStr">
        <is>
          <t>ENTREGADO</t>
        </is>
      </c>
      <c r="AG12" t="n">
        <v>1.535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V1</t>
        </is>
      </c>
      <c r="AL12" t="n">
        <v>20230920</v>
      </c>
      <c r="AM12" t="inlineStr">
        <is>
          <t>D853-900006361-10139786</t>
        </is>
      </c>
    </row>
    <row r="13">
      <c r="A13" t="inlineStr">
        <is>
          <t>900007188D85310001455</t>
        </is>
      </c>
      <c r="B13" t="inlineStr">
        <is>
          <t>4600050169-20</t>
        </is>
      </c>
      <c r="C13" t="n">
        <v>4600050169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900007188</v>
      </c>
      <c r="H13" t="inlineStr">
        <is>
          <t>TP-FERNANDO WOOLFOLK</t>
        </is>
      </c>
      <c r="I13" t="n">
        <v>5081080</v>
      </c>
      <c r="J13" t="inlineStr">
        <is>
          <t>WOOLFOLK CARBALLO FERNANDO</t>
        </is>
      </c>
      <c r="K13" t="inlineStr">
        <is>
          <t>N90</t>
        </is>
      </c>
      <c r="L13" t="inlineStr">
        <is>
          <t>(AP) NAFIN 90 Dias</t>
        </is>
      </c>
      <c r="M13" t="n">
        <v>10001455</v>
      </c>
      <c r="N13" t="inlineStr">
        <is>
          <t>Arena Clasificada Río Malla 4</t>
        </is>
      </c>
      <c r="O13" t="inlineStr">
        <is>
          <t>D853</t>
        </is>
      </c>
      <c r="P13" t="inlineStr">
        <is>
          <t>MX-CED. MEXICALI</t>
        </is>
      </c>
      <c r="Q13" t="n">
        <v>20210615</v>
      </c>
      <c r="R13" t="n">
        <v>20271231</v>
      </c>
      <c r="S13" t="n">
        <v>20211110</v>
      </c>
      <c r="T13" t="n">
        <v>20261231</v>
      </c>
      <c r="U13" t="n">
        <v>100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56103638</v>
      </c>
      <c r="AD13" t="n">
        <v>6622431540</v>
      </c>
      <c r="AE13" t="n">
        <v>1</v>
      </c>
      <c r="AF13" t="inlineStr">
        <is>
          <t>ENTREGADO</t>
        </is>
      </c>
      <c r="AG13" t="n">
        <v>1.73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V1</t>
        </is>
      </c>
      <c r="AL13" t="n">
        <v>20260127</v>
      </c>
      <c r="AM13" t="inlineStr">
        <is>
          <t>D853-900007188-10001455</t>
        </is>
      </c>
    </row>
    <row r="14">
      <c r="A14" t="inlineStr">
        <is>
          <t>900005092D85310133053</t>
        </is>
      </c>
      <c r="B14" t="inlineStr">
        <is>
          <t>4600036854-10</t>
        </is>
      </c>
      <c r="C14" t="n">
        <v>4600036854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900005092</v>
      </c>
      <c r="H14" t="inlineStr">
        <is>
          <t>SF TP- SEXTIN MEXICALI</t>
        </is>
      </c>
      <c r="I14" t="n">
        <v>5042038</v>
      </c>
      <c r="J14" t="inlineStr">
        <is>
          <t>CONSTRUCTORA SEXTIN  SA DE CV</t>
        </is>
      </c>
      <c r="K14" t="inlineStr">
        <is>
          <t>N120</t>
        </is>
      </c>
      <c r="L14" t="inlineStr">
        <is>
          <t>(AP) NAFIN 120 Dias</t>
        </is>
      </c>
      <c r="M14" t="n">
        <v>10133053</v>
      </c>
      <c r="N14" t="inlineStr">
        <is>
          <t>GRAVA TRITURADA GRANITO 20 MM - 3/4"</t>
        </is>
      </c>
      <c r="O14" t="inlineStr">
        <is>
          <t>D853</t>
        </is>
      </c>
      <c r="P14" t="inlineStr">
        <is>
          <t>MX-CED. MEXICALI</t>
        </is>
      </c>
      <c r="Q14" t="n">
        <v>20170210</v>
      </c>
      <c r="R14" t="n">
        <v>20241231</v>
      </c>
      <c r="S14" t="n">
        <v>20170210</v>
      </c>
      <c r="T14" t="n">
        <v>20241231</v>
      </c>
      <c r="U14" t="n">
        <v>145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6622431540</v>
      </c>
      <c r="AE14" t="n">
        <v>2</v>
      </c>
      <c r="AF14" t="inlineStr">
        <is>
          <t>RECOGIDO</t>
        </is>
      </c>
      <c r="AG14" t="n">
        <v>1.44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V1</t>
        </is>
      </c>
      <c r="AL14" t="n">
        <v>20230920</v>
      </c>
      <c r="AM14" t="inlineStr">
        <is>
          <t>D853-900005092-10133053</t>
        </is>
      </c>
    </row>
    <row r="15">
      <c r="A15" t="inlineStr">
        <is>
          <t>900005983D85310133812</t>
        </is>
      </c>
      <c r="B15" t="inlineStr">
        <is>
          <t>4600044926-10</t>
        </is>
      </c>
      <c r="C15" t="n">
        <v>4600044926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900005983</v>
      </c>
      <c r="H15" t="inlineStr">
        <is>
          <t>SF TP-TRITECNO</t>
        </is>
      </c>
      <c r="I15" t="n">
        <v>5073743</v>
      </c>
      <c r="J15" t="inlineStr">
        <is>
          <t>TRITECNO SA DE CV</t>
        </is>
      </c>
      <c r="K15" t="inlineStr">
        <is>
          <t>N90</t>
        </is>
      </c>
      <c r="L15" t="inlineStr">
        <is>
          <t>(AP) NAFIN 90 Dias</t>
        </is>
      </c>
      <c r="M15" t="n">
        <v>10133812</v>
      </c>
      <c r="N15" t="inlineStr">
        <is>
          <t>GRAVA TRITURADA GRANITO 20 MM - 3/4"</t>
        </is>
      </c>
      <c r="O15" t="inlineStr">
        <is>
          <t>D853</t>
        </is>
      </c>
      <c r="P15" t="inlineStr">
        <is>
          <t>MX-CED. MEXICALI</t>
        </is>
      </c>
      <c r="Q15" t="n">
        <v>20190612</v>
      </c>
      <c r="R15" t="n">
        <v>20281231</v>
      </c>
      <c r="S15" t="n">
        <v>20190612</v>
      </c>
      <c r="T15" t="n">
        <v>20241231</v>
      </c>
      <c r="U15" t="n">
        <v>152.01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6622431540</v>
      </c>
      <c r="AE15" t="n">
        <v>1</v>
      </c>
      <c r="AF15" t="inlineStr">
        <is>
          <t>ENTREGADO</t>
        </is>
      </c>
      <c r="AG15" t="n">
        <v>1.445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V1</t>
        </is>
      </c>
      <c r="AL15" t="n">
        <v>20230920</v>
      </c>
      <c r="AM15" t="inlineStr">
        <is>
          <t>D853-900005983-10133812</t>
        </is>
      </c>
    </row>
    <row r="16">
      <c r="A16" t="inlineStr">
        <is>
          <t>900007188D85310213459</t>
        </is>
      </c>
      <c r="B16" t="inlineStr">
        <is>
          <t>4600050169-50</t>
        </is>
      </c>
      <c r="C16" t="n">
        <v>4600050169</v>
      </c>
      <c r="D16" t="n">
        <v>50</v>
      </c>
      <c r="E16" t="inlineStr">
        <is>
          <t>MXPO</t>
        </is>
      </c>
      <c r="F16" t="inlineStr">
        <is>
          <t>MXL</t>
        </is>
      </c>
      <c r="G16" t="n">
        <v>900007188</v>
      </c>
      <c r="H16" t="inlineStr">
        <is>
          <t>TP-FERNANDO WOOLFOLK</t>
        </is>
      </c>
      <c r="I16" t="n">
        <v>5081080</v>
      </c>
      <c r="J16" t="inlineStr">
        <is>
          <t>WOOLFOLK CARBALLO FERNANDO</t>
        </is>
      </c>
      <c r="K16" t="inlineStr">
        <is>
          <t>N90</t>
        </is>
      </c>
      <c r="L16" t="inlineStr">
        <is>
          <t>(AP) NAFIN 90 Dias</t>
        </is>
      </c>
      <c r="M16" t="n">
        <v>10213459</v>
      </c>
      <c r="N16" t="inlineStr">
        <is>
          <t>POLVO DE TRITURACION GRANITO</t>
        </is>
      </c>
      <c r="O16" t="inlineStr">
        <is>
          <t>D853</t>
        </is>
      </c>
      <c r="P16" t="inlineStr">
        <is>
          <t>MX-CED. MEXICALI</t>
        </is>
      </c>
      <c r="Q16" t="n">
        <v>20210615</v>
      </c>
      <c r="R16" t="n">
        <v>20271231</v>
      </c>
      <c r="S16" t="n">
        <v>20220720</v>
      </c>
      <c r="T16" t="n">
        <v>20271231</v>
      </c>
      <c r="U16" t="n">
        <v>95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6622431540</v>
      </c>
      <c r="AE16" t="n">
        <v>1</v>
      </c>
      <c r="AF16" t="inlineStr">
        <is>
          <t>ENTREGADO</t>
        </is>
      </c>
      <c r="AG16" t="n">
        <v>1.418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V1</t>
        </is>
      </c>
      <c r="AL16" t="n">
        <v>20260127</v>
      </c>
      <c r="AM16" t="inlineStr">
        <is>
          <t>D853-900007188-10213459</t>
        </is>
      </c>
    </row>
    <row r="17">
      <c r="A17" t="inlineStr">
        <is>
          <t>900004527D85310065403</t>
        </is>
      </c>
      <c r="B17" t="inlineStr">
        <is>
          <t>4600033292-30</t>
        </is>
      </c>
      <c r="C17" t="n">
        <v>4600033292</v>
      </c>
      <c r="D17" t="n">
        <v>30</v>
      </c>
      <c r="E17" t="inlineStr">
        <is>
          <t>MXPO</t>
        </is>
      </c>
      <c r="F17" t="inlineStr">
        <is>
          <t>MXL</t>
        </is>
      </c>
      <c r="G17" t="n">
        <v>900004527</v>
      </c>
      <c r="H17" t="inlineStr">
        <is>
          <t>TP- GUSA</t>
        </is>
      </c>
      <c r="I17" t="n">
        <v>5002503</v>
      </c>
      <c r="J17" t="inlineStr">
        <is>
          <t>CONSTRUCTORA GUSA SA DE CV</t>
        </is>
      </c>
      <c r="K17" t="inlineStr">
        <is>
          <t>Z03</t>
        </is>
      </c>
      <c r="L17" t="inlineStr">
        <is>
          <t>(AP) 15 Dias</t>
        </is>
      </c>
      <c r="M17" t="n">
        <v>10065403</v>
      </c>
      <c r="N17" t="inlineStr">
        <is>
          <t>GRAVA TRITURADA GRANITO 40 MM - 1 1/2"</t>
        </is>
      </c>
      <c r="O17" t="inlineStr">
        <is>
          <t>D853</t>
        </is>
      </c>
      <c r="P17" t="inlineStr">
        <is>
          <t>MX-CED. MEXICALI</t>
        </is>
      </c>
      <c r="Q17" t="n">
        <v>20160301</v>
      </c>
      <c r="R17" t="n">
        <v>20281231</v>
      </c>
      <c r="S17" t="n">
        <v>20160901</v>
      </c>
      <c r="T17" t="n">
        <v>20241231</v>
      </c>
      <c r="U17" t="n">
        <v>143.52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6622431540</v>
      </c>
      <c r="AE17" t="n">
        <v>2</v>
      </c>
      <c r="AF17" t="inlineStr">
        <is>
          <t>RECOGIDO</t>
        </is>
      </c>
      <c r="AG17" t="n">
        <v>1.445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V1</t>
        </is>
      </c>
      <c r="AL17" t="n">
        <v>20230920</v>
      </c>
      <c r="AM17" t="inlineStr">
        <is>
          <t>D853-900004527-10065403</t>
        </is>
      </c>
    </row>
    <row r="18">
      <c r="A18" t="inlineStr">
        <is>
          <t>900007610D85310139786</t>
        </is>
      </c>
      <c r="B18" t="inlineStr">
        <is>
          <t>4600053976-10</t>
        </is>
      </c>
      <c r="C18" t="n">
        <v>4600053976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900007610</v>
      </c>
      <c r="H18" t="inlineStr">
        <is>
          <t>SF TP-MABUSA PC</t>
        </is>
      </c>
      <c r="I18" t="n">
        <v>5082784</v>
      </c>
      <c r="J18" t="inlineStr">
        <is>
          <t>MABUSA PC SA DE CV</t>
        </is>
      </c>
      <c r="K18" t="inlineStr">
        <is>
          <t>N90</t>
        </is>
      </c>
      <c r="L18" t="inlineStr">
        <is>
          <t>(AP) NAFIN 90 Dias</t>
        </is>
      </c>
      <c r="M18" t="n">
        <v>10139786</v>
      </c>
      <c r="N18" t="inlineStr">
        <is>
          <t>ARENA CLASIFICADA RÍO MALLA 4</t>
        </is>
      </c>
      <c r="O18" t="inlineStr">
        <is>
          <t>D853</t>
        </is>
      </c>
      <c r="P18" t="inlineStr">
        <is>
          <t>MX-CED. MEXICALI</t>
        </is>
      </c>
      <c r="Q18" t="n">
        <v>20220512</v>
      </c>
      <c r="R18" t="n">
        <v>20271231</v>
      </c>
      <c r="S18" t="n">
        <v>20220512</v>
      </c>
      <c r="T18" t="n">
        <v>20271231</v>
      </c>
      <c r="U18" t="n">
        <v>105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6622431540</v>
      </c>
      <c r="AE18" t="n">
        <v>1</v>
      </c>
      <c r="AF18" t="inlineStr">
        <is>
          <t>ENTREGADO</t>
        </is>
      </c>
      <c r="AG18" t="n">
        <v>1.535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V1</t>
        </is>
      </c>
      <c r="AL18" t="n">
        <v>20240627</v>
      </c>
      <c r="AM18" t="inlineStr">
        <is>
          <t>D853-900007610-10139786</t>
        </is>
      </c>
    </row>
    <row r="19">
      <c r="A19" t="inlineStr">
        <is>
          <t>900007188D85310000166</t>
        </is>
      </c>
      <c r="B19" t="inlineStr">
        <is>
          <t>4600050169-70</t>
        </is>
      </c>
      <c r="C19" t="n">
        <v>4600050169</v>
      </c>
      <c r="D19" t="n">
        <v>70</v>
      </c>
      <c r="E19" t="inlineStr">
        <is>
          <t>MXPO</t>
        </is>
      </c>
      <c r="F19" t="inlineStr">
        <is>
          <t>MXL</t>
        </is>
      </c>
      <c r="G19" t="n">
        <v>900007188</v>
      </c>
      <c r="H19" t="inlineStr">
        <is>
          <t>TP-FERNANDO WOOLFOLK</t>
        </is>
      </c>
      <c r="I19" t="n">
        <v>5081080</v>
      </c>
      <c r="J19" t="inlineStr">
        <is>
          <t>WOOLFOLK CARBALLO FERNANDO</t>
        </is>
      </c>
      <c r="K19" t="inlineStr">
        <is>
          <t>N90</t>
        </is>
      </c>
      <c r="L19" t="inlineStr">
        <is>
          <t>(AP) NAFIN 90 Dias</t>
        </is>
      </c>
      <c r="M19" t="n">
        <v>10000166</v>
      </c>
      <c r="N19" t="inlineStr">
        <is>
          <t>Arena Clasificada Río Malla 4</t>
        </is>
      </c>
      <c r="O19" t="inlineStr">
        <is>
          <t>D853</t>
        </is>
      </c>
      <c r="P19" t="inlineStr">
        <is>
          <t>MX-CED. MEXICALI</t>
        </is>
      </c>
      <c r="Q19" t="n">
        <v>20210615</v>
      </c>
      <c r="R19" t="n">
        <v>20271231</v>
      </c>
      <c r="S19" t="n">
        <v>20240806</v>
      </c>
      <c r="T19" t="n">
        <v>20291231</v>
      </c>
      <c r="U19" t="n">
        <v>100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56103638</v>
      </c>
      <c r="AD19" t="n">
        <v>6622431540</v>
      </c>
      <c r="AE19" t="n">
        <v>1</v>
      </c>
      <c r="AF19" t="inlineStr">
        <is>
          <t>ENTREGADO</t>
        </is>
      </c>
      <c r="AG19" t="n">
        <v>1.57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V1</t>
        </is>
      </c>
      <c r="AL19" t="n">
        <v>20260127</v>
      </c>
      <c r="AM19" t="inlineStr">
        <is>
          <t>D853-900007188-10000166</t>
        </is>
      </c>
    </row>
    <row r="20">
      <c r="A20" t="inlineStr">
        <is>
          <t>900005992D8536659927110147091</t>
        </is>
      </c>
      <c r="B20" t="inlineStr">
        <is>
          <t>4600044220-10</t>
        </is>
      </c>
      <c r="C20" t="n">
        <v>4600044220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900005992</v>
      </c>
      <c r="H20" t="inlineStr">
        <is>
          <t>SF TP- ED MABUSA</t>
        </is>
      </c>
      <c r="I20" t="n">
        <v>5071161</v>
      </c>
      <c r="J20" t="inlineStr">
        <is>
          <t>BUSTAMANTE LOPEZ MARIA ANGELICA</t>
        </is>
      </c>
      <c r="K20" t="inlineStr">
        <is>
          <t>N90</t>
        </is>
      </c>
      <c r="L20" t="inlineStr">
        <is>
          <t>(AP) NAFIN 90 Dias</t>
        </is>
      </c>
      <c r="M20" t="n">
        <v>10147091</v>
      </c>
      <c r="N20" t="inlineStr">
        <is>
          <t>TUCURUGUAY CLASIFICADO TIERRA</t>
        </is>
      </c>
      <c r="O20" t="inlineStr">
        <is>
          <t>D853</t>
        </is>
      </c>
      <c r="P20" t="inlineStr">
        <is>
          <t>MX-CED. MEXICALI</t>
        </is>
      </c>
      <c r="Q20" t="n">
        <v>20190306</v>
      </c>
      <c r="R20" t="n">
        <v>20241231</v>
      </c>
      <c r="S20" t="n">
        <v>20190306</v>
      </c>
      <c r="T20" t="n">
        <v>20241231</v>
      </c>
      <c r="U20" t="n">
        <v>555</v>
      </c>
      <c r="V20" t="inlineStr">
        <is>
          <t>MXN</t>
        </is>
      </c>
      <c r="W20" t="inlineStr">
        <is>
          <t>M3</t>
        </is>
      </c>
      <c r="X20" t="n">
        <v>270</v>
      </c>
      <c r="Y20" t="inlineStr">
        <is>
          <t>MXN</t>
        </is>
      </c>
      <c r="Z20" t="inlineStr">
        <is>
          <t>M3</t>
        </is>
      </c>
      <c r="AA20" t="inlineStr">
        <is>
          <t>66599271</t>
        </is>
      </c>
      <c r="AB20" t="inlineStr">
        <is>
          <t>PE SAN MATIAS</t>
        </is>
      </c>
      <c r="AC20" t="n">
        <v>56103638</v>
      </c>
      <c r="AD20" t="n">
        <v>6622431540</v>
      </c>
      <c r="AE20" t="n">
        <v>4</v>
      </c>
      <c r="AF20" t="inlineStr">
        <is>
          <t>ENTREGA DIRECTA</t>
        </is>
      </c>
      <c r="AG20" t="n">
        <v>1.4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V1</t>
        </is>
      </c>
      <c r="AL20" t="n">
        <v>20230920</v>
      </c>
      <c r="AM20" t="inlineStr">
        <is>
          <t>D853-900005992-66599271-10147091-4</t>
        </is>
      </c>
    </row>
    <row r="21">
      <c r="A21" t="inlineStr">
        <is>
          <t>900005378D8536645931410147091</t>
        </is>
      </c>
      <c r="B21" t="inlineStr">
        <is>
          <t>4600039737-10</t>
        </is>
      </c>
      <c r="C21" t="n">
        <v>4600039737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900005378</v>
      </c>
      <c r="H21" t="inlineStr">
        <is>
          <t>TP-ED GUSA MEXICALI</t>
        </is>
      </c>
      <c r="I21" t="n">
        <v>5002503</v>
      </c>
      <c r="J21" t="inlineStr">
        <is>
          <t>CONSTRUCTORA GUSA SA DE CV</t>
        </is>
      </c>
      <c r="K21" t="inlineStr">
        <is>
          <t>Z03</t>
        </is>
      </c>
      <c r="L21" t="inlineStr">
        <is>
          <t>(AP) 15 Dias</t>
        </is>
      </c>
      <c r="M21" t="n">
        <v>10147091</v>
      </c>
      <c r="N21" t="inlineStr">
        <is>
          <t>TUCURUGUAY CLASIFICADO TIERRA</t>
        </is>
      </c>
      <c r="O21" t="inlineStr">
        <is>
          <t>D853</t>
        </is>
      </c>
      <c r="P21" t="inlineStr">
        <is>
          <t>MX-CED. MEXICALI</t>
        </is>
      </c>
      <c r="Q21" t="n">
        <v>20170913</v>
      </c>
      <c r="R21" t="n">
        <v>20241231</v>
      </c>
      <c r="S21" t="n">
        <v>20170913</v>
      </c>
      <c r="T21" t="n">
        <v>20241231</v>
      </c>
      <c r="U21" t="n">
        <v>97</v>
      </c>
      <c r="V21" t="inlineStr">
        <is>
          <t>MXN</t>
        </is>
      </c>
      <c r="W21" t="inlineStr">
        <is>
          <t>M3</t>
        </is>
      </c>
      <c r="X21" t="n">
        <v>30</v>
      </c>
      <c r="Y21" t="inlineStr">
        <is>
          <t>MXN</t>
        </is>
      </c>
      <c r="Z21" t="inlineStr">
        <is>
          <t>M3</t>
        </is>
      </c>
      <c r="AA21" t="inlineStr">
        <is>
          <t>66459314</t>
        </is>
      </c>
      <c r="AC21" t="n">
        <v>56103638</v>
      </c>
      <c r="AD21" t="n">
        <v>6622431540</v>
      </c>
      <c r="AE21" t="n">
        <v>4</v>
      </c>
      <c r="AF21" t="inlineStr">
        <is>
          <t>ENTREGA DIRECTA</t>
        </is>
      </c>
      <c r="AG21" t="n">
        <v>1.4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D853-900005378-66459314-10147091-4</t>
        </is>
      </c>
    </row>
    <row r="22">
      <c r="A22" t="inlineStr">
        <is>
          <t>900005992D8536687949310139786</t>
        </is>
      </c>
      <c r="B22" t="inlineStr">
        <is>
          <t>4600044220-80</t>
        </is>
      </c>
      <c r="C22" t="n">
        <v>4600044220</v>
      </c>
      <c r="D22" t="n">
        <v>80</v>
      </c>
      <c r="E22" t="inlineStr">
        <is>
          <t>MXPO</t>
        </is>
      </c>
      <c r="F22" t="inlineStr">
        <is>
          <t>MXL</t>
        </is>
      </c>
      <c r="G22" t="n">
        <v>900005992</v>
      </c>
      <c r="H22" t="inlineStr">
        <is>
          <t>SF TP- ED MABUSA</t>
        </is>
      </c>
      <c r="I22" t="n">
        <v>5071161</v>
      </c>
      <c r="J22" t="inlineStr">
        <is>
          <t>BUSTAMANTE LOPEZ MARIA ANGELICA</t>
        </is>
      </c>
      <c r="K22" t="inlineStr">
        <is>
          <t>N90</t>
        </is>
      </c>
      <c r="L22" t="inlineStr">
        <is>
          <t>(AP) NAFIN 90 Dias</t>
        </is>
      </c>
      <c r="M22" t="n">
        <v>10139786</v>
      </c>
      <c r="N22" t="inlineStr">
        <is>
          <t>ARENA CLASIFICADA RÍO MALLA 4</t>
        </is>
      </c>
      <c r="O22" t="inlineStr">
        <is>
          <t>D853</t>
        </is>
      </c>
      <c r="P22" t="inlineStr">
        <is>
          <t>MX-CED. MEXICALI</t>
        </is>
      </c>
      <c r="Q22" t="n">
        <v>20190306</v>
      </c>
      <c r="R22" t="n">
        <v>20241231</v>
      </c>
      <c r="S22" t="n">
        <v>20200702</v>
      </c>
      <c r="T22" t="n">
        <v>20291231</v>
      </c>
      <c r="U22" t="n">
        <v>389</v>
      </c>
      <c r="V22" t="inlineStr">
        <is>
          <t>MXN</t>
        </is>
      </c>
      <c r="W22" t="inlineStr">
        <is>
          <t>M3</t>
        </is>
      </c>
      <c r="X22" t="n">
        <v>299</v>
      </c>
      <c r="Y22" t="inlineStr">
        <is>
          <t>MXN</t>
        </is>
      </c>
      <c r="Z22" t="inlineStr">
        <is>
          <t>M3</t>
        </is>
      </c>
      <c r="AA22" t="inlineStr">
        <is>
          <t>66879493</t>
        </is>
      </c>
      <c r="AB22" t="inlineStr">
        <is>
          <t>ASTEC PLANTA NICOYA</t>
        </is>
      </c>
      <c r="AC22" t="n">
        <v>56103638</v>
      </c>
      <c r="AD22" t="n">
        <v>6622431540</v>
      </c>
      <c r="AE22" t="n">
        <v>4</v>
      </c>
      <c r="AF22" t="inlineStr">
        <is>
          <t>ENTREGA DIRECTA</t>
        </is>
      </c>
      <c r="AG22" t="n">
        <v>1.535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D853-900005992-66879493-10139786-4</t>
        </is>
      </c>
    </row>
    <row r="23">
      <c r="A23" t="inlineStr">
        <is>
          <t>900005242D8536566053910148458</t>
        </is>
      </c>
      <c r="B23" t="inlineStr">
        <is>
          <t>4600038144-110</t>
        </is>
      </c>
      <c r="C23" t="n">
        <v>4600038144</v>
      </c>
      <c r="D23" t="n">
        <v>110</v>
      </c>
      <c r="E23" t="inlineStr">
        <is>
          <t>MXPO</t>
        </is>
      </c>
      <c r="F23" t="inlineStr">
        <is>
          <t>MXL</t>
        </is>
      </c>
      <c r="G23" t="n">
        <v>900005242</v>
      </c>
      <c r="H23" t="inlineStr">
        <is>
          <t>SF TP-ED- SEXTIN MEXICALI</t>
        </is>
      </c>
      <c r="I23" t="n">
        <v>5042038</v>
      </c>
      <c r="J23" t="inlineStr">
        <is>
          <t>CONSTRUCTORA SEXTIN  SA DE CV</t>
        </is>
      </c>
      <c r="K23" t="inlineStr">
        <is>
          <t>N120</t>
        </is>
      </c>
      <c r="L23" t="inlineStr">
        <is>
          <t>(AP) NAFIN 120 Dias</t>
        </is>
      </c>
      <c r="M23" t="n">
        <v>10148458</v>
      </c>
      <c r="N23" t="inlineStr">
        <is>
          <t>GRAVA TRITURADA GRANITO 10 MM - 3/8"</t>
        </is>
      </c>
      <c r="O23" t="inlineStr">
        <is>
          <t>D853</t>
        </is>
      </c>
      <c r="P23" t="inlineStr">
        <is>
          <t>MX-CED. MEXICALI</t>
        </is>
      </c>
      <c r="Q23" t="n">
        <v>20170530</v>
      </c>
      <c r="R23" t="n">
        <v>20241231</v>
      </c>
      <c r="S23" t="n">
        <v>20180301</v>
      </c>
      <c r="T23" t="n">
        <v>20241231</v>
      </c>
      <c r="U23" t="n">
        <v>331</v>
      </c>
      <c r="V23" t="inlineStr">
        <is>
          <t>MXN</t>
        </is>
      </c>
      <c r="W23" t="inlineStr">
        <is>
          <t>M3</t>
        </is>
      </c>
      <c r="X23" t="n">
        <v>134</v>
      </c>
      <c r="Y23" t="inlineStr">
        <is>
          <t>MXN</t>
        </is>
      </c>
      <c r="Z23" t="inlineStr">
        <is>
          <t>M3</t>
        </is>
      </c>
      <c r="AA23" t="inlineStr">
        <is>
          <t>65660539</t>
        </is>
      </c>
      <c r="AB23" t="inlineStr">
        <is>
          <t>OBR-AGR MAKRO-RUMOROSA (CAMT)</t>
        </is>
      </c>
      <c r="AC23" t="n">
        <v>56103637</v>
      </c>
      <c r="AD23" t="n">
        <v>6622431540</v>
      </c>
      <c r="AE23" t="n">
        <v>4</v>
      </c>
      <c r="AF23" t="inlineStr">
        <is>
          <t>ENTREGA DIRECTA</t>
        </is>
      </c>
      <c r="AG23" t="n">
        <v>1.486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V1</t>
        </is>
      </c>
      <c r="AL23" t="n">
        <v>20230920</v>
      </c>
      <c r="AM23" t="inlineStr">
        <is>
          <t>D853-900005242-65660539-10148458-4</t>
        </is>
      </c>
    </row>
    <row r="24">
      <c r="A24" t="inlineStr">
        <is>
          <t>900002329D8536690576610140391</t>
        </is>
      </c>
      <c r="B24" t="inlineStr">
        <is>
          <t>4600028608-40</t>
        </is>
      </c>
      <c r="C24" t="n">
        <v>4600028608</v>
      </c>
      <c r="D24" t="n">
        <v>40</v>
      </c>
      <c r="E24" t="inlineStr">
        <is>
          <t>MXPO</t>
        </is>
      </c>
      <c r="F24" t="inlineStr">
        <is>
          <t>M02</t>
        </is>
      </c>
      <c r="G24" t="n">
        <v>900002329</v>
      </c>
      <c r="H24" t="inlineStr">
        <is>
          <t>SF TP-ED- ASFALTOS TECNICOS</t>
        </is>
      </c>
      <c r="I24" t="n">
        <v>5039266</v>
      </c>
      <c r="J24" t="inlineStr">
        <is>
          <t>ASFALTOS TECNICOS DE BAJA SA DE CV</t>
        </is>
      </c>
      <c r="K24" t="inlineStr">
        <is>
          <t>Z03</t>
        </is>
      </c>
      <c r="L24" t="inlineStr">
        <is>
          <t>(AP) 15 Dias</t>
        </is>
      </c>
      <c r="M24" t="n">
        <v>10140391</v>
      </c>
      <c r="N24" t="inlineStr">
        <is>
          <t>ARENA CLASIFICADA RÍO MALLA 4 LAVADO</t>
        </is>
      </c>
      <c r="O24" t="inlineStr">
        <is>
          <t>D853</t>
        </is>
      </c>
      <c r="P24" t="inlineStr">
        <is>
          <t>MX-CED. MEXICALI</t>
        </is>
      </c>
      <c r="Q24" t="n">
        <v>20141203</v>
      </c>
      <c r="R24" t="n">
        <v>20291231</v>
      </c>
      <c r="S24" t="n">
        <v>20201014</v>
      </c>
      <c r="T24" t="n">
        <v>20291231</v>
      </c>
      <c r="U24" t="n">
        <v>253</v>
      </c>
      <c r="V24" t="inlineStr">
        <is>
          <t>MXN</t>
        </is>
      </c>
      <c r="W24" t="inlineStr">
        <is>
          <t>M3</t>
        </is>
      </c>
      <c r="X24" t="n">
        <v>153</v>
      </c>
      <c r="Y24" t="inlineStr">
        <is>
          <t>MXN</t>
        </is>
      </c>
      <c r="Z24" t="inlineStr">
        <is>
          <t>M3</t>
        </is>
      </c>
      <c r="AA24" t="inlineStr">
        <is>
          <t>66905766</t>
        </is>
      </c>
      <c r="AB24" t="inlineStr">
        <is>
          <t>CONCRETOS HIGUERA</t>
        </is>
      </c>
      <c r="AC24" t="n">
        <v>56103638</v>
      </c>
      <c r="AD24" t="n">
        <v>6622431540</v>
      </c>
      <c r="AE24" t="n">
        <v>4</v>
      </c>
      <c r="AF24" t="inlineStr">
        <is>
          <t>ENTREGA DIRECTA</t>
        </is>
      </c>
      <c r="AG24" t="n">
        <v>1.531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D853-900002329-66905766-10140391-4</t>
        </is>
      </c>
    </row>
    <row r="25">
      <c r="A25" t="inlineStr">
        <is>
          <t>900005242D8536645785910148458</t>
        </is>
      </c>
      <c r="B25" t="inlineStr">
        <is>
          <t>4600038144-70</t>
        </is>
      </c>
      <c r="C25" t="n">
        <v>4600038144</v>
      </c>
      <c r="D25" t="n">
        <v>70</v>
      </c>
      <c r="E25" t="inlineStr">
        <is>
          <t>MXPO</t>
        </is>
      </c>
      <c r="F25" t="inlineStr">
        <is>
          <t>MXL</t>
        </is>
      </c>
      <c r="G25" t="n">
        <v>900005242</v>
      </c>
      <c r="H25" t="inlineStr">
        <is>
          <t>SF TP-ED- SEXTIN MEXICALI</t>
        </is>
      </c>
      <c r="I25" t="n">
        <v>5042038</v>
      </c>
      <c r="J25" t="inlineStr">
        <is>
          <t>CONSTRUCTORA SEXTIN  SA DE CV</t>
        </is>
      </c>
      <c r="K25" t="inlineStr">
        <is>
          <t>N120</t>
        </is>
      </c>
      <c r="L25" t="inlineStr">
        <is>
          <t>(AP) NAFIN 120 Dias</t>
        </is>
      </c>
      <c r="M25" t="n">
        <v>10148458</v>
      </c>
      <c r="N25" t="inlineStr">
        <is>
          <t>GRAVA TRITURADA GRANITO 10 MM - 3/8"</t>
        </is>
      </c>
      <c r="O25" t="inlineStr">
        <is>
          <t>D853</t>
        </is>
      </c>
      <c r="P25" t="inlineStr">
        <is>
          <t>MX-CED. MEXICALI</t>
        </is>
      </c>
      <c r="Q25" t="n">
        <v>20170530</v>
      </c>
      <c r="R25" t="n">
        <v>20241231</v>
      </c>
      <c r="S25" t="n">
        <v>20180312</v>
      </c>
      <c r="T25" t="n">
        <v>20241231</v>
      </c>
      <c r="U25" t="n">
        <v>331</v>
      </c>
      <c r="V25" t="inlineStr">
        <is>
          <t>MXN</t>
        </is>
      </c>
      <c r="W25" t="inlineStr">
        <is>
          <t>M3</t>
        </is>
      </c>
      <c r="X25" t="n">
        <v>134</v>
      </c>
      <c r="Y25" t="inlineStr">
        <is>
          <t>MXN</t>
        </is>
      </c>
      <c r="Z25" t="inlineStr">
        <is>
          <t>M3</t>
        </is>
      </c>
      <c r="AA25" t="inlineStr">
        <is>
          <t>66457859</t>
        </is>
      </c>
      <c r="AB25" t="inlineStr">
        <is>
          <t>TRITUASFALTOS TECATE-RUMOROSA (RFS)</t>
        </is>
      </c>
      <c r="AC25" t="n">
        <v>56103637</v>
      </c>
      <c r="AD25" t="n">
        <v>6622431540</v>
      </c>
      <c r="AE25" t="n">
        <v>4</v>
      </c>
      <c r="AF25" t="inlineStr">
        <is>
          <t>ENTREGA DIRECTA</t>
        </is>
      </c>
      <c r="AG25" t="n">
        <v>1.486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V1</t>
        </is>
      </c>
      <c r="AL25" t="n">
        <v>20230920</v>
      </c>
      <c r="AM25" t="inlineStr">
        <is>
          <t>D853-900005242-66457859-10148458-4</t>
        </is>
      </c>
    </row>
    <row r="26">
      <c r="A26" t="inlineStr">
        <is>
          <t>900005992D8536665114010139786</t>
        </is>
      </c>
      <c r="B26" t="inlineStr">
        <is>
          <t>4600044220-70</t>
        </is>
      </c>
      <c r="C26" t="n">
        <v>4600044220</v>
      </c>
      <c r="D26" t="n">
        <v>70</v>
      </c>
      <c r="E26" t="inlineStr">
        <is>
          <t>MXPO</t>
        </is>
      </c>
      <c r="F26" t="inlineStr">
        <is>
          <t>MXL</t>
        </is>
      </c>
      <c r="G26" t="n">
        <v>900005992</v>
      </c>
      <c r="H26" t="inlineStr">
        <is>
          <t>SF TP- ED MABUSA</t>
        </is>
      </c>
      <c r="I26" t="n">
        <v>5071161</v>
      </c>
      <c r="J26" t="inlineStr">
        <is>
          <t>BUSTAMANTE LOPEZ MARIA ANGELICA</t>
        </is>
      </c>
      <c r="K26" t="inlineStr">
        <is>
          <t>N90</t>
        </is>
      </c>
      <c r="L26" t="inlineStr">
        <is>
          <t>(AP) NAFIN 90 Dias</t>
        </is>
      </c>
      <c r="M26" t="n">
        <v>10139786</v>
      </c>
      <c r="N26" t="inlineStr">
        <is>
          <t>ARENA CLASIFICADA RÍO MALLA 4</t>
        </is>
      </c>
      <c r="O26" t="inlineStr">
        <is>
          <t>D853</t>
        </is>
      </c>
      <c r="P26" t="inlineStr">
        <is>
          <t>MX-CED. MEXICALI</t>
        </is>
      </c>
      <c r="Q26" t="n">
        <v>20190306</v>
      </c>
      <c r="R26" t="n">
        <v>20241231</v>
      </c>
      <c r="S26" t="n">
        <v>20190306</v>
      </c>
      <c r="T26" t="n">
        <v>20241231</v>
      </c>
      <c r="U26" t="n">
        <v>339</v>
      </c>
      <c r="V26" t="inlineStr">
        <is>
          <t>MXN</t>
        </is>
      </c>
      <c r="W26" t="inlineStr">
        <is>
          <t>M3</t>
        </is>
      </c>
      <c r="X26" t="n">
        <v>239</v>
      </c>
      <c r="Y26" t="inlineStr">
        <is>
          <t>MXN</t>
        </is>
      </c>
      <c r="Z26" t="inlineStr">
        <is>
          <t>M3</t>
        </is>
      </c>
      <c r="AA26" t="inlineStr">
        <is>
          <t>66651140</t>
        </is>
      </c>
      <c r="AB26" t="inlineStr">
        <is>
          <t>ASTEC MXLI SILO 1 EJ. PUEBLA</t>
        </is>
      </c>
      <c r="AC26" t="n">
        <v>56103638</v>
      </c>
      <c r="AD26" t="n">
        <v>6622431540</v>
      </c>
      <c r="AE26" t="n">
        <v>4</v>
      </c>
      <c r="AF26" t="inlineStr">
        <is>
          <t>ENTREGA DIRECTA</t>
        </is>
      </c>
      <c r="AG26" t="n">
        <v>1.535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V1</t>
        </is>
      </c>
      <c r="AL26" t="n">
        <v>20230920</v>
      </c>
      <c r="AM26" t="inlineStr">
        <is>
          <t>D853-900005992-66651140-10139786-4</t>
        </is>
      </c>
    </row>
    <row r="27">
      <c r="A27" t="inlineStr">
        <is>
          <t>900005242D8536500097110139786</t>
        </is>
      </c>
      <c r="B27" t="inlineStr">
        <is>
          <t>4600038144-130</t>
        </is>
      </c>
      <c r="C27" t="n">
        <v>4600038144</v>
      </c>
      <c r="D27" t="n">
        <v>130</v>
      </c>
      <c r="E27" t="inlineStr">
        <is>
          <t>MXPO</t>
        </is>
      </c>
      <c r="F27" t="inlineStr">
        <is>
          <t>MXL</t>
        </is>
      </c>
      <c r="G27" t="n">
        <v>900005242</v>
      </c>
      <c r="H27" t="inlineStr">
        <is>
          <t>SF TP-ED- SEXTIN MEXICALI</t>
        </is>
      </c>
      <c r="I27" t="n">
        <v>5042038</v>
      </c>
      <c r="J27" t="inlineStr">
        <is>
          <t>CONSTRUCTORA SEXTIN  SA DE CV</t>
        </is>
      </c>
      <c r="K27" t="inlineStr">
        <is>
          <t>N120</t>
        </is>
      </c>
      <c r="L27" t="inlineStr">
        <is>
          <t>(AP) NAFIN 120 Dias</t>
        </is>
      </c>
      <c r="M27" t="n">
        <v>10139786</v>
      </c>
      <c r="N27" t="inlineStr">
        <is>
          <t>ARENA CLASIFICADA RÍO MALLA 4</t>
        </is>
      </c>
      <c r="O27" t="inlineStr">
        <is>
          <t>D853</t>
        </is>
      </c>
      <c r="P27" t="inlineStr">
        <is>
          <t>MX-CED. MEXICALI</t>
        </is>
      </c>
      <c r="Q27" t="n">
        <v>20170530</v>
      </c>
      <c r="R27" t="n">
        <v>20241231</v>
      </c>
      <c r="S27" t="n">
        <v>20180501</v>
      </c>
      <c r="T27" t="n">
        <v>20241231</v>
      </c>
      <c r="U27" t="n">
        <v>150</v>
      </c>
      <c r="V27" t="inlineStr">
        <is>
          <t>MXN</t>
        </is>
      </c>
      <c r="W27" t="inlineStr">
        <is>
          <t>M3</t>
        </is>
      </c>
      <c r="X27" t="n">
        <v>97.2</v>
      </c>
      <c r="Y27" t="inlineStr">
        <is>
          <t>MXN</t>
        </is>
      </c>
      <c r="Z27" t="inlineStr">
        <is>
          <t>M3</t>
        </is>
      </c>
      <c r="AA27" t="inlineStr">
        <is>
          <t>65000971</t>
        </is>
      </c>
      <c r="AB27" t="inlineStr">
        <is>
          <t>(P) BLOQUERA MODERNA, S.A. DE C.V..</t>
        </is>
      </c>
      <c r="AC27" t="n">
        <v>56103638</v>
      </c>
      <c r="AD27" t="n">
        <v>6622431540</v>
      </c>
      <c r="AE27" t="n">
        <v>4</v>
      </c>
      <c r="AF27" t="inlineStr">
        <is>
          <t>ENTREGA DIRECTA</t>
        </is>
      </c>
      <c r="AG27" t="n">
        <v>1.535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V1</t>
        </is>
      </c>
      <c r="AL27" t="n">
        <v>20230920</v>
      </c>
      <c r="AM27" t="inlineStr">
        <is>
          <t>D853-900005242-65000971-10139786-4</t>
        </is>
      </c>
    </row>
    <row r="28">
      <c r="A28" t="inlineStr">
        <is>
          <t>900005242D8536566053910133053</t>
        </is>
      </c>
      <c r="B28" t="inlineStr">
        <is>
          <t>4600038144-90</t>
        </is>
      </c>
      <c r="C28" t="n">
        <v>4600038144</v>
      </c>
      <c r="D28" t="n">
        <v>90</v>
      </c>
      <c r="E28" t="inlineStr">
        <is>
          <t>MXPO</t>
        </is>
      </c>
      <c r="F28" t="inlineStr">
        <is>
          <t>MXL</t>
        </is>
      </c>
      <c r="G28" t="n">
        <v>900005242</v>
      </c>
      <c r="H28" t="inlineStr">
        <is>
          <t>SF TP-ED- SEXTIN MEXICALI</t>
        </is>
      </c>
      <c r="I28" t="n">
        <v>5042038</v>
      </c>
      <c r="J28" t="inlineStr">
        <is>
          <t>CONSTRUCTORA SEXTIN  SA DE CV</t>
        </is>
      </c>
      <c r="K28" t="inlineStr">
        <is>
          <t>N120</t>
        </is>
      </c>
      <c r="L28" t="inlineStr">
        <is>
          <t>(AP) NAFIN 120 Dias</t>
        </is>
      </c>
      <c r="M28" t="n">
        <v>10133053</v>
      </c>
      <c r="N28" t="inlineStr">
        <is>
          <t>GRAVA TRITURADA GRANITO 20 MM - 3/4"</t>
        </is>
      </c>
      <c r="O28" t="inlineStr">
        <is>
          <t>D853</t>
        </is>
      </c>
      <c r="P28" t="inlineStr">
        <is>
          <t>MX-CED. MEXICALI</t>
        </is>
      </c>
      <c r="Q28" t="n">
        <v>20170530</v>
      </c>
      <c r="R28" t="n">
        <v>20241231</v>
      </c>
      <c r="S28" t="n">
        <v>20180301</v>
      </c>
      <c r="T28" t="n">
        <v>20241231</v>
      </c>
      <c r="U28" t="n">
        <v>315</v>
      </c>
      <c r="V28" t="inlineStr">
        <is>
          <t>MXN</t>
        </is>
      </c>
      <c r="W28" t="inlineStr">
        <is>
          <t>M3</t>
        </is>
      </c>
      <c r="X28" t="n">
        <v>134.7</v>
      </c>
      <c r="Y28" t="inlineStr">
        <is>
          <t>MXN</t>
        </is>
      </c>
      <c r="Z28" t="inlineStr">
        <is>
          <t>M3</t>
        </is>
      </c>
      <c r="AA28" t="inlineStr">
        <is>
          <t>65660539</t>
        </is>
      </c>
      <c r="AB28" t="inlineStr">
        <is>
          <t>OBR-AGR MAKRO-RUMOROSA (CAMT)</t>
        </is>
      </c>
      <c r="AC28" t="n">
        <v>56103637</v>
      </c>
      <c r="AD28" t="n">
        <v>6622431540</v>
      </c>
      <c r="AE28" t="n">
        <v>4</v>
      </c>
      <c r="AF28" t="inlineStr">
        <is>
          <t>ENTREGA DIRECTA</t>
        </is>
      </c>
      <c r="AG28" t="n">
        <v>1.44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V1</t>
        </is>
      </c>
      <c r="AL28" t="n">
        <v>20230920</v>
      </c>
      <c r="AM28" t="inlineStr">
        <is>
          <t>D853-900005242-65660539-10133053-4</t>
        </is>
      </c>
    </row>
    <row r="29">
      <c r="A29" t="inlineStr">
        <is>
          <t>900005242D8536566053910065403</t>
        </is>
      </c>
      <c r="B29" t="inlineStr">
        <is>
          <t>4600038144-100</t>
        </is>
      </c>
      <c r="C29" t="n">
        <v>4600038144</v>
      </c>
      <c r="D29" t="n">
        <v>100</v>
      </c>
      <c r="E29" t="inlineStr">
        <is>
          <t>MXPO</t>
        </is>
      </c>
      <c r="F29" t="inlineStr">
        <is>
          <t>MXL</t>
        </is>
      </c>
      <c r="G29" t="n">
        <v>900005242</v>
      </c>
      <c r="H29" t="inlineStr">
        <is>
          <t>SF TP-ED- SEXTIN MEXICALI</t>
        </is>
      </c>
      <c r="I29" t="n">
        <v>5042038</v>
      </c>
      <c r="J29" t="inlineStr">
        <is>
          <t>CONSTRUCTORA SEXTIN  SA DE CV</t>
        </is>
      </c>
      <c r="K29" t="inlineStr">
        <is>
          <t>N120</t>
        </is>
      </c>
      <c r="L29" t="inlineStr">
        <is>
          <t>(AP) NAFIN 120 Dias</t>
        </is>
      </c>
      <c r="M29" t="n">
        <v>10065403</v>
      </c>
      <c r="N29" t="inlineStr">
        <is>
          <t>GRAVA TRITURADA GRANITO 40 MM - 1 1/2"</t>
        </is>
      </c>
      <c r="O29" t="inlineStr">
        <is>
          <t>D853</t>
        </is>
      </c>
      <c r="P29" t="inlineStr">
        <is>
          <t>MX-CED. MEXICALI</t>
        </is>
      </c>
      <c r="Q29" t="n">
        <v>20170530</v>
      </c>
      <c r="R29" t="n">
        <v>20241231</v>
      </c>
      <c r="S29" t="n">
        <v>20180301</v>
      </c>
      <c r="T29" t="n">
        <v>20241231</v>
      </c>
      <c r="U29" t="n">
        <v>315</v>
      </c>
      <c r="V29" t="inlineStr">
        <is>
          <t>MXN</t>
        </is>
      </c>
      <c r="W29" t="inlineStr">
        <is>
          <t>M3</t>
        </is>
      </c>
      <c r="X29" t="n">
        <v>135.17</v>
      </c>
      <c r="Y29" t="inlineStr">
        <is>
          <t>MXN</t>
        </is>
      </c>
      <c r="Z29" t="inlineStr">
        <is>
          <t>M3</t>
        </is>
      </c>
      <c r="AA29" t="inlineStr">
        <is>
          <t>65660539</t>
        </is>
      </c>
      <c r="AB29" t="inlineStr">
        <is>
          <t>OBR-AGR MAKRO-RUMOROSA (CAMT)</t>
        </is>
      </c>
      <c r="AC29" t="n">
        <v>56103637</v>
      </c>
      <c r="AD29" t="n">
        <v>6622431540</v>
      </c>
      <c r="AE29" t="n">
        <v>4</v>
      </c>
      <c r="AF29" t="inlineStr">
        <is>
          <t>ENTREGA DIRECTA</t>
        </is>
      </c>
      <c r="AG29" t="n">
        <v>1.445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V1</t>
        </is>
      </c>
      <c r="AL29" t="n">
        <v>20230920</v>
      </c>
      <c r="AM29" t="inlineStr">
        <is>
          <t>D853-900005242-65660539-10065403-4</t>
        </is>
      </c>
    </row>
    <row r="30">
      <c r="A30" t="inlineStr">
        <is>
          <t>900002329D8536680652910140391</t>
        </is>
      </c>
      <c r="B30" t="inlineStr">
        <is>
          <t>4600028608-50</t>
        </is>
      </c>
      <c r="C30" t="n">
        <v>4600028608</v>
      </c>
      <c r="D30" t="n">
        <v>50</v>
      </c>
      <c r="E30" t="inlineStr">
        <is>
          <t>MXPO</t>
        </is>
      </c>
      <c r="F30" t="inlineStr">
        <is>
          <t>M02</t>
        </is>
      </c>
      <c r="G30" t="n">
        <v>900002329</v>
      </c>
      <c r="H30" t="inlineStr">
        <is>
          <t>SF TP-ED- ASFALTOS TECNICOS</t>
        </is>
      </c>
      <c r="I30" t="n">
        <v>5039266</v>
      </c>
      <c r="J30" t="inlineStr">
        <is>
          <t>ASFALTOS TECNICOS DE BAJA SA DE CV</t>
        </is>
      </c>
      <c r="K30" t="inlineStr">
        <is>
          <t>Z03</t>
        </is>
      </c>
      <c r="L30" t="inlineStr">
        <is>
          <t>(AP) 15 Dias</t>
        </is>
      </c>
      <c r="M30" t="n">
        <v>10140391</v>
      </c>
      <c r="N30" t="inlineStr">
        <is>
          <t>ARENA CLASIFICADA RÍO MALLA 4 LAVADO</t>
        </is>
      </c>
      <c r="O30" t="inlineStr">
        <is>
          <t>D853</t>
        </is>
      </c>
      <c r="P30" t="inlineStr">
        <is>
          <t>MX-CED. MEXICALI</t>
        </is>
      </c>
      <c r="Q30" t="n">
        <v>20141203</v>
      </c>
      <c r="R30" t="n">
        <v>20291231</v>
      </c>
      <c r="S30" t="n">
        <v>20210526</v>
      </c>
      <c r="T30" t="n">
        <v>20261231</v>
      </c>
      <c r="U30" t="n">
        <v>237.5</v>
      </c>
      <c r="V30" t="inlineStr">
        <is>
          <t>MXN</t>
        </is>
      </c>
      <c r="W30" t="inlineStr">
        <is>
          <t>M3</t>
        </is>
      </c>
      <c r="X30" t="n">
        <v>127.5</v>
      </c>
      <c r="Y30" t="inlineStr">
        <is>
          <t>MXN</t>
        </is>
      </c>
      <c r="Z30" t="inlineStr">
        <is>
          <t>M3</t>
        </is>
      </c>
      <c r="AA30" t="inlineStr">
        <is>
          <t>66806529</t>
        </is>
      </c>
      <c r="AB30" t="inlineStr">
        <is>
          <t>PLANTA GLUQIM (2)</t>
        </is>
      </c>
      <c r="AC30" t="n">
        <v>56103638</v>
      </c>
      <c r="AD30" t="n">
        <v>6622431540</v>
      </c>
      <c r="AE30" t="n">
        <v>4</v>
      </c>
      <c r="AF30" t="inlineStr">
        <is>
          <t>ENTREGA DIRECTA</t>
        </is>
      </c>
      <c r="AG30" t="n">
        <v>1.531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D853-900002329-66806529-10140391-4</t>
        </is>
      </c>
    </row>
    <row r="31">
      <c r="A31" t="inlineStr">
        <is>
          <t>900005242D8536645785910133053</t>
        </is>
      </c>
      <c r="B31" t="inlineStr">
        <is>
          <t>4600038144-50</t>
        </is>
      </c>
      <c r="C31" t="n">
        <v>4600038144</v>
      </c>
      <c r="D31" t="n">
        <v>50</v>
      </c>
      <c r="E31" t="inlineStr">
        <is>
          <t>MXPO</t>
        </is>
      </c>
      <c r="F31" t="inlineStr">
        <is>
          <t>MXL</t>
        </is>
      </c>
      <c r="G31" t="n">
        <v>900005242</v>
      </c>
      <c r="H31" t="inlineStr">
        <is>
          <t>SF TP-ED- SEXTIN MEXICALI</t>
        </is>
      </c>
      <c r="I31" t="n">
        <v>5042038</v>
      </c>
      <c r="J31" t="inlineStr">
        <is>
          <t>CONSTRUCTORA SEXTIN  SA DE CV</t>
        </is>
      </c>
      <c r="K31" t="inlineStr">
        <is>
          <t>N120</t>
        </is>
      </c>
      <c r="L31" t="inlineStr">
        <is>
          <t>(AP) NAFIN 120 Dias</t>
        </is>
      </c>
      <c r="M31" t="n">
        <v>10133053</v>
      </c>
      <c r="N31" t="inlineStr">
        <is>
          <t>GRAVA TRITURADA GRANITO 20 MM - 3/4"</t>
        </is>
      </c>
      <c r="O31" t="inlineStr">
        <is>
          <t>D853</t>
        </is>
      </c>
      <c r="P31" t="inlineStr">
        <is>
          <t>MX-CED. MEXICALI</t>
        </is>
      </c>
      <c r="Q31" t="n">
        <v>20170530</v>
      </c>
      <c r="R31" t="n">
        <v>20241231</v>
      </c>
      <c r="S31" t="n">
        <v>20180301</v>
      </c>
      <c r="T31" t="n">
        <v>20241231</v>
      </c>
      <c r="U31" t="n">
        <v>315</v>
      </c>
      <c r="V31" t="inlineStr">
        <is>
          <t>MXN</t>
        </is>
      </c>
      <c r="W31" t="inlineStr">
        <is>
          <t>M3</t>
        </is>
      </c>
      <c r="X31" t="n">
        <v>134.7</v>
      </c>
      <c r="Y31" t="inlineStr">
        <is>
          <t>MXN</t>
        </is>
      </c>
      <c r="Z31" t="inlineStr">
        <is>
          <t>M3</t>
        </is>
      </c>
      <c r="AA31" t="inlineStr">
        <is>
          <t>66457859</t>
        </is>
      </c>
      <c r="AB31" t="inlineStr">
        <is>
          <t>TRITUASFALTOS TECATE-RUMOROSA (RFS)</t>
        </is>
      </c>
      <c r="AC31" t="n">
        <v>56103637</v>
      </c>
      <c r="AD31" t="n">
        <v>6622431540</v>
      </c>
      <c r="AE31" t="n">
        <v>4</v>
      </c>
      <c r="AF31" t="inlineStr">
        <is>
          <t>ENTREGA DIRECTA</t>
        </is>
      </c>
      <c r="AG31" t="n">
        <v>1.44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V1</t>
        </is>
      </c>
      <c r="AL31" t="n">
        <v>20230920</v>
      </c>
      <c r="AM31" t="inlineStr">
        <is>
          <t>D853-900005242-66457859-10133053-4</t>
        </is>
      </c>
    </row>
    <row r="32">
      <c r="A32" t="inlineStr">
        <is>
          <t>900005242D8536645785910065403</t>
        </is>
      </c>
      <c r="B32" t="inlineStr">
        <is>
          <t>4600038144-60</t>
        </is>
      </c>
      <c r="C32" t="n">
        <v>4600038144</v>
      </c>
      <c r="D32" t="n">
        <v>60</v>
      </c>
      <c r="E32" t="inlineStr">
        <is>
          <t>MXPO</t>
        </is>
      </c>
      <c r="F32" t="inlineStr">
        <is>
          <t>MXL</t>
        </is>
      </c>
      <c r="G32" t="n">
        <v>900005242</v>
      </c>
      <c r="H32" t="inlineStr">
        <is>
          <t>SF TP-ED- SEXTIN MEXICALI</t>
        </is>
      </c>
      <c r="I32" t="n">
        <v>5042038</v>
      </c>
      <c r="J32" t="inlineStr">
        <is>
          <t>CONSTRUCTORA SEXTIN  SA DE CV</t>
        </is>
      </c>
      <c r="K32" t="inlineStr">
        <is>
          <t>N120</t>
        </is>
      </c>
      <c r="L32" t="inlineStr">
        <is>
          <t>(AP) NAFIN 120 Dias</t>
        </is>
      </c>
      <c r="M32" t="n">
        <v>10065403</v>
      </c>
      <c r="N32" t="inlineStr">
        <is>
          <t>GRAVA TRITURADA GRANITO 40 MM - 1 1/2"</t>
        </is>
      </c>
      <c r="O32" t="inlineStr">
        <is>
          <t>D853</t>
        </is>
      </c>
      <c r="P32" t="inlineStr">
        <is>
          <t>MX-CED. MEXICALI</t>
        </is>
      </c>
      <c r="Q32" t="n">
        <v>20170530</v>
      </c>
      <c r="R32" t="n">
        <v>20241231</v>
      </c>
      <c r="S32" t="n">
        <v>20180301</v>
      </c>
      <c r="T32" t="n">
        <v>20241231</v>
      </c>
      <c r="U32" t="n">
        <v>315</v>
      </c>
      <c r="V32" t="inlineStr">
        <is>
          <t>MXN</t>
        </is>
      </c>
      <c r="W32" t="inlineStr">
        <is>
          <t>M3</t>
        </is>
      </c>
      <c r="X32" t="n">
        <v>135.17</v>
      </c>
      <c r="Y32" t="inlineStr">
        <is>
          <t>MXN</t>
        </is>
      </c>
      <c r="Z32" t="inlineStr">
        <is>
          <t>M3</t>
        </is>
      </c>
      <c r="AA32" t="inlineStr">
        <is>
          <t>66457859</t>
        </is>
      </c>
      <c r="AB32" t="inlineStr">
        <is>
          <t>TRITUASFALTOS TECATE-RUMOROSA (RFS)</t>
        </is>
      </c>
      <c r="AC32" t="n">
        <v>56103637</v>
      </c>
      <c r="AD32" t="n">
        <v>6622431540</v>
      </c>
      <c r="AE32" t="n">
        <v>4</v>
      </c>
      <c r="AF32" t="inlineStr">
        <is>
          <t>ENTREGA DIRECTA</t>
        </is>
      </c>
      <c r="AG32" t="n">
        <v>1.445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V1</t>
        </is>
      </c>
      <c r="AL32" t="n">
        <v>20230920</v>
      </c>
      <c r="AM32" t="inlineStr">
        <is>
          <t>D853-900005242-66457859-10065403-4</t>
        </is>
      </c>
    </row>
    <row r="33">
      <c r="A33" t="inlineStr">
        <is>
          <t>900005242D8536566053910144288</t>
        </is>
      </c>
      <c r="B33" t="inlineStr">
        <is>
          <t>4600038144-80</t>
        </is>
      </c>
      <c r="C33" t="n">
        <v>4600038144</v>
      </c>
      <c r="D33" t="n">
        <v>80</v>
      </c>
      <c r="E33" t="inlineStr">
        <is>
          <t>MXPO</t>
        </is>
      </c>
      <c r="F33" t="inlineStr">
        <is>
          <t>MXL</t>
        </is>
      </c>
      <c r="G33" t="n">
        <v>900005242</v>
      </c>
      <c r="H33" t="inlineStr">
        <is>
          <t>SF TP-ED- SEXTIN MEXICALI</t>
        </is>
      </c>
      <c r="I33" t="n">
        <v>5042038</v>
      </c>
      <c r="J33" t="inlineStr">
        <is>
          <t>CONSTRUCTORA SEXTIN  SA DE CV</t>
        </is>
      </c>
      <c r="K33" t="inlineStr">
        <is>
          <t>N120</t>
        </is>
      </c>
      <c r="L33" t="inlineStr">
        <is>
          <t>(AP) NAFIN 120 Dias</t>
        </is>
      </c>
      <c r="M33" t="n">
        <v>10144288</v>
      </c>
      <c r="N33" t="inlineStr">
        <is>
          <t>ARENA CLASIFICADA RÍO MALLA 4 - LAVADO</t>
        </is>
      </c>
      <c r="O33" t="inlineStr">
        <is>
          <t>D853</t>
        </is>
      </c>
      <c r="P33" t="inlineStr">
        <is>
          <t>MX-CED. MEXICALI</t>
        </is>
      </c>
      <c r="Q33" t="n">
        <v>20170530</v>
      </c>
      <c r="R33" t="n">
        <v>20241231</v>
      </c>
      <c r="S33" t="n">
        <v>20180301</v>
      </c>
      <c r="T33" t="n">
        <v>20241231</v>
      </c>
      <c r="U33" t="n">
        <v>258</v>
      </c>
      <c r="V33" t="inlineStr">
        <is>
          <t>MXN</t>
        </is>
      </c>
      <c r="W33" t="inlineStr">
        <is>
          <t>M3</t>
        </is>
      </c>
      <c r="X33" t="n">
        <v>132.36</v>
      </c>
      <c r="Y33" t="inlineStr">
        <is>
          <t>MXN</t>
        </is>
      </c>
      <c r="Z33" t="inlineStr">
        <is>
          <t>M3</t>
        </is>
      </c>
      <c r="AA33" t="inlineStr">
        <is>
          <t>65660539</t>
        </is>
      </c>
      <c r="AB33" t="inlineStr">
        <is>
          <t>OBR-AGR MAKRO-RUMOROSA (CAMT)</t>
        </is>
      </c>
      <c r="AC33" t="n">
        <v>56103638</v>
      </c>
      <c r="AD33" t="n">
        <v>6622431540</v>
      </c>
      <c r="AE33" t="n">
        <v>4</v>
      </c>
      <c r="AF33" t="inlineStr">
        <is>
          <t>ENTREGA DIRECTA</t>
        </is>
      </c>
      <c r="AG33" t="n">
        <v>1.415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V1</t>
        </is>
      </c>
      <c r="AL33" t="n">
        <v>20230920</v>
      </c>
      <c r="AM33" t="inlineStr">
        <is>
          <t>D853-900005242-65660539-10144288-4</t>
        </is>
      </c>
    </row>
    <row r="34">
      <c r="A34" t="inlineStr">
        <is>
          <t>900005242D8536645785910144288</t>
        </is>
      </c>
      <c r="B34" t="inlineStr">
        <is>
          <t>4600038144-120</t>
        </is>
      </c>
      <c r="C34" t="n">
        <v>4600038144</v>
      </c>
      <c r="D34" t="n">
        <v>120</v>
      </c>
      <c r="E34" t="inlineStr">
        <is>
          <t>MXPO</t>
        </is>
      </c>
      <c r="F34" t="inlineStr">
        <is>
          <t>MXL</t>
        </is>
      </c>
      <c r="G34" t="n">
        <v>900005242</v>
      </c>
      <c r="H34" t="inlineStr">
        <is>
          <t>SF TP-ED- SEXTIN MEXICALI</t>
        </is>
      </c>
      <c r="I34" t="n">
        <v>5042038</v>
      </c>
      <c r="J34" t="inlineStr">
        <is>
          <t>CONSTRUCTORA SEXTIN  SA DE CV</t>
        </is>
      </c>
      <c r="K34" t="inlineStr">
        <is>
          <t>N120</t>
        </is>
      </c>
      <c r="L34" t="inlineStr">
        <is>
          <t>(AP) NAFIN 120 Dias</t>
        </is>
      </c>
      <c r="M34" t="n">
        <v>10144288</v>
      </c>
      <c r="N34" t="inlineStr">
        <is>
          <t>ARENA CLASIFICADA RÍO MALLA 4 - LAVADO</t>
        </is>
      </c>
      <c r="O34" t="inlineStr">
        <is>
          <t>D853</t>
        </is>
      </c>
      <c r="P34" t="inlineStr">
        <is>
          <t>MX-CED. MEXICALI</t>
        </is>
      </c>
      <c r="Q34" t="n">
        <v>20170530</v>
      </c>
      <c r="R34" t="n">
        <v>20241231</v>
      </c>
      <c r="S34" t="n">
        <v>20180301</v>
      </c>
      <c r="T34" t="n">
        <v>20241231</v>
      </c>
      <c r="U34" t="n">
        <v>258</v>
      </c>
      <c r="V34" t="inlineStr">
        <is>
          <t>MXN</t>
        </is>
      </c>
      <c r="W34" t="inlineStr">
        <is>
          <t>M3</t>
        </is>
      </c>
      <c r="X34" t="n">
        <v>132.36</v>
      </c>
      <c r="Y34" t="inlineStr">
        <is>
          <t>MXN</t>
        </is>
      </c>
      <c r="Z34" t="inlineStr">
        <is>
          <t>M3</t>
        </is>
      </c>
      <c r="AA34" t="inlineStr">
        <is>
          <t>66457859</t>
        </is>
      </c>
      <c r="AB34" t="inlineStr">
        <is>
          <t>TRITUASFALTOS TECATE-RUMOROSA (RFS)</t>
        </is>
      </c>
      <c r="AC34" t="n">
        <v>56103638</v>
      </c>
      <c r="AD34" t="n">
        <v>6622431540</v>
      </c>
      <c r="AE34" t="n">
        <v>4</v>
      </c>
      <c r="AF34" t="inlineStr">
        <is>
          <t>ENTREGA DIRECTA</t>
        </is>
      </c>
      <c r="AG34" t="n">
        <v>1.415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V1</t>
        </is>
      </c>
      <c r="AL34" t="n">
        <v>20230920</v>
      </c>
      <c r="AM34" t="inlineStr">
        <is>
          <t>D853-900005242-66457859-10144288-4</t>
        </is>
      </c>
    </row>
    <row r="35">
      <c r="A35" t="inlineStr">
        <is>
          <t>900005242D8536655304010144288</t>
        </is>
      </c>
      <c r="B35" t="inlineStr">
        <is>
          <t>4600038144-140</t>
        </is>
      </c>
      <c r="C35" t="n">
        <v>4600038144</v>
      </c>
      <c r="D35" t="n">
        <v>140</v>
      </c>
      <c r="E35" t="inlineStr">
        <is>
          <t>MXPO</t>
        </is>
      </c>
      <c r="F35" t="inlineStr">
        <is>
          <t>MXL</t>
        </is>
      </c>
      <c r="G35" t="n">
        <v>900005242</v>
      </c>
      <c r="H35" t="inlineStr">
        <is>
          <t>SF TP-ED- SEXTIN MEXICALI</t>
        </is>
      </c>
      <c r="I35" t="n">
        <v>5042038</v>
      </c>
      <c r="J35" t="inlineStr">
        <is>
          <t>CONSTRUCTORA SEXTIN  SA DE CV</t>
        </is>
      </c>
      <c r="K35" t="inlineStr">
        <is>
          <t>N120</t>
        </is>
      </c>
      <c r="L35" t="inlineStr">
        <is>
          <t>(AP) NAFIN 120 Dias</t>
        </is>
      </c>
      <c r="M35" t="n">
        <v>10144288</v>
      </c>
      <c r="N35" t="inlineStr">
        <is>
          <t>ARENA CLASIFICADA RÍO MALLA 4 - LAVADO</t>
        </is>
      </c>
      <c r="O35" t="inlineStr">
        <is>
          <t>D853</t>
        </is>
      </c>
      <c r="P35" t="inlineStr">
        <is>
          <t>MX-CED. MEXICALI</t>
        </is>
      </c>
      <c r="Q35" t="n">
        <v>20170530</v>
      </c>
      <c r="R35" t="n">
        <v>20241231</v>
      </c>
      <c r="S35" t="n">
        <v>20180724</v>
      </c>
      <c r="T35" t="n">
        <v>20241231</v>
      </c>
      <c r="U35" t="n">
        <v>271</v>
      </c>
      <c r="V35" t="inlineStr">
        <is>
          <t>MXN</t>
        </is>
      </c>
      <c r="W35" t="inlineStr">
        <is>
          <t>M3</t>
        </is>
      </c>
      <c r="X35" t="n">
        <v>145.36</v>
      </c>
      <c r="Y35" t="inlineStr">
        <is>
          <t>MXN</t>
        </is>
      </c>
      <c r="Z35" t="inlineStr">
        <is>
          <t>M3</t>
        </is>
      </c>
      <c r="AA35" t="inlineStr">
        <is>
          <t>66553040</t>
        </is>
      </c>
      <c r="AB35" t="inlineStr">
        <is>
          <t>ROMA RUMOROSA</t>
        </is>
      </c>
      <c r="AC35" t="n">
        <v>56103638</v>
      </c>
      <c r="AD35" t="n">
        <v>6622431540</v>
      </c>
      <c r="AE35" t="n">
        <v>4</v>
      </c>
      <c r="AF35" t="inlineStr">
        <is>
          <t>ENTREGA DIRECTA</t>
        </is>
      </c>
      <c r="AG35" t="n">
        <v>1.415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V1</t>
        </is>
      </c>
      <c r="AL35" t="n">
        <v>20230920</v>
      </c>
      <c r="AM35" t="inlineStr">
        <is>
          <t>D853-900005242-66553040-10144288-4</t>
        </is>
      </c>
    </row>
    <row r="36">
      <c r="A36" t="inlineStr">
        <is>
          <t>900005242D8536680465810144288</t>
        </is>
      </c>
      <c r="B36" t="inlineStr">
        <is>
          <t>4600038144-150</t>
        </is>
      </c>
      <c r="C36" t="n">
        <v>4600038144</v>
      </c>
      <c r="D36" t="n">
        <v>150</v>
      </c>
      <c r="E36" t="inlineStr">
        <is>
          <t>MXPO</t>
        </is>
      </c>
      <c r="F36" t="inlineStr">
        <is>
          <t>MXL</t>
        </is>
      </c>
      <c r="G36" t="n">
        <v>900005242</v>
      </c>
      <c r="H36" t="inlineStr">
        <is>
          <t>SF TP-ED- SEXTIN MEXICALI</t>
        </is>
      </c>
      <c r="I36" t="n">
        <v>5042038</v>
      </c>
      <c r="J36" t="inlineStr">
        <is>
          <t>CONSTRUCTORA SEXTIN  SA DE CV</t>
        </is>
      </c>
      <c r="K36" t="inlineStr">
        <is>
          <t>N120</t>
        </is>
      </c>
      <c r="L36" t="inlineStr">
        <is>
          <t>(AP) NAFIN 120 Dias</t>
        </is>
      </c>
      <c r="M36" t="n">
        <v>10144288</v>
      </c>
      <c r="N36" t="inlineStr">
        <is>
          <t>ARENA CLASIFICADA RÍO MALLA 4 - LAVADO</t>
        </is>
      </c>
      <c r="O36" t="inlineStr">
        <is>
          <t>D853</t>
        </is>
      </c>
      <c r="P36" t="inlineStr">
        <is>
          <t>MX-CED. MEXICALI</t>
        </is>
      </c>
      <c r="Q36" t="n">
        <v>20170530</v>
      </c>
      <c r="R36" t="n">
        <v>20241231</v>
      </c>
      <c r="S36" t="n">
        <v>20190926</v>
      </c>
      <c r="T36" t="n">
        <v>20241231</v>
      </c>
      <c r="U36" t="n">
        <v>188</v>
      </c>
      <c r="V36" t="inlineStr">
        <is>
          <t>MXN</t>
        </is>
      </c>
      <c r="W36" t="inlineStr">
        <is>
          <t>M3</t>
        </is>
      </c>
      <c r="X36" t="n">
        <v>62.36</v>
      </c>
      <c r="Y36" t="inlineStr">
        <is>
          <t>MXN</t>
        </is>
      </c>
      <c r="Z36" t="inlineStr">
        <is>
          <t>M3</t>
        </is>
      </c>
      <c r="AA36" t="inlineStr">
        <is>
          <t>66804658</t>
        </is>
      </c>
      <c r="AB36" t="inlineStr">
        <is>
          <t>I8 Concretos Holtec</t>
        </is>
      </c>
      <c r="AC36" t="n">
        <v>56103638</v>
      </c>
      <c r="AD36" t="n">
        <v>6622431540</v>
      </c>
      <c r="AE36" t="n">
        <v>4</v>
      </c>
      <c r="AF36" t="inlineStr">
        <is>
          <t>ENTREGA DIRECTA</t>
        </is>
      </c>
      <c r="AG36" t="n">
        <v>1.415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V1</t>
        </is>
      </c>
      <c r="AL36" t="n">
        <v>20230920</v>
      </c>
      <c r="AM36" t="inlineStr">
        <is>
          <t>D853-900005242-66804658-10144288-4</t>
        </is>
      </c>
    </row>
    <row r="37">
      <c r="A37" t="inlineStr">
        <is>
          <t>900003677D85310003344</t>
        </is>
      </c>
      <c r="B37" t="inlineStr">
        <is>
          <t>4600071475-30</t>
        </is>
      </c>
      <c r="C37" t="n">
        <v>4600071475</v>
      </c>
      <c r="D37" t="n">
        <v>30</v>
      </c>
      <c r="E37" t="inlineStr">
        <is>
          <t>MXPO</t>
        </is>
      </c>
      <c r="F37" t="inlineStr">
        <is>
          <t>MXL</t>
        </is>
      </c>
      <c r="G37" t="n">
        <v>900003677</v>
      </c>
      <c r="H37" t="inlineStr">
        <is>
          <t>TP-GRUPO TAPACHULA</t>
        </is>
      </c>
      <c r="I37" t="n">
        <v>5002293</v>
      </c>
      <c r="J37" t="inlineStr">
        <is>
          <t>CONSTRUCTORA GRUPO TAPACHULA SA DE</t>
        </is>
      </c>
      <c r="K37" t="inlineStr">
        <is>
          <t>Z09</t>
        </is>
      </c>
      <c r="L37" t="inlineStr">
        <is>
          <t>(AP) 90 Dias</t>
        </is>
      </c>
      <c r="M37" t="n">
        <v>10003344</v>
      </c>
      <c r="N37" t="inlineStr">
        <is>
          <t>Grava Clasificada Río 20 mm - 3/4"</t>
        </is>
      </c>
      <c r="O37" t="inlineStr">
        <is>
          <t>D853</t>
        </is>
      </c>
      <c r="P37" t="inlineStr">
        <is>
          <t>MX-CED. MEXICALI</t>
        </is>
      </c>
      <c r="Q37" t="n">
        <v>20250721</v>
      </c>
      <c r="R37" t="n">
        <v>20301231</v>
      </c>
      <c r="S37" t="n">
        <v>20250721</v>
      </c>
      <c r="T37" t="n">
        <v>20301231</v>
      </c>
      <c r="U37" t="n">
        <v>327.34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56103637</v>
      </c>
      <c r="AD37" t="n">
        <v>6622431540</v>
      </c>
      <c r="AE37" t="n">
        <v>1</v>
      </c>
      <c r="AF37" t="inlineStr">
        <is>
          <t>ENTREGADO</t>
        </is>
      </c>
      <c r="AG37" t="n">
        <v>1.376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20250728</v>
      </c>
      <c r="AM37" t="inlineStr">
        <is>
          <t>D853-900003677-10003344</t>
        </is>
      </c>
    </row>
    <row r="38">
      <c r="A38" t="inlineStr">
        <is>
          <t>900003677D85310133051</t>
        </is>
      </c>
      <c r="B38" t="inlineStr">
        <is>
          <t>4600071475-10</t>
        </is>
      </c>
      <c r="C38" t="n">
        <v>4600071475</v>
      </c>
      <c r="D38" t="n">
        <v>10</v>
      </c>
      <c r="E38" t="inlineStr">
        <is>
          <t>MXPO</t>
        </is>
      </c>
      <c r="F38" t="inlineStr">
        <is>
          <t>MXL</t>
        </is>
      </c>
      <c r="G38" t="n">
        <v>900003677</v>
      </c>
      <c r="H38" t="inlineStr">
        <is>
          <t>TP-GRUPO TAPACHULA</t>
        </is>
      </c>
      <c r="I38" t="n">
        <v>5002293</v>
      </c>
      <c r="J38" t="inlineStr">
        <is>
          <t>CONSTRUCTORA GRUPO TAPACHULA SA DE</t>
        </is>
      </c>
      <c r="K38" t="inlineStr">
        <is>
          <t>Z09</t>
        </is>
      </c>
      <c r="L38" t="inlineStr">
        <is>
          <t>(AP) 90 Dias</t>
        </is>
      </c>
      <c r="M38" t="n">
        <v>10133051</v>
      </c>
      <c r="N38" t="inlineStr">
        <is>
          <t>GRAVA RIO 10MM-3/8"</t>
        </is>
      </c>
      <c r="O38" t="inlineStr">
        <is>
          <t>D853</t>
        </is>
      </c>
      <c r="P38" t="inlineStr">
        <is>
          <t>MX-CED. MEXICALI</t>
        </is>
      </c>
      <c r="Q38" t="n">
        <v>20250721</v>
      </c>
      <c r="R38" t="n">
        <v>20301231</v>
      </c>
      <c r="S38" t="n">
        <v>20250721</v>
      </c>
      <c r="T38" t="n">
        <v>20301231</v>
      </c>
      <c r="U38" t="n">
        <v>697.77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56103637</v>
      </c>
      <c r="AD38" t="n">
        <v>6622431540</v>
      </c>
      <c r="AE38" t="n">
        <v>1</v>
      </c>
      <c r="AF38" t="inlineStr">
        <is>
          <t>ENTREGADO</t>
        </is>
      </c>
      <c r="AG38" t="n">
        <v>1.48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20250728</v>
      </c>
      <c r="AM38" t="inlineStr">
        <is>
          <t>D853-900003677-10133051</t>
        </is>
      </c>
    </row>
    <row r="39">
      <c r="A39" t="inlineStr">
        <is>
          <t>900003677D85310000645</t>
        </is>
      </c>
      <c r="B39" t="inlineStr">
        <is>
          <t>4600071475-20</t>
        </is>
      </c>
      <c r="C39" t="n">
        <v>4600071475</v>
      </c>
      <c r="D39" t="n">
        <v>20</v>
      </c>
      <c r="E39" t="inlineStr">
        <is>
          <t>MXPO</t>
        </is>
      </c>
      <c r="F39" t="inlineStr">
        <is>
          <t>MXL</t>
        </is>
      </c>
      <c r="G39" t="n">
        <v>900003677</v>
      </c>
      <c r="H39" t="inlineStr">
        <is>
          <t>TP-GRUPO TAPACHULA</t>
        </is>
      </c>
      <c r="I39" t="n">
        <v>5002293</v>
      </c>
      <c r="J39" t="inlineStr">
        <is>
          <t>CONSTRUCTORA GRUPO TAPACHULA SA DE</t>
        </is>
      </c>
      <c r="K39" t="inlineStr">
        <is>
          <t>Z09</t>
        </is>
      </c>
      <c r="L39" t="inlineStr">
        <is>
          <t>(AP) 90 Dias</t>
        </is>
      </c>
      <c r="M39" t="n">
        <v>10000645</v>
      </c>
      <c r="N39" t="inlineStr">
        <is>
          <t>Arena Clasificada Río Malla 4</t>
        </is>
      </c>
      <c r="O39" t="inlineStr">
        <is>
          <t>D853</t>
        </is>
      </c>
      <c r="P39" t="inlineStr">
        <is>
          <t>MX-CED. MEXICALI</t>
        </is>
      </c>
      <c r="Q39" t="n">
        <v>20250721</v>
      </c>
      <c r="R39" t="n">
        <v>20301231</v>
      </c>
      <c r="S39" t="n">
        <v>20250721</v>
      </c>
      <c r="T39" t="n">
        <v>20301231</v>
      </c>
      <c r="U39" t="n">
        <v>290.99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56103638</v>
      </c>
      <c r="AD39" t="n">
        <v>6622431540</v>
      </c>
      <c r="AE39" t="n">
        <v>1</v>
      </c>
      <c r="AF39" t="inlineStr">
        <is>
          <t>ENTREGADO</t>
        </is>
      </c>
      <c r="AG39" t="n">
        <v>1.62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20250728</v>
      </c>
      <c r="AM39" t="inlineStr">
        <is>
          <t>D853-900003677-10000645</t>
        </is>
      </c>
    </row>
    <row r="40">
      <c r="A40" t="inlineStr">
        <is>
          <t>900006962D85310048271</t>
        </is>
      </c>
      <c r="B40" t="inlineStr">
        <is>
          <t>4600048632-10</t>
        </is>
      </c>
      <c r="C40" t="n">
        <v>4600048632</v>
      </c>
      <c r="D40" t="n">
        <v>10</v>
      </c>
      <c r="E40" t="inlineStr">
        <is>
          <t>MXPO</t>
        </is>
      </c>
      <c r="F40" t="inlineStr">
        <is>
          <t>MXL</t>
        </is>
      </c>
      <c r="G40" t="n">
        <v>900006962</v>
      </c>
      <c r="H40" t="inlineStr">
        <is>
          <t>SF TP- ASFALTOS TECNICOS</t>
        </is>
      </c>
      <c r="I40" t="n">
        <v>5039266</v>
      </c>
      <c r="J40" t="inlineStr">
        <is>
          <t>ASFALTOS TECNICOS DE BAJA SA DE CV</t>
        </is>
      </c>
      <c r="K40" t="inlineStr">
        <is>
          <t>Z03</t>
        </is>
      </c>
      <c r="L40" t="inlineStr">
        <is>
          <t>(AP) 15 Dias</t>
        </is>
      </c>
      <c r="M40" t="n">
        <v>10048271</v>
      </c>
      <c r="N40" t="inlineStr">
        <is>
          <t>Grava Triturada Granito 10 mm - 3/8"</t>
        </is>
      </c>
      <c r="O40" t="inlineStr">
        <is>
          <t>D853</t>
        </is>
      </c>
      <c r="P40" t="inlineStr">
        <is>
          <t>MX-CED. MEXICALI</t>
        </is>
      </c>
      <c r="Q40" t="n">
        <v>20201207</v>
      </c>
      <c r="R40" t="n">
        <v>20291231</v>
      </c>
      <c r="S40" t="n">
        <v>20201207</v>
      </c>
      <c r="T40" t="n">
        <v>20291231</v>
      </c>
      <c r="U40" t="n">
        <v>188</v>
      </c>
      <c r="V40" t="inlineStr">
        <is>
          <t>MXN</t>
        </is>
      </c>
      <c r="W40" t="inlineStr">
        <is>
          <t>M3</t>
        </is>
      </c>
      <c r="AC40" t="n">
        <v>56103637</v>
      </c>
      <c r="AD40" t="n">
        <v>6622431540</v>
      </c>
      <c r="AE40" t="n">
        <v>1</v>
      </c>
      <c r="AF40" t="inlineStr">
        <is>
          <t>ENTREGADO</t>
        </is>
      </c>
      <c r="AG40" t="n">
        <v>1.504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D853-900006962-10048271</t>
        </is>
      </c>
    </row>
    <row r="41">
      <c r="A41" t="inlineStr">
        <is>
          <t>900009025D8536732303210260652</t>
        </is>
      </c>
      <c r="B41" t="inlineStr">
        <is>
          <t>4600070533-80</t>
        </is>
      </c>
      <c r="C41" t="n">
        <v>4600070533</v>
      </c>
      <c r="D41" t="n">
        <v>80</v>
      </c>
      <c r="E41" t="inlineStr">
        <is>
          <t>MXPO</t>
        </is>
      </c>
      <c r="F41" t="inlineStr">
        <is>
          <t>MXL</t>
        </is>
      </c>
      <c r="G41" t="n">
        <v>900009025</v>
      </c>
      <c r="H41" t="inlineStr">
        <is>
          <t>SF TP-ED FERNANDO WOOLFOLK</t>
        </is>
      </c>
      <c r="I41" t="n">
        <v>5081080</v>
      </c>
      <c r="J41" t="inlineStr">
        <is>
          <t>WOOLFOLK CARBALLO FERNANDO</t>
        </is>
      </c>
      <c r="K41" t="inlineStr">
        <is>
          <t>N90</t>
        </is>
      </c>
      <c r="L41" t="inlineStr">
        <is>
          <t>(AP) NAFIN 90 Dias</t>
        </is>
      </c>
      <c r="M41" t="n">
        <v>10260652</v>
      </c>
      <c r="N41" t="inlineStr">
        <is>
          <t>ARENA CLASIFICADA RÍO #4 LAVADA</t>
        </is>
      </c>
      <c r="O41" t="inlineStr">
        <is>
          <t>D853</t>
        </is>
      </c>
      <c r="P41" t="inlineStr">
        <is>
          <t>MX-CED. MEXICALI</t>
        </is>
      </c>
      <c r="Q41" t="n">
        <v>20241108</v>
      </c>
      <c r="R41" t="n">
        <v>20291231</v>
      </c>
      <c r="S41" t="n">
        <v>20250604</v>
      </c>
      <c r="T41" t="n">
        <v>20301231</v>
      </c>
      <c r="U41" t="n">
        <v>245</v>
      </c>
      <c r="V41" t="inlineStr">
        <is>
          <t>MXN</t>
        </is>
      </c>
      <c r="W41" t="inlineStr">
        <is>
          <t>M3</t>
        </is>
      </c>
      <c r="X41" t="n">
        <v>125</v>
      </c>
      <c r="Y41" t="inlineStr">
        <is>
          <t>MXN</t>
        </is>
      </c>
      <c r="Z41" t="inlineStr">
        <is>
          <t>M3</t>
        </is>
      </c>
      <c r="AA41" t="inlineStr">
        <is>
          <t>67323032</t>
        </is>
      </c>
      <c r="AB41" t="inlineStr">
        <is>
          <t>JL PLANTA MEXICALI</t>
        </is>
      </c>
      <c r="AC41" t="n">
        <v>56103638</v>
      </c>
      <c r="AD41" t="n">
        <v>6622431540</v>
      </c>
      <c r="AE41" t="n">
        <v>4</v>
      </c>
      <c r="AF41" t="inlineStr">
        <is>
          <t>ENTREGA DIRECTA</t>
        </is>
      </c>
      <c r="AG41" t="n">
        <v>1.461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V1</t>
        </is>
      </c>
      <c r="AL41" t="n">
        <v>20260127</v>
      </c>
      <c r="AM41" t="inlineStr">
        <is>
          <t>D853-900009025-67323032-10260652-4</t>
        </is>
      </c>
    </row>
    <row r="42">
      <c r="A42" t="inlineStr">
        <is>
          <t>900009025D8536732303210133053</t>
        </is>
      </c>
      <c r="B42" t="inlineStr">
        <is>
          <t>4600070533-50</t>
        </is>
      </c>
      <c r="C42" t="n">
        <v>4600070533</v>
      </c>
      <c r="D42" t="n">
        <v>50</v>
      </c>
      <c r="E42" t="inlineStr">
        <is>
          <t>MXPO</t>
        </is>
      </c>
      <c r="F42" t="inlineStr">
        <is>
          <t>MXL</t>
        </is>
      </c>
      <c r="G42" t="n">
        <v>900009025</v>
      </c>
      <c r="H42" t="inlineStr">
        <is>
          <t>SF TP-ED FERNANDO WOOLFOLK</t>
        </is>
      </c>
      <c r="I42" t="n">
        <v>5081080</v>
      </c>
      <c r="J42" t="inlineStr">
        <is>
          <t>WOOLFOLK CARBALLO FERNANDO</t>
        </is>
      </c>
      <c r="K42" t="inlineStr">
        <is>
          <t>N90</t>
        </is>
      </c>
      <c r="L42" t="inlineStr">
        <is>
          <t>(AP) NAFIN 90 Dias</t>
        </is>
      </c>
      <c r="M42" t="n">
        <v>10133053</v>
      </c>
      <c r="N42" t="inlineStr">
        <is>
          <t>GRAVA TRITURADA GRANITO 20 MM - 3/4"</t>
        </is>
      </c>
      <c r="O42" t="inlineStr">
        <is>
          <t>D853</t>
        </is>
      </c>
      <c r="P42" t="inlineStr">
        <is>
          <t>MX-CED. MEXICALI</t>
        </is>
      </c>
      <c r="Q42" t="n">
        <v>20241108</v>
      </c>
      <c r="R42" t="n">
        <v>20291231</v>
      </c>
      <c r="S42" t="n">
        <v>20250604</v>
      </c>
      <c r="T42" t="n">
        <v>20301231</v>
      </c>
      <c r="U42" t="n">
        <v>305</v>
      </c>
      <c r="V42" t="inlineStr">
        <is>
          <t>MXN</t>
        </is>
      </c>
      <c r="W42" t="inlineStr">
        <is>
          <t>M3</t>
        </is>
      </c>
      <c r="X42" t="n">
        <v>125</v>
      </c>
      <c r="Y42" t="inlineStr">
        <is>
          <t>MXN</t>
        </is>
      </c>
      <c r="Z42" t="inlineStr">
        <is>
          <t>M3</t>
        </is>
      </c>
      <c r="AA42" t="inlineStr">
        <is>
          <t>67323032</t>
        </is>
      </c>
      <c r="AB42" t="inlineStr">
        <is>
          <t>JL PLANTA MEXICALI</t>
        </is>
      </c>
      <c r="AC42" t="n">
        <v>56103637</v>
      </c>
      <c r="AD42" t="n">
        <v>6622431540</v>
      </c>
      <c r="AE42" t="n">
        <v>4</v>
      </c>
      <c r="AF42" t="inlineStr">
        <is>
          <t>ENTREGA DIRECTA</t>
        </is>
      </c>
      <c r="AG42" t="n">
        <v>1.44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V1</t>
        </is>
      </c>
      <c r="AL42" t="n">
        <v>20260127</v>
      </c>
      <c r="AM42" t="inlineStr">
        <is>
          <t>D853-900009025-67323032-10133053-4</t>
        </is>
      </c>
    </row>
    <row r="43">
      <c r="A43" t="inlineStr">
        <is>
          <t>900007188D85310048387</t>
        </is>
      </c>
      <c r="B43" t="inlineStr">
        <is>
          <t>4600050169-100</t>
        </is>
      </c>
      <c r="C43" t="n">
        <v>4600050169</v>
      </c>
      <c r="D43" t="n">
        <v>100</v>
      </c>
      <c r="E43" t="inlineStr">
        <is>
          <t>MXPO</t>
        </is>
      </c>
      <c r="F43" t="inlineStr">
        <is>
          <t>MXL</t>
        </is>
      </c>
      <c r="G43" t="n">
        <v>900007188</v>
      </c>
      <c r="H43" t="inlineStr">
        <is>
          <t>TP-FERNANDO WOOLFOLK</t>
        </is>
      </c>
      <c r="I43" t="n">
        <v>5081080</v>
      </c>
      <c r="J43" t="inlineStr">
        <is>
          <t>WOOLFOLK CARBALLO FERNANDO</t>
        </is>
      </c>
      <c r="K43" t="inlineStr">
        <is>
          <t>N90</t>
        </is>
      </c>
      <c r="L43" t="inlineStr">
        <is>
          <t>(AP) NAFIN 90 Dias</t>
        </is>
      </c>
      <c r="M43" t="n">
        <v>10048387</v>
      </c>
      <c r="N43" t="inlineStr">
        <is>
          <t>Grava Triturada Granito 10 mm - 3/8"</t>
        </is>
      </c>
      <c r="O43" t="inlineStr">
        <is>
          <t>D853</t>
        </is>
      </c>
      <c r="P43" t="inlineStr">
        <is>
          <t>MX-CED. MEXICALI</t>
        </is>
      </c>
      <c r="Q43" t="n">
        <v>20210615</v>
      </c>
      <c r="R43" t="n">
        <v>20271231</v>
      </c>
      <c r="S43" t="n">
        <v>20250604</v>
      </c>
      <c r="T43" t="n">
        <v>20301231</v>
      </c>
      <c r="U43" t="n">
        <v>210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56103637</v>
      </c>
      <c r="AD43" t="n">
        <v>6622431867</v>
      </c>
      <c r="AE43" t="n">
        <v>1</v>
      </c>
      <c r="AF43" t="inlineStr">
        <is>
          <t>ENTREGADO</t>
        </is>
      </c>
      <c r="AG43" t="n">
        <v>1.43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V1</t>
        </is>
      </c>
      <c r="AL43" t="n">
        <v>20260127</v>
      </c>
      <c r="AM43" t="inlineStr">
        <is>
          <t>D853-900007188-10048387</t>
        </is>
      </c>
    </row>
    <row r="44">
      <c r="A44" t="inlineStr">
        <is>
          <t>900009025D8536732303210048387</t>
        </is>
      </c>
      <c r="B44" t="inlineStr">
        <is>
          <t>4600070533-70</t>
        </is>
      </c>
      <c r="C44" t="n">
        <v>4600070533</v>
      </c>
      <c r="D44" t="n">
        <v>70</v>
      </c>
      <c r="E44" t="inlineStr">
        <is>
          <t>MXPO</t>
        </is>
      </c>
      <c r="F44" t="inlineStr">
        <is>
          <t>MXL</t>
        </is>
      </c>
      <c r="G44" t="n">
        <v>900009025</v>
      </c>
      <c r="H44" t="inlineStr">
        <is>
          <t>SF TP-ED FERNANDO WOOLFOLK</t>
        </is>
      </c>
      <c r="I44" t="n">
        <v>5081080</v>
      </c>
      <c r="J44" t="inlineStr">
        <is>
          <t>WOOLFOLK CARBALLO FERNANDO</t>
        </is>
      </c>
      <c r="K44" t="inlineStr">
        <is>
          <t>N90</t>
        </is>
      </c>
      <c r="L44" t="inlineStr">
        <is>
          <t>(AP) NAFIN 90 Dias</t>
        </is>
      </c>
      <c r="M44" t="n">
        <v>10048387</v>
      </c>
      <c r="N44" t="inlineStr">
        <is>
          <t>Grava Triturada Granito 10 mm - 3/8"</t>
        </is>
      </c>
      <c r="O44" t="inlineStr">
        <is>
          <t>D853</t>
        </is>
      </c>
      <c r="P44" t="inlineStr">
        <is>
          <t>MX-CED. MEXICALI</t>
        </is>
      </c>
      <c r="Q44" t="n">
        <v>20241108</v>
      </c>
      <c r="R44" t="n">
        <v>20291231</v>
      </c>
      <c r="S44" t="n">
        <v>20250604</v>
      </c>
      <c r="T44" t="n">
        <v>20301231</v>
      </c>
      <c r="U44" t="n">
        <v>335</v>
      </c>
      <c r="V44" t="inlineStr">
        <is>
          <t>MXN</t>
        </is>
      </c>
      <c r="W44" t="inlineStr">
        <is>
          <t>M3</t>
        </is>
      </c>
      <c r="X44" t="n">
        <v>125</v>
      </c>
      <c r="Y44" t="inlineStr">
        <is>
          <t>MXN</t>
        </is>
      </c>
      <c r="Z44" t="inlineStr">
        <is>
          <t>M3</t>
        </is>
      </c>
      <c r="AA44" t="inlineStr">
        <is>
          <t>67323032</t>
        </is>
      </c>
      <c r="AB44" t="inlineStr">
        <is>
          <t>JL PLANTA MEXICALI</t>
        </is>
      </c>
      <c r="AC44" t="n">
        <v>56103637</v>
      </c>
      <c r="AD44" t="n">
        <v>6622431867</v>
      </c>
      <c r="AE44" t="n">
        <v>4</v>
      </c>
      <c r="AF44" t="inlineStr">
        <is>
          <t>ENTREGA DIRECTA</t>
        </is>
      </c>
      <c r="AG44" t="n">
        <v>1.43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V1</t>
        </is>
      </c>
      <c r="AL44" t="n">
        <v>20260127</v>
      </c>
      <c r="AM44" t="inlineStr">
        <is>
          <t>D853-900009025-67323032-10048387-4</t>
        </is>
      </c>
    </row>
    <row r="45">
      <c r="A45" t="inlineStr">
        <is>
          <t>900007188D85310065403</t>
        </is>
      </c>
      <c r="B45" t="inlineStr">
        <is>
          <t>4600050169-90</t>
        </is>
      </c>
      <c r="C45" t="n">
        <v>4600050169</v>
      </c>
      <c r="D45" t="n">
        <v>90</v>
      </c>
      <c r="E45" t="inlineStr">
        <is>
          <t>MXPO</t>
        </is>
      </c>
      <c r="F45" t="inlineStr">
        <is>
          <t>MXL</t>
        </is>
      </c>
      <c r="G45" t="n">
        <v>900007188</v>
      </c>
      <c r="H45" t="inlineStr">
        <is>
          <t>TP-FERNANDO WOOLFOLK</t>
        </is>
      </c>
      <c r="I45" t="n">
        <v>5081080</v>
      </c>
      <c r="J45" t="inlineStr">
        <is>
          <t>WOOLFOLK CARBALLO FERNANDO</t>
        </is>
      </c>
      <c r="K45" t="inlineStr">
        <is>
          <t>N90</t>
        </is>
      </c>
      <c r="L45" t="inlineStr">
        <is>
          <t>(AP) NAFIN 90 Dias</t>
        </is>
      </c>
      <c r="M45" t="n">
        <v>10065403</v>
      </c>
      <c r="N45" t="inlineStr">
        <is>
          <t>GRAVA TRITURADA GRANITO 40 MM - 1 1/2"</t>
        </is>
      </c>
      <c r="O45" t="inlineStr">
        <is>
          <t>D853</t>
        </is>
      </c>
      <c r="P45" t="inlineStr">
        <is>
          <t>MX-CED. MEXICALI</t>
        </is>
      </c>
      <c r="Q45" t="n">
        <v>20210615</v>
      </c>
      <c r="R45" t="n">
        <v>20271231</v>
      </c>
      <c r="S45" t="n">
        <v>20250604</v>
      </c>
      <c r="T45" t="n">
        <v>20301231</v>
      </c>
      <c r="U45" t="n">
        <v>180</v>
      </c>
      <c r="V45" t="inlineStr">
        <is>
          <t>MXN</t>
        </is>
      </c>
      <c r="W45" t="inlineStr">
        <is>
          <t>M3</t>
        </is>
      </c>
      <c r="X45" t="n">
        <v>0</v>
      </c>
      <c r="Y45" t="inlineStr">
        <is>
          <t>MXN</t>
        </is>
      </c>
      <c r="Z45" t="inlineStr">
        <is>
          <t>M3</t>
        </is>
      </c>
      <c r="AC45" t="n">
        <v>56103637</v>
      </c>
      <c r="AD45" t="n">
        <v>6622431540</v>
      </c>
      <c r="AE45" t="n">
        <v>1</v>
      </c>
      <c r="AF45" t="inlineStr">
        <is>
          <t>ENTREGADO</t>
        </is>
      </c>
      <c r="AG45" t="n">
        <v>1.445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V1</t>
        </is>
      </c>
      <c r="AL45" t="n">
        <v>20260127</v>
      </c>
      <c r="AM45" t="inlineStr">
        <is>
          <t>D853-900007188-10065403</t>
        </is>
      </c>
    </row>
    <row r="46">
      <c r="A46" t="inlineStr">
        <is>
          <t>900007188D85310133053</t>
        </is>
      </c>
      <c r="B46" t="inlineStr">
        <is>
          <t>4600050169-80</t>
        </is>
      </c>
      <c r="C46" t="n">
        <v>4600050169</v>
      </c>
      <c r="D46" t="n">
        <v>80</v>
      </c>
      <c r="E46" t="inlineStr">
        <is>
          <t>MXPO</t>
        </is>
      </c>
      <c r="F46" t="inlineStr">
        <is>
          <t>MXL</t>
        </is>
      </c>
      <c r="G46" t="n">
        <v>900007188</v>
      </c>
      <c r="H46" t="inlineStr">
        <is>
          <t>TP-FERNANDO WOOLFOLK</t>
        </is>
      </c>
      <c r="I46" t="n">
        <v>5081080</v>
      </c>
      <c r="J46" t="inlineStr">
        <is>
          <t>WOOLFOLK CARBALLO FERNANDO</t>
        </is>
      </c>
      <c r="K46" t="inlineStr">
        <is>
          <t>N90</t>
        </is>
      </c>
      <c r="L46" t="inlineStr">
        <is>
          <t>(AP) NAFIN 90 Dias</t>
        </is>
      </c>
      <c r="M46" t="n">
        <v>10133053</v>
      </c>
      <c r="N46" t="inlineStr">
        <is>
          <t>GRAVA TRITURADA GRANITO 20 MM - 3/4"</t>
        </is>
      </c>
      <c r="O46" t="inlineStr">
        <is>
          <t>D853</t>
        </is>
      </c>
      <c r="P46" t="inlineStr">
        <is>
          <t>MX-CED. MEXICALI</t>
        </is>
      </c>
      <c r="Q46" t="n">
        <v>20210615</v>
      </c>
      <c r="R46" t="n">
        <v>20271231</v>
      </c>
      <c r="S46" t="n">
        <v>20250604</v>
      </c>
      <c r="T46" t="n">
        <v>20301231</v>
      </c>
      <c r="U46" t="n">
        <v>180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56103637</v>
      </c>
      <c r="AD46" t="n">
        <v>6622431540</v>
      </c>
      <c r="AE46" t="n">
        <v>1</v>
      </c>
      <c r="AF46" t="inlineStr">
        <is>
          <t>ENTREGADO</t>
        </is>
      </c>
      <c r="AG46" t="n">
        <v>1.44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V1</t>
        </is>
      </c>
      <c r="AL46" t="n">
        <v>20260127</v>
      </c>
      <c r="AM46" t="inlineStr">
        <is>
          <t>D853-900007188-10133053</t>
        </is>
      </c>
    </row>
    <row r="47">
      <c r="A47" t="inlineStr">
        <is>
          <t>900007188D85310260652</t>
        </is>
      </c>
      <c r="B47" t="inlineStr">
        <is>
          <t>4600050169-110</t>
        </is>
      </c>
      <c r="C47" t="n">
        <v>4600050169</v>
      </c>
      <c r="D47" t="n">
        <v>110</v>
      </c>
      <c r="E47" t="inlineStr">
        <is>
          <t>MXPO</t>
        </is>
      </c>
      <c r="F47" t="inlineStr">
        <is>
          <t>MXL</t>
        </is>
      </c>
      <c r="G47" t="n">
        <v>900007188</v>
      </c>
      <c r="H47" t="inlineStr">
        <is>
          <t>TP-FERNANDO WOOLFOLK</t>
        </is>
      </c>
      <c r="I47" t="n">
        <v>5081080</v>
      </c>
      <c r="J47" t="inlineStr">
        <is>
          <t>WOOLFOLK CARBALLO FERNANDO</t>
        </is>
      </c>
      <c r="K47" t="inlineStr">
        <is>
          <t>N90</t>
        </is>
      </c>
      <c r="L47" t="inlineStr">
        <is>
          <t>(AP) NAFIN 90 Dias</t>
        </is>
      </c>
      <c r="M47" t="n">
        <v>10260652</v>
      </c>
      <c r="N47" t="inlineStr">
        <is>
          <t>ARENA CLASIFICADA RÍO #4 LAVADA</t>
        </is>
      </c>
      <c r="O47" t="inlineStr">
        <is>
          <t>D853</t>
        </is>
      </c>
      <c r="P47" t="inlineStr">
        <is>
          <t>MX-CED. MEXICALI</t>
        </is>
      </c>
      <c r="Q47" t="n">
        <v>20210615</v>
      </c>
      <c r="R47" t="n">
        <v>20271231</v>
      </c>
      <c r="S47" t="n">
        <v>20250604</v>
      </c>
      <c r="T47" t="n">
        <v>20301231</v>
      </c>
      <c r="U47" t="n">
        <v>120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56103638</v>
      </c>
      <c r="AD47" t="n">
        <v>6622431540</v>
      </c>
      <c r="AE47" t="n">
        <v>1</v>
      </c>
      <c r="AF47" t="inlineStr">
        <is>
          <t>ENTREGADO</t>
        </is>
      </c>
      <c r="AG47" t="n">
        <v>1.461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V1</t>
        </is>
      </c>
      <c r="AL47" t="n">
        <v>20260127</v>
      </c>
      <c r="AM47" t="inlineStr">
        <is>
          <t>D853-900007188-10260652</t>
        </is>
      </c>
    </row>
    <row r="48">
      <c r="A48" t="inlineStr">
        <is>
          <t>900009025D8536732303210065403</t>
        </is>
      </c>
      <c r="B48" t="inlineStr">
        <is>
          <t>4600070533-60</t>
        </is>
      </c>
      <c r="C48" t="n">
        <v>4600070533</v>
      </c>
      <c r="D48" t="n">
        <v>60</v>
      </c>
      <c r="E48" t="inlineStr">
        <is>
          <t>MXPO</t>
        </is>
      </c>
      <c r="F48" t="inlineStr">
        <is>
          <t>MXL</t>
        </is>
      </c>
      <c r="G48" t="n">
        <v>900009025</v>
      </c>
      <c r="H48" t="inlineStr">
        <is>
          <t>SF TP-ED FERNANDO WOOLFOLK</t>
        </is>
      </c>
      <c r="I48" t="n">
        <v>5081080</v>
      </c>
      <c r="J48" t="inlineStr">
        <is>
          <t>WOOLFOLK CARBALLO FERNANDO</t>
        </is>
      </c>
      <c r="K48" t="inlineStr">
        <is>
          <t>N90</t>
        </is>
      </c>
      <c r="L48" t="inlineStr">
        <is>
          <t>(AP) NAFIN 90 Dias</t>
        </is>
      </c>
      <c r="M48" t="n">
        <v>10065403</v>
      </c>
      <c r="N48" t="inlineStr">
        <is>
          <t>GRAVA TRITURADA GRANITO 40 MM - 1 1/2"</t>
        </is>
      </c>
      <c r="O48" t="inlineStr">
        <is>
          <t>D853</t>
        </is>
      </c>
      <c r="P48" t="inlineStr">
        <is>
          <t>MX-CED. MEXICALI</t>
        </is>
      </c>
      <c r="Q48" t="n">
        <v>20241108</v>
      </c>
      <c r="R48" t="n">
        <v>20291231</v>
      </c>
      <c r="S48" t="n">
        <v>20250604</v>
      </c>
      <c r="T48" t="n">
        <v>20301231</v>
      </c>
      <c r="U48" t="n">
        <v>305</v>
      </c>
      <c r="V48" t="inlineStr">
        <is>
          <t>MXN</t>
        </is>
      </c>
      <c r="W48" t="inlineStr">
        <is>
          <t>M3</t>
        </is>
      </c>
      <c r="X48" t="n">
        <v>125</v>
      </c>
      <c r="Y48" t="inlineStr">
        <is>
          <t>MXN</t>
        </is>
      </c>
      <c r="Z48" t="inlineStr">
        <is>
          <t>M3</t>
        </is>
      </c>
      <c r="AA48" t="inlineStr">
        <is>
          <t>67323032</t>
        </is>
      </c>
      <c r="AB48" t="inlineStr">
        <is>
          <t>JL PLANTA MEXICALI</t>
        </is>
      </c>
      <c r="AC48" t="n">
        <v>56103637</v>
      </c>
      <c r="AD48" t="n">
        <v>6622431540</v>
      </c>
      <c r="AE48" t="n">
        <v>4</v>
      </c>
      <c r="AF48" t="inlineStr">
        <is>
          <t>ENTREGA DIRECTA</t>
        </is>
      </c>
      <c r="AG48" t="n">
        <v>1.445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V1</t>
        </is>
      </c>
      <c r="AL48" t="n">
        <v>20260127</v>
      </c>
      <c r="AM48" t="inlineStr">
        <is>
          <t>D853-900009025-67323032-10065403-4</t>
        </is>
      </c>
    </row>
    <row r="49">
      <c r="A49" t="inlineStr">
        <is>
          <t>900004527D85310048387</t>
        </is>
      </c>
      <c r="B49" t="inlineStr">
        <is>
          <t>4600033292-20</t>
        </is>
      </c>
      <c r="C49" t="n">
        <v>4600033292</v>
      </c>
      <c r="D49" t="n">
        <v>20</v>
      </c>
      <c r="E49" t="inlineStr">
        <is>
          <t>MXPO</t>
        </is>
      </c>
      <c r="F49" t="inlineStr">
        <is>
          <t>MXL</t>
        </is>
      </c>
      <c r="G49" t="n">
        <v>900004527</v>
      </c>
      <c r="H49" t="inlineStr">
        <is>
          <t>TP- GUSA</t>
        </is>
      </c>
      <c r="I49" t="n">
        <v>5002503</v>
      </c>
      <c r="J49" t="inlineStr">
        <is>
          <t>CONSTRUCTORA GUSA SA DE CV</t>
        </is>
      </c>
      <c r="K49" t="inlineStr">
        <is>
          <t>Z03</t>
        </is>
      </c>
      <c r="L49" t="inlineStr">
        <is>
          <t>(AP) 15 Dias</t>
        </is>
      </c>
      <c r="M49" t="n">
        <v>10048387</v>
      </c>
      <c r="N49" t="inlineStr">
        <is>
          <t>Grava Triturada Granito 10 mm - 3/8"</t>
        </is>
      </c>
      <c r="O49" t="inlineStr">
        <is>
          <t>D853</t>
        </is>
      </c>
      <c r="P49" t="inlineStr">
        <is>
          <t>MX-CED. MEXICALI</t>
        </is>
      </c>
      <c r="Q49" t="n">
        <v>20160301</v>
      </c>
      <c r="R49" t="n">
        <v>20281231</v>
      </c>
      <c r="S49" t="n">
        <v>20200910</v>
      </c>
      <c r="T49" t="n">
        <v>20291231</v>
      </c>
      <c r="U49" t="n">
        <v>252</v>
      </c>
      <c r="V49" t="inlineStr">
        <is>
          <t>MXN</t>
        </is>
      </c>
      <c r="W49" t="inlineStr">
        <is>
          <t>M3</t>
        </is>
      </c>
      <c r="AC49" t="n">
        <v>56103637</v>
      </c>
      <c r="AD49" t="n">
        <v>6622431867</v>
      </c>
      <c r="AE49" t="n">
        <v>2</v>
      </c>
      <c r="AF49" t="inlineStr">
        <is>
          <t>RECOGIDO</t>
        </is>
      </c>
      <c r="AG49" t="n">
        <v>1.43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V1</t>
        </is>
      </c>
      <c r="AL49" t="n">
        <v>20230920</v>
      </c>
      <c r="AM49" t="inlineStr">
        <is>
          <t>D853-900004527-10048387</t>
        </is>
      </c>
    </row>
    <row r="50">
      <c r="A50" t="inlineStr">
        <is>
          <t>900005992D8536626461910173699</t>
        </is>
      </c>
      <c r="B50" t="inlineStr">
        <is>
          <t>4600044220-30</t>
        </is>
      </c>
      <c r="C50" t="n">
        <v>4600044220</v>
      </c>
      <c r="D50" t="n">
        <v>30</v>
      </c>
      <c r="E50" t="inlineStr">
        <is>
          <t>MXPO</t>
        </is>
      </c>
      <c r="F50" t="inlineStr">
        <is>
          <t>MXL</t>
        </is>
      </c>
      <c r="G50" t="n">
        <v>900005992</v>
      </c>
      <c r="H50" t="inlineStr">
        <is>
          <t>SF TP- ED MABUSA</t>
        </is>
      </c>
      <c r="I50" t="n">
        <v>5071161</v>
      </c>
      <c r="J50" t="inlineStr">
        <is>
          <t>BUSTAMANTE LOPEZ MARIA ANGELICA</t>
        </is>
      </c>
      <c r="K50" t="inlineStr">
        <is>
          <t>N90</t>
        </is>
      </c>
      <c r="L50" t="inlineStr">
        <is>
          <t>(AP) NAFIN 90 Dias</t>
        </is>
      </c>
      <c r="M50" t="n">
        <v>10173699</v>
      </c>
      <c r="N50" t="inlineStr">
        <is>
          <t>ARENA CLASIFICADA RIO MALLA 4 LAVADA</t>
        </is>
      </c>
      <c r="O50" t="inlineStr">
        <is>
          <t>D853</t>
        </is>
      </c>
      <c r="P50" t="inlineStr">
        <is>
          <t>MX-CED. MEXICALI</t>
        </is>
      </c>
      <c r="Q50" t="n">
        <v>20190306</v>
      </c>
      <c r="R50" t="n">
        <v>20241231</v>
      </c>
      <c r="S50" t="n">
        <v>20210601</v>
      </c>
      <c r="T50" t="n">
        <v>20261231</v>
      </c>
      <c r="U50" t="n">
        <v>991.09</v>
      </c>
      <c r="V50" t="inlineStr">
        <is>
          <t>MXN</t>
        </is>
      </c>
      <c r="W50" t="inlineStr">
        <is>
          <t>TN</t>
        </is>
      </c>
      <c r="X50" t="n">
        <v>396.5</v>
      </c>
      <c r="Y50" t="inlineStr">
        <is>
          <t>MXN</t>
        </is>
      </c>
      <c r="Z50" t="inlineStr">
        <is>
          <t>TN</t>
        </is>
      </c>
      <c r="AA50" t="inlineStr">
        <is>
          <t>66264619</t>
        </is>
      </c>
      <c r="AB50" t="inlineStr">
        <is>
          <t>NWPC DE SLRC</t>
        </is>
      </c>
      <c r="AC50" t="n">
        <v>56103638</v>
      </c>
      <c r="AD50" t="n">
        <v>6622431540</v>
      </c>
      <c r="AE50" t="n">
        <v>4</v>
      </c>
      <c r="AF50" t="inlineStr">
        <is>
          <t>ENTREGA DIRECTA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V1</t>
        </is>
      </c>
      <c r="AL50" t="n">
        <v>20230920</v>
      </c>
      <c r="AM50" t="inlineStr">
        <is>
          <t>D853-900005992-66264619-10173699-4</t>
        </is>
      </c>
    </row>
    <row r="51">
      <c r="A51" t="inlineStr">
        <is>
          <t>900005992D8536512021210173699</t>
        </is>
      </c>
      <c r="B51" t="inlineStr">
        <is>
          <t>4600044220-40</t>
        </is>
      </c>
      <c r="C51" t="n">
        <v>4600044220</v>
      </c>
      <c r="D51" t="n">
        <v>40</v>
      </c>
      <c r="E51" t="inlineStr">
        <is>
          <t>MXPO</t>
        </is>
      </c>
      <c r="F51" t="inlineStr">
        <is>
          <t>MXL</t>
        </is>
      </c>
      <c r="G51" t="n">
        <v>900005992</v>
      </c>
      <c r="H51" t="inlineStr">
        <is>
          <t>SF TP- ED MABUSA</t>
        </is>
      </c>
      <c r="I51" t="n">
        <v>5071161</v>
      </c>
      <c r="J51" t="inlineStr">
        <is>
          <t>BUSTAMANTE LOPEZ MARIA ANGELICA</t>
        </is>
      </c>
      <c r="K51" t="inlineStr">
        <is>
          <t>N90</t>
        </is>
      </c>
      <c r="L51" t="inlineStr">
        <is>
          <t>(AP) NAFIN 90 Dias</t>
        </is>
      </c>
      <c r="M51" t="n">
        <v>10173699</v>
      </c>
      <c r="N51" t="inlineStr">
        <is>
          <t>ARENA CLASIFICADA RIO MALLA 4 LAVADA</t>
        </is>
      </c>
      <c r="O51" t="inlineStr">
        <is>
          <t>D853</t>
        </is>
      </c>
      <c r="P51" t="inlineStr">
        <is>
          <t>MX-CED. MEXICALI</t>
        </is>
      </c>
      <c r="Q51" t="n">
        <v>20190306</v>
      </c>
      <c r="R51" t="n">
        <v>20241231</v>
      </c>
      <c r="S51" t="n">
        <v>20210601</v>
      </c>
      <c r="T51" t="n">
        <v>20261231</v>
      </c>
      <c r="U51" t="n">
        <v>991.09</v>
      </c>
      <c r="V51" t="inlineStr">
        <is>
          <t>MXN</t>
        </is>
      </c>
      <c r="W51" t="inlineStr">
        <is>
          <t>TN</t>
        </is>
      </c>
      <c r="X51" t="n">
        <v>396.5</v>
      </c>
      <c r="Y51" t="inlineStr">
        <is>
          <t>MXN</t>
        </is>
      </c>
      <c r="Z51" t="inlineStr">
        <is>
          <t>TN</t>
        </is>
      </c>
      <c r="AA51" t="inlineStr">
        <is>
          <t>65120212</t>
        </is>
      </c>
      <c r="AB51" t="inlineStr">
        <is>
          <t>CEMEX INTERNACIONAL</t>
        </is>
      </c>
      <c r="AC51" t="n">
        <v>56103638</v>
      </c>
      <c r="AD51" t="n">
        <v>6622431540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D853-900005992-65120212-10173699-4</t>
        </is>
      </c>
    </row>
    <row r="52">
      <c r="A52" t="inlineStr">
        <is>
          <t>900007579D8536626461910173699</t>
        </is>
      </c>
      <c r="B52" t="inlineStr">
        <is>
          <t>4600053983-10</t>
        </is>
      </c>
      <c r="C52" t="n">
        <v>4600053983</v>
      </c>
      <c r="D52" t="n">
        <v>10</v>
      </c>
      <c r="E52" t="inlineStr">
        <is>
          <t>MXPO</t>
        </is>
      </c>
      <c r="F52" t="inlineStr">
        <is>
          <t>MXL</t>
        </is>
      </c>
      <c r="G52" t="n">
        <v>900007579</v>
      </c>
      <c r="H52" t="inlineStr">
        <is>
          <t>SF TP-ED MABUSA PC</t>
        </is>
      </c>
      <c r="I52" t="n">
        <v>5082784</v>
      </c>
      <c r="J52" t="inlineStr">
        <is>
          <t>MABUSA PC SA DE CV</t>
        </is>
      </c>
      <c r="K52" t="inlineStr">
        <is>
          <t>N90</t>
        </is>
      </c>
      <c r="L52" t="inlineStr">
        <is>
          <t>(AP) NAFIN 90 Dias</t>
        </is>
      </c>
      <c r="M52" t="n">
        <v>10173699</v>
      </c>
      <c r="N52" t="inlineStr">
        <is>
          <t>ARENA CLASIFICADA RIO MALLA 4 LAVADA</t>
        </is>
      </c>
      <c r="O52" t="inlineStr">
        <is>
          <t>D853</t>
        </is>
      </c>
      <c r="P52" t="inlineStr">
        <is>
          <t>MX-CED. MEXICALI</t>
        </is>
      </c>
      <c r="Q52" t="n">
        <v>20220512</v>
      </c>
      <c r="R52" t="n">
        <v>20271231</v>
      </c>
      <c r="S52" t="n">
        <v>20230120</v>
      </c>
      <c r="T52" t="n">
        <v>20271231</v>
      </c>
      <c r="U52" t="n">
        <v>1091.09</v>
      </c>
      <c r="V52" t="inlineStr">
        <is>
          <t>MXN</t>
        </is>
      </c>
      <c r="W52" t="inlineStr">
        <is>
          <t>TN</t>
        </is>
      </c>
      <c r="X52" t="n">
        <v>600</v>
      </c>
      <c r="Y52" t="inlineStr">
        <is>
          <t>MXN</t>
        </is>
      </c>
      <c r="Z52" t="inlineStr">
        <is>
          <t>TN</t>
        </is>
      </c>
      <c r="AA52" t="inlineStr">
        <is>
          <t>66264619</t>
        </is>
      </c>
      <c r="AB52" t="inlineStr">
        <is>
          <t>NWPC DE SLRC</t>
        </is>
      </c>
      <c r="AC52" t="n">
        <v>56103638</v>
      </c>
      <c r="AD52" t="n">
        <v>6622431540</v>
      </c>
      <c r="AE52" t="n">
        <v>4</v>
      </c>
      <c r="AF52" t="inlineStr">
        <is>
          <t>ENTREGA DIRECTA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V1</t>
        </is>
      </c>
      <c r="AL52" t="n">
        <v>20240627</v>
      </c>
      <c r="AM52" t="inlineStr">
        <is>
          <t>D853-900007579-66264619-10173699-4</t>
        </is>
      </c>
    </row>
    <row r="53">
      <c r="A53" t="inlineStr">
        <is>
          <t>900007579D8536512021210173699</t>
        </is>
      </c>
      <c r="B53" t="inlineStr">
        <is>
          <t>4600053983-20</t>
        </is>
      </c>
      <c r="C53" t="n">
        <v>4600053983</v>
      </c>
      <c r="D53" t="n">
        <v>20</v>
      </c>
      <c r="E53" t="inlineStr">
        <is>
          <t>MXPO</t>
        </is>
      </c>
      <c r="F53" t="inlineStr">
        <is>
          <t>MXL</t>
        </is>
      </c>
      <c r="G53" t="n">
        <v>900007579</v>
      </c>
      <c r="H53" t="inlineStr">
        <is>
          <t>SF TP-ED MABUSA PC</t>
        </is>
      </c>
      <c r="I53" t="n">
        <v>5082784</v>
      </c>
      <c r="J53" t="inlineStr">
        <is>
          <t>MABUSA PC SA DE CV</t>
        </is>
      </c>
      <c r="K53" t="inlineStr">
        <is>
          <t>N90</t>
        </is>
      </c>
      <c r="L53" t="inlineStr">
        <is>
          <t>(AP) NAFIN 90 Dias</t>
        </is>
      </c>
      <c r="M53" t="n">
        <v>10173699</v>
      </c>
      <c r="N53" t="inlineStr">
        <is>
          <t>ARENA CLASIFICADA RIO MALLA 4 LAVADA</t>
        </is>
      </c>
      <c r="O53" t="inlineStr">
        <is>
          <t>D853</t>
        </is>
      </c>
      <c r="P53" t="inlineStr">
        <is>
          <t>MX-CED. MEXICALI</t>
        </is>
      </c>
      <c r="Q53" t="n">
        <v>20220512</v>
      </c>
      <c r="R53" t="n">
        <v>20271231</v>
      </c>
      <c r="S53" t="n">
        <v>20230120</v>
      </c>
      <c r="T53" t="n">
        <v>20271231</v>
      </c>
      <c r="U53" t="n">
        <v>1091.09</v>
      </c>
      <c r="V53" t="inlineStr">
        <is>
          <t>MXN</t>
        </is>
      </c>
      <c r="W53" t="inlineStr">
        <is>
          <t>TN</t>
        </is>
      </c>
      <c r="X53" t="n">
        <v>600</v>
      </c>
      <c r="Y53" t="inlineStr">
        <is>
          <t>MXN</t>
        </is>
      </c>
      <c r="Z53" t="inlineStr">
        <is>
          <t>TN</t>
        </is>
      </c>
      <c r="AA53" t="inlineStr">
        <is>
          <t>65120212</t>
        </is>
      </c>
      <c r="AB53" t="inlineStr">
        <is>
          <t>CEMEX INTERNACIONAL</t>
        </is>
      </c>
      <c r="AC53" t="n">
        <v>56103638</v>
      </c>
      <c r="AD53" t="n">
        <v>6622431540</v>
      </c>
      <c r="AE53" t="n">
        <v>4</v>
      </c>
      <c r="AF53" t="inlineStr">
        <is>
          <t>ENTREGA DIRECTA</t>
        </is>
      </c>
      <c r="AG53" t="n">
        <v>1</v>
      </c>
      <c r="AH53" t="inlineStr">
        <is>
          <t>TO</t>
        </is>
      </c>
      <c r="AI53" t="inlineStr">
        <is>
          <t>X</t>
        </is>
      </c>
      <c r="AJ53" t="n">
        <v>4</v>
      </c>
      <c r="AK53" t="inlineStr">
        <is>
          <t>V1</t>
        </is>
      </c>
      <c r="AL53" t="n">
        <v>20240627</v>
      </c>
      <c r="AM53" t="inlineStr">
        <is>
          <t>D853-900007579-65120212-10173699-4</t>
        </is>
      </c>
    </row>
    <row r="54">
      <c r="A54" t="inlineStr">
        <is>
          <t>900005242D8536640483910144288</t>
        </is>
      </c>
      <c r="B54" t="inlineStr">
        <is>
          <t>4600038144-20</t>
        </is>
      </c>
      <c r="C54" t="n">
        <v>4600038144</v>
      </c>
      <c r="D54" t="n">
        <v>20</v>
      </c>
      <c r="E54" t="inlineStr">
        <is>
          <t>MXPO</t>
        </is>
      </c>
      <c r="F54" t="inlineStr">
        <is>
          <t>MXL</t>
        </is>
      </c>
      <c r="G54" t="n">
        <v>900005242</v>
      </c>
      <c r="H54" t="inlineStr">
        <is>
          <t>SF TP-ED- SEXTIN MEXICALI</t>
        </is>
      </c>
      <c r="I54" t="n">
        <v>5042038</v>
      </c>
      <c r="J54" t="inlineStr">
        <is>
          <t>CONSTRUCTORA SEXTIN  SA DE CV</t>
        </is>
      </c>
      <c r="K54" t="inlineStr">
        <is>
          <t>N120</t>
        </is>
      </c>
      <c r="L54" t="inlineStr">
        <is>
          <t>(AP) NAFIN 120 Dias</t>
        </is>
      </c>
      <c r="M54" t="n">
        <v>10144288</v>
      </c>
      <c r="N54" t="inlineStr">
        <is>
          <t>ARENA CLASIFICADA RÍO MALLA 4 - LAVADO</t>
        </is>
      </c>
      <c r="O54" t="inlineStr">
        <is>
          <t>D853</t>
        </is>
      </c>
      <c r="P54" t="inlineStr">
        <is>
          <t>MX-CED. MEXICALI</t>
        </is>
      </c>
      <c r="Q54" t="n">
        <v>20170530</v>
      </c>
      <c r="R54" t="n">
        <v>20241231</v>
      </c>
      <c r="S54" t="n">
        <v>20170628</v>
      </c>
      <c r="T54" t="n">
        <v>20241231</v>
      </c>
      <c r="U54" t="n">
        <v>163.66</v>
      </c>
      <c r="V54" t="inlineStr">
        <is>
          <t>MXN</t>
        </is>
      </c>
      <c r="W54" t="inlineStr">
        <is>
          <t>M3</t>
        </is>
      </c>
      <c r="X54" t="n">
        <v>93.66</v>
      </c>
      <c r="Y54" t="inlineStr">
        <is>
          <t>MXN</t>
        </is>
      </c>
      <c r="Z54" t="inlineStr">
        <is>
          <t>M3</t>
        </is>
      </c>
      <c r="AA54" t="inlineStr">
        <is>
          <t>66404839</t>
        </is>
      </c>
      <c r="AC54" t="n">
        <v>56103638</v>
      </c>
      <c r="AD54" t="n">
        <v>6622431540</v>
      </c>
      <c r="AE54" t="n">
        <v>4</v>
      </c>
      <c r="AF54" t="inlineStr">
        <is>
          <t>ENTREGA DIRECTA</t>
        </is>
      </c>
      <c r="AG54" t="n">
        <v>1.415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V1</t>
        </is>
      </c>
      <c r="AL54" t="n">
        <v>20230920</v>
      </c>
      <c r="AM54" t="inlineStr">
        <is>
          <t>D853-900005242-66404839-10144288-4</t>
        </is>
      </c>
    </row>
    <row r="55">
      <c r="A55" t="inlineStr">
        <is>
          <t>900005242D8536640483910133053</t>
        </is>
      </c>
      <c r="B55" t="inlineStr">
        <is>
          <t>4600038144-10</t>
        </is>
      </c>
      <c r="C55" t="n">
        <v>4600038144</v>
      </c>
      <c r="D55" t="n">
        <v>10</v>
      </c>
      <c r="E55" t="inlineStr">
        <is>
          <t>MXPO</t>
        </is>
      </c>
      <c r="F55" t="inlineStr">
        <is>
          <t>MXL</t>
        </is>
      </c>
      <c r="G55" t="n">
        <v>900005242</v>
      </c>
      <c r="H55" t="inlineStr">
        <is>
          <t>SF TP-ED- SEXTIN MEXICALI</t>
        </is>
      </c>
      <c r="I55" t="n">
        <v>5042038</v>
      </c>
      <c r="J55" t="inlineStr">
        <is>
          <t>CONSTRUCTORA SEXTIN  SA DE CV</t>
        </is>
      </c>
      <c r="K55" t="inlineStr">
        <is>
          <t>N120</t>
        </is>
      </c>
      <c r="L55" t="inlineStr">
        <is>
          <t>(AP) NAFIN 120 Dias</t>
        </is>
      </c>
      <c r="M55" t="n">
        <v>10133053</v>
      </c>
      <c r="N55" t="inlineStr">
        <is>
          <t>GRAVA TRITURADA GRANITO 20 MM - 3/4"</t>
        </is>
      </c>
      <c r="O55" t="inlineStr">
        <is>
          <t>D853</t>
        </is>
      </c>
      <c r="P55" t="inlineStr">
        <is>
          <t>MX-CED. MEXICALI</t>
        </is>
      </c>
      <c r="Q55" t="n">
        <v>20170530</v>
      </c>
      <c r="R55" t="n">
        <v>20241231</v>
      </c>
      <c r="S55" t="n">
        <v>20170530</v>
      </c>
      <c r="T55" t="n">
        <v>20241231</v>
      </c>
      <c r="U55" t="n">
        <v>229.77</v>
      </c>
      <c r="V55" t="inlineStr">
        <is>
          <t>MXN</t>
        </is>
      </c>
      <c r="W55" t="inlineStr">
        <is>
          <t>M3</t>
        </is>
      </c>
      <c r="X55" t="n">
        <v>84.77</v>
      </c>
      <c r="Y55" t="inlineStr">
        <is>
          <t>MXN</t>
        </is>
      </c>
      <c r="Z55" t="inlineStr">
        <is>
          <t>M3</t>
        </is>
      </c>
      <c r="AA55" t="inlineStr">
        <is>
          <t>66404839</t>
        </is>
      </c>
      <c r="AC55" t="n">
        <v>56103637</v>
      </c>
      <c r="AD55" t="n">
        <v>6622431540</v>
      </c>
      <c r="AE55" t="n">
        <v>4</v>
      </c>
      <c r="AF55" t="inlineStr">
        <is>
          <t>ENTREGA DIRECTA</t>
        </is>
      </c>
      <c r="AG55" t="n">
        <v>1.44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V1</t>
        </is>
      </c>
      <c r="AL55" t="n">
        <v>20230920</v>
      </c>
      <c r="AM55" t="inlineStr">
        <is>
          <t>D853-900005242-66404839-10133053-4</t>
        </is>
      </c>
    </row>
    <row r="56">
      <c r="A56" t="inlineStr">
        <is>
          <t>900009025D8536733044110133053</t>
        </is>
      </c>
      <c r="B56" t="inlineStr">
        <is>
          <t>4600070533-100</t>
        </is>
      </c>
      <c r="C56" t="n">
        <v>4600070533</v>
      </c>
      <c r="D56" t="n">
        <v>100</v>
      </c>
      <c r="E56" t="inlineStr">
        <is>
          <t>MXPO</t>
        </is>
      </c>
      <c r="F56" t="inlineStr">
        <is>
          <t>MXL</t>
        </is>
      </c>
      <c r="G56" t="n">
        <v>900009025</v>
      </c>
      <c r="H56" t="inlineStr">
        <is>
          <t>SF TP-ED FERNANDO WOOLFOLK</t>
        </is>
      </c>
      <c r="I56" t="n">
        <v>5081080</v>
      </c>
      <c r="J56" t="inlineStr">
        <is>
          <t>WOOLFOLK CARBALLO FERNANDO</t>
        </is>
      </c>
      <c r="K56" t="inlineStr">
        <is>
          <t>N90</t>
        </is>
      </c>
      <c r="L56" t="inlineStr">
        <is>
          <t>(AP) NAFIN 90 Dias</t>
        </is>
      </c>
      <c r="M56" t="n">
        <v>10133053</v>
      </c>
      <c r="N56" t="inlineStr">
        <is>
          <t>GRAVA TRITURADA GRANITO 20 MM - 3/4"</t>
        </is>
      </c>
      <c r="O56" t="inlineStr">
        <is>
          <t>D853</t>
        </is>
      </c>
      <c r="P56" t="inlineStr">
        <is>
          <t>MX-CED. MEXICALI</t>
        </is>
      </c>
      <c r="Q56" t="n">
        <v>20241108</v>
      </c>
      <c r="R56" t="n">
        <v>20291231</v>
      </c>
      <c r="S56" t="n">
        <v>20250719</v>
      </c>
      <c r="T56" t="n">
        <v>20301231</v>
      </c>
      <c r="U56" t="n">
        <v>230</v>
      </c>
      <c r="V56" t="inlineStr">
        <is>
          <t>MXN</t>
        </is>
      </c>
      <c r="W56" t="inlineStr">
        <is>
          <t>M3</t>
        </is>
      </c>
      <c r="X56" t="n">
        <v>50</v>
      </c>
      <c r="Y56" t="inlineStr">
        <is>
          <t>MXN</t>
        </is>
      </c>
      <c r="Z56" t="inlineStr">
        <is>
          <t>M3</t>
        </is>
      </c>
      <c r="AA56" t="inlineStr">
        <is>
          <t>67330441</t>
        </is>
      </c>
      <c r="AB56" t="inlineStr">
        <is>
          <t>CONCRETOS BAJA NOR DE MEXICALI</t>
        </is>
      </c>
      <c r="AC56" t="n">
        <v>56103637</v>
      </c>
      <c r="AD56" t="n">
        <v>6622431540</v>
      </c>
      <c r="AE56" t="n">
        <v>4</v>
      </c>
      <c r="AF56" t="inlineStr">
        <is>
          <t>ENTREGA DIRECTA</t>
        </is>
      </c>
      <c r="AG56" t="n">
        <v>1.44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V1</t>
        </is>
      </c>
      <c r="AL56" t="n">
        <v>20260127</v>
      </c>
      <c r="AM56" t="inlineStr">
        <is>
          <t>D853-900009025-67330441-10133053-4</t>
        </is>
      </c>
    </row>
    <row r="57">
      <c r="A57" t="inlineStr">
        <is>
          <t>900009025D8536733044110260652</t>
        </is>
      </c>
      <c r="B57" t="inlineStr">
        <is>
          <t>4600070533-130</t>
        </is>
      </c>
      <c r="C57" t="n">
        <v>4600070533</v>
      </c>
      <c r="D57" t="n">
        <v>130</v>
      </c>
      <c r="E57" t="inlineStr">
        <is>
          <t>MXPO</t>
        </is>
      </c>
      <c r="F57" t="inlineStr">
        <is>
          <t>MXL</t>
        </is>
      </c>
      <c r="G57" t="n">
        <v>900009025</v>
      </c>
      <c r="H57" t="inlineStr">
        <is>
          <t>SF TP-ED FERNANDO WOOLFOLK</t>
        </is>
      </c>
      <c r="I57" t="n">
        <v>5081080</v>
      </c>
      <c r="J57" t="inlineStr">
        <is>
          <t>WOOLFOLK CARBALLO FERNANDO</t>
        </is>
      </c>
      <c r="K57" t="inlineStr">
        <is>
          <t>N90</t>
        </is>
      </c>
      <c r="L57" t="inlineStr">
        <is>
          <t>(AP) NAFIN 90 Dias</t>
        </is>
      </c>
      <c r="M57" t="n">
        <v>10260652</v>
      </c>
      <c r="N57" t="inlineStr">
        <is>
          <t>ARENA CLASIFICADA RÍO #4 LAVADA</t>
        </is>
      </c>
      <c r="O57" t="inlineStr">
        <is>
          <t>D853</t>
        </is>
      </c>
      <c r="P57" t="inlineStr">
        <is>
          <t>MX-CED. MEXICALI</t>
        </is>
      </c>
      <c r="Q57" t="n">
        <v>20241108</v>
      </c>
      <c r="R57" t="n">
        <v>20291231</v>
      </c>
      <c r="S57" t="n">
        <v>20250719</v>
      </c>
      <c r="T57" t="n">
        <v>20301231</v>
      </c>
      <c r="U57" t="n">
        <v>170</v>
      </c>
      <c r="V57" t="inlineStr">
        <is>
          <t>MXN</t>
        </is>
      </c>
      <c r="W57" t="inlineStr">
        <is>
          <t>M3</t>
        </is>
      </c>
      <c r="X57" t="n">
        <v>50</v>
      </c>
      <c r="Y57" t="inlineStr">
        <is>
          <t>MXN</t>
        </is>
      </c>
      <c r="Z57" t="inlineStr">
        <is>
          <t>M3</t>
        </is>
      </c>
      <c r="AA57" t="inlineStr">
        <is>
          <t>67330441</t>
        </is>
      </c>
      <c r="AB57" t="inlineStr">
        <is>
          <t>CONCRETOS BAJA NOR DE MEXICALI</t>
        </is>
      </c>
      <c r="AC57" t="n">
        <v>56103638</v>
      </c>
      <c r="AD57" t="n">
        <v>6622431540</v>
      </c>
      <c r="AE57" t="n">
        <v>4</v>
      </c>
      <c r="AF57" t="inlineStr">
        <is>
          <t>ENTREGA DIRECTA</t>
        </is>
      </c>
      <c r="AG57" t="n">
        <v>1.461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V1</t>
        </is>
      </c>
      <c r="AL57" t="n">
        <v>20260127</v>
      </c>
      <c r="AM57" t="inlineStr">
        <is>
          <t>D853-900009025-67330441-10260652-4</t>
        </is>
      </c>
    </row>
    <row r="58">
      <c r="A58" t="inlineStr">
        <is>
          <t>900009025D8536733044110065403</t>
        </is>
      </c>
      <c r="B58" t="inlineStr">
        <is>
          <t>4600070533-110</t>
        </is>
      </c>
      <c r="C58" t="n">
        <v>4600070533</v>
      </c>
      <c r="D58" t="n">
        <v>110</v>
      </c>
      <c r="E58" t="inlineStr">
        <is>
          <t>MXPO</t>
        </is>
      </c>
      <c r="F58" t="inlineStr">
        <is>
          <t>MXL</t>
        </is>
      </c>
      <c r="G58" t="n">
        <v>900009025</v>
      </c>
      <c r="H58" t="inlineStr">
        <is>
          <t>SF TP-ED FERNANDO WOOLFOLK</t>
        </is>
      </c>
      <c r="I58" t="n">
        <v>5081080</v>
      </c>
      <c r="J58" t="inlineStr">
        <is>
          <t>WOOLFOLK CARBALLO FERNANDO</t>
        </is>
      </c>
      <c r="K58" t="inlineStr">
        <is>
          <t>N90</t>
        </is>
      </c>
      <c r="L58" t="inlineStr">
        <is>
          <t>(AP) NAFIN 90 Dias</t>
        </is>
      </c>
      <c r="M58" t="n">
        <v>10065403</v>
      </c>
      <c r="N58" t="inlineStr">
        <is>
          <t>GRAVA TRITURADA GRANITO 40 MM - 1 1/2"</t>
        </is>
      </c>
      <c r="O58" t="inlineStr">
        <is>
          <t>D853</t>
        </is>
      </c>
      <c r="P58" t="inlineStr">
        <is>
          <t>MX-CED. MEXICALI</t>
        </is>
      </c>
      <c r="Q58" t="n">
        <v>20241108</v>
      </c>
      <c r="R58" t="n">
        <v>20291231</v>
      </c>
      <c r="S58" t="n">
        <v>20250719</v>
      </c>
      <c r="T58" t="n">
        <v>20301231</v>
      </c>
      <c r="U58" t="n">
        <v>230</v>
      </c>
      <c r="V58" t="inlineStr">
        <is>
          <t>MXN</t>
        </is>
      </c>
      <c r="W58" t="inlineStr">
        <is>
          <t>M3</t>
        </is>
      </c>
      <c r="X58" t="n">
        <v>50</v>
      </c>
      <c r="Y58" t="inlineStr">
        <is>
          <t>MXN</t>
        </is>
      </c>
      <c r="Z58" t="inlineStr">
        <is>
          <t>M3</t>
        </is>
      </c>
      <c r="AA58" t="inlineStr">
        <is>
          <t>67330441</t>
        </is>
      </c>
      <c r="AB58" t="inlineStr">
        <is>
          <t>CONCRETOS BAJA NOR DE MEXICALI</t>
        </is>
      </c>
      <c r="AC58" t="n">
        <v>56103637</v>
      </c>
      <c r="AD58" t="n">
        <v>6622431540</v>
      </c>
      <c r="AE58" t="n">
        <v>4</v>
      </c>
      <c r="AF58" t="inlineStr">
        <is>
          <t>ENTREGA DIRECTA</t>
        </is>
      </c>
      <c r="AG58" t="n">
        <v>1.445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V1</t>
        </is>
      </c>
      <c r="AL58" t="n">
        <v>20260127</v>
      </c>
      <c r="AM58" t="inlineStr">
        <is>
          <t>D853-900009025-67330441-10065403-4</t>
        </is>
      </c>
    </row>
    <row r="59">
      <c r="A59" t="inlineStr">
        <is>
          <t>900009025D8536733044110048387</t>
        </is>
      </c>
      <c r="B59" t="inlineStr">
        <is>
          <t>4600070533-120</t>
        </is>
      </c>
      <c r="C59" t="n">
        <v>4600070533</v>
      </c>
      <c r="D59" t="n">
        <v>120</v>
      </c>
      <c r="E59" t="inlineStr">
        <is>
          <t>MXPO</t>
        </is>
      </c>
      <c r="F59" t="inlineStr">
        <is>
          <t>MXL</t>
        </is>
      </c>
      <c r="G59" t="n">
        <v>900009025</v>
      </c>
      <c r="H59" t="inlineStr">
        <is>
          <t>SF TP-ED FERNANDO WOOLFOLK</t>
        </is>
      </c>
      <c r="I59" t="n">
        <v>5081080</v>
      </c>
      <c r="J59" t="inlineStr">
        <is>
          <t>WOOLFOLK CARBALLO FERNANDO</t>
        </is>
      </c>
      <c r="K59" t="inlineStr">
        <is>
          <t>N90</t>
        </is>
      </c>
      <c r="L59" t="inlineStr">
        <is>
          <t>(AP) NAFIN 90 Dias</t>
        </is>
      </c>
      <c r="M59" t="n">
        <v>10048387</v>
      </c>
      <c r="N59" t="inlineStr">
        <is>
          <t>Grava Triturada Granito 10 mm - 3/8"</t>
        </is>
      </c>
      <c r="O59" t="inlineStr">
        <is>
          <t>D853</t>
        </is>
      </c>
      <c r="P59" t="inlineStr">
        <is>
          <t>MX-CED. MEXICALI</t>
        </is>
      </c>
      <c r="Q59" t="n">
        <v>20241108</v>
      </c>
      <c r="R59" t="n">
        <v>20291231</v>
      </c>
      <c r="S59" t="n">
        <v>20250719</v>
      </c>
      <c r="T59" t="n">
        <v>20301231</v>
      </c>
      <c r="U59" t="n">
        <v>260</v>
      </c>
      <c r="V59" t="inlineStr">
        <is>
          <t>MXN</t>
        </is>
      </c>
      <c r="W59" t="inlineStr">
        <is>
          <t>M3</t>
        </is>
      </c>
      <c r="X59" t="n">
        <v>50</v>
      </c>
      <c r="Y59" t="inlineStr">
        <is>
          <t>MXN</t>
        </is>
      </c>
      <c r="Z59" t="inlineStr">
        <is>
          <t>M3</t>
        </is>
      </c>
      <c r="AA59" t="inlineStr">
        <is>
          <t>67330441</t>
        </is>
      </c>
      <c r="AB59" t="inlineStr">
        <is>
          <t>CONCRETOS BAJA NOR DE MEXICALI</t>
        </is>
      </c>
      <c r="AC59" t="n">
        <v>56103637</v>
      </c>
      <c r="AD59" t="n">
        <v>6622431867</v>
      </c>
      <c r="AE59" t="n">
        <v>4</v>
      </c>
      <c r="AF59" t="inlineStr">
        <is>
          <t>ENTREGA DIRECTA</t>
        </is>
      </c>
      <c r="AG59" t="n">
        <v>1.43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V1</t>
        </is>
      </c>
      <c r="AL59" t="n">
        <v>20260127</v>
      </c>
      <c r="AM59" t="inlineStr">
        <is>
          <t>D853-900009025-67330441-10048387-4</t>
        </is>
      </c>
    </row>
    <row r="60">
      <c r="A60" t="inlineStr">
        <is>
          <t>900005992D8536681481010173699</t>
        </is>
      </c>
      <c r="B60" t="inlineStr">
        <is>
          <t>4600044220-50</t>
        </is>
      </c>
      <c r="C60" t="n">
        <v>4600044220</v>
      </c>
      <c r="D60" t="n">
        <v>50</v>
      </c>
      <c r="E60" t="inlineStr">
        <is>
          <t>MXPO</t>
        </is>
      </c>
      <c r="F60" t="inlineStr">
        <is>
          <t>MXL</t>
        </is>
      </c>
      <c r="G60" t="n">
        <v>900005992</v>
      </c>
      <c r="H60" t="inlineStr">
        <is>
          <t>SF TP- ED MABUSA</t>
        </is>
      </c>
      <c r="I60" t="n">
        <v>5071161</v>
      </c>
      <c r="J60" t="inlineStr">
        <is>
          <t>BUSTAMANTE LOPEZ MARIA ANGELICA</t>
        </is>
      </c>
      <c r="K60" t="inlineStr">
        <is>
          <t>N90</t>
        </is>
      </c>
      <c r="L60" t="inlineStr">
        <is>
          <t>(AP) NAFIN 90 Dias</t>
        </is>
      </c>
      <c r="M60" t="n">
        <v>10173699</v>
      </c>
      <c r="N60" t="inlineStr">
        <is>
          <t>ARENA CLASIFICADA RIO MALLA 4 LAVADA</t>
        </is>
      </c>
      <c r="O60" t="inlineStr">
        <is>
          <t>D853</t>
        </is>
      </c>
      <c r="P60" t="inlineStr">
        <is>
          <t>MX-CED. MEXICALI</t>
        </is>
      </c>
      <c r="Q60" t="n">
        <v>20190306</v>
      </c>
      <c r="R60" t="n">
        <v>20241231</v>
      </c>
      <c r="S60" t="n">
        <v>20191004</v>
      </c>
      <c r="T60" t="n">
        <v>20241231</v>
      </c>
      <c r="U60" t="n">
        <v>566.48</v>
      </c>
      <c r="V60" t="inlineStr">
        <is>
          <t>MXN</t>
        </is>
      </c>
      <c r="W60" t="inlineStr">
        <is>
          <t>TN</t>
        </is>
      </c>
      <c r="X60" t="n">
        <v>100</v>
      </c>
      <c r="Y60" t="inlineStr">
        <is>
          <t>MXN</t>
        </is>
      </c>
      <c r="Z60" t="inlineStr">
        <is>
          <t>TN</t>
        </is>
      </c>
      <c r="AA60" t="inlineStr">
        <is>
          <t>66814810</t>
        </is>
      </c>
      <c r="AB60" t="inlineStr">
        <is>
          <t>NORTHEWEST PIPE COMPANY</t>
        </is>
      </c>
      <c r="AC60" t="n">
        <v>56103638</v>
      </c>
      <c r="AD60" t="n">
        <v>6622431540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V1</t>
        </is>
      </c>
      <c r="AL60" t="n">
        <v>20230920</v>
      </c>
      <c r="AM60" t="inlineStr">
        <is>
          <t>D853-900005992-66814810-10173699-4</t>
        </is>
      </c>
    </row>
    <row r="61">
      <c r="A61" t="inlineStr">
        <is>
          <t>900006962D85310140391</t>
        </is>
      </c>
      <c r="B61" t="inlineStr">
        <is>
          <t>4600048632-20</t>
        </is>
      </c>
      <c r="C61" t="n">
        <v>4600048632</v>
      </c>
      <c r="D61" t="n">
        <v>20</v>
      </c>
      <c r="E61" t="inlineStr">
        <is>
          <t>MXPO</t>
        </is>
      </c>
      <c r="F61" t="inlineStr">
        <is>
          <t>MXL</t>
        </is>
      </c>
      <c r="G61" t="n">
        <v>900006962</v>
      </c>
      <c r="H61" t="inlineStr">
        <is>
          <t>SF TP- ASFALTOS TECNICOS</t>
        </is>
      </c>
      <c r="I61" t="n">
        <v>5039266</v>
      </c>
      <c r="J61" t="inlineStr">
        <is>
          <t>ASFALTOS TECNICOS DE BAJA SA DE CV</t>
        </is>
      </c>
      <c r="K61" t="inlineStr">
        <is>
          <t>Z03</t>
        </is>
      </c>
      <c r="L61" t="inlineStr">
        <is>
          <t>(AP) 15 Dias</t>
        </is>
      </c>
      <c r="M61" t="n">
        <v>10140391</v>
      </c>
      <c r="N61" t="inlineStr">
        <is>
          <t>ARENA CLASIFICADA RÍO MALLA 4 LAVADO</t>
        </is>
      </c>
      <c r="O61" t="inlineStr">
        <is>
          <t>D853</t>
        </is>
      </c>
      <c r="P61" t="inlineStr">
        <is>
          <t>MX-CED. MEXICALI</t>
        </is>
      </c>
      <c r="Q61" t="n">
        <v>20201207</v>
      </c>
      <c r="R61" t="n">
        <v>20291231</v>
      </c>
      <c r="S61" t="n">
        <v>20210126</v>
      </c>
      <c r="T61" t="n">
        <v>20291231</v>
      </c>
      <c r="U61" t="n">
        <v>114</v>
      </c>
      <c r="V61" t="inlineStr">
        <is>
          <t>MXN</t>
        </is>
      </c>
      <c r="W61" t="inlineStr">
        <is>
          <t>M3</t>
        </is>
      </c>
      <c r="AC61" t="n">
        <v>56103638</v>
      </c>
      <c r="AD61" t="n">
        <v>6622431540</v>
      </c>
      <c r="AE61" t="n">
        <v>1</v>
      </c>
      <c r="AF61" t="inlineStr">
        <is>
          <t>ENTREGADO</t>
        </is>
      </c>
      <c r="AG61" t="n">
        <v>1.531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D853-900006962-10140391</t>
        </is>
      </c>
    </row>
    <row r="62">
      <c r="A62" t="inlineStr">
        <is>
          <t>900005992D8536690576610139786</t>
        </is>
      </c>
      <c r="B62" t="inlineStr">
        <is>
          <t>4600044220-90</t>
        </is>
      </c>
      <c r="C62" t="n">
        <v>4600044220</v>
      </c>
      <c r="D62" t="n">
        <v>90</v>
      </c>
      <c r="E62" t="inlineStr">
        <is>
          <t>MXPO</t>
        </is>
      </c>
      <c r="F62" t="inlineStr">
        <is>
          <t>MXL</t>
        </is>
      </c>
      <c r="G62" t="n">
        <v>900005992</v>
      </c>
      <c r="H62" t="inlineStr">
        <is>
          <t>SF TP- ED MABUSA</t>
        </is>
      </c>
      <c r="I62" t="n">
        <v>5071161</v>
      </c>
      <c r="J62" t="inlineStr">
        <is>
          <t>BUSTAMANTE LOPEZ MARIA ANGELICA</t>
        </is>
      </c>
      <c r="K62" t="inlineStr">
        <is>
          <t>N90</t>
        </is>
      </c>
      <c r="L62" t="inlineStr">
        <is>
          <t>(AP) NAFIN 90 Dias</t>
        </is>
      </c>
      <c r="M62" t="n">
        <v>10139786</v>
      </c>
      <c r="N62" t="inlineStr">
        <is>
          <t>ARENA CLASIFICADA RÍO MALLA 4</t>
        </is>
      </c>
      <c r="O62" t="inlineStr">
        <is>
          <t>D853</t>
        </is>
      </c>
      <c r="P62" t="inlineStr">
        <is>
          <t>MX-CED. MEXICALI</t>
        </is>
      </c>
      <c r="Q62" t="n">
        <v>20190306</v>
      </c>
      <c r="R62" t="n">
        <v>20241231</v>
      </c>
      <c r="S62" t="n">
        <v>20201014</v>
      </c>
      <c r="T62" t="n">
        <v>20291231</v>
      </c>
      <c r="U62" t="n">
        <v>400</v>
      </c>
      <c r="V62" t="inlineStr">
        <is>
          <t>MXN</t>
        </is>
      </c>
      <c r="W62" t="inlineStr">
        <is>
          <t>M3</t>
        </is>
      </c>
      <c r="X62" t="n">
        <v>300</v>
      </c>
      <c r="Y62" t="inlineStr">
        <is>
          <t>MXN</t>
        </is>
      </c>
      <c r="Z62" t="inlineStr">
        <is>
          <t>M3</t>
        </is>
      </c>
      <c r="AA62" t="inlineStr">
        <is>
          <t>66905766</t>
        </is>
      </c>
      <c r="AB62" t="inlineStr">
        <is>
          <t>CONCRETOS HIGUERA</t>
        </is>
      </c>
      <c r="AC62" t="n">
        <v>56103638</v>
      </c>
      <c r="AD62" t="n">
        <v>6622431540</v>
      </c>
      <c r="AE62" t="n">
        <v>4</v>
      </c>
      <c r="AF62" t="inlineStr">
        <is>
          <t>ENTREGA DIRECTA</t>
        </is>
      </c>
      <c r="AG62" t="n">
        <v>1.535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D853-900005992-66905766-10139786-4</t>
        </is>
      </c>
    </row>
    <row r="63">
      <c r="A63" t="inlineStr">
        <is>
          <t>900005242D8536500097110144288</t>
        </is>
      </c>
      <c r="B63" t="inlineStr">
        <is>
          <t>4600038144-30</t>
        </is>
      </c>
      <c r="C63" t="n">
        <v>4600038144</v>
      </c>
      <c r="D63" t="n">
        <v>30</v>
      </c>
      <c r="E63" t="inlineStr">
        <is>
          <t>MXPO</t>
        </is>
      </c>
      <c r="F63" t="inlineStr">
        <is>
          <t>MXL</t>
        </is>
      </c>
      <c r="G63" t="n">
        <v>900005242</v>
      </c>
      <c r="H63" t="inlineStr">
        <is>
          <t>SF TP-ED- SEXTIN MEXICALI</t>
        </is>
      </c>
      <c r="I63" t="n">
        <v>5042038</v>
      </c>
      <c r="J63" t="inlineStr">
        <is>
          <t>CONSTRUCTORA SEXTIN  SA DE CV</t>
        </is>
      </c>
      <c r="K63" t="inlineStr">
        <is>
          <t>N120</t>
        </is>
      </c>
      <c r="L63" t="inlineStr">
        <is>
          <t>(AP) NAFIN 120 Dias</t>
        </is>
      </c>
      <c r="M63" t="n">
        <v>10144288</v>
      </c>
      <c r="N63" t="inlineStr">
        <is>
          <t>ARENA CLASIFICADA RÍO MALLA 4 - LAVADO</t>
        </is>
      </c>
      <c r="O63" t="inlineStr">
        <is>
          <t>D853</t>
        </is>
      </c>
      <c r="P63" t="inlineStr">
        <is>
          <t>MX-CED. MEXICALI</t>
        </is>
      </c>
      <c r="Q63" t="n">
        <v>20170530</v>
      </c>
      <c r="R63" t="n">
        <v>20241231</v>
      </c>
      <c r="S63" t="n">
        <v>20171219</v>
      </c>
      <c r="T63" t="n">
        <v>20241231</v>
      </c>
      <c r="U63" t="n">
        <v>150</v>
      </c>
      <c r="V63" t="inlineStr">
        <is>
          <t>MXN</t>
        </is>
      </c>
      <c r="W63" t="inlineStr">
        <is>
          <t>M3</t>
        </is>
      </c>
      <c r="X63" t="n">
        <v>50</v>
      </c>
      <c r="Y63" t="inlineStr">
        <is>
          <t>MXN</t>
        </is>
      </c>
      <c r="Z63" t="inlineStr">
        <is>
          <t>M3</t>
        </is>
      </c>
      <c r="AA63" t="inlineStr">
        <is>
          <t>65000971</t>
        </is>
      </c>
      <c r="AB63" t="inlineStr">
        <is>
          <t>(P) BLOQUERA MODERNA, S.A. DE C.V..</t>
        </is>
      </c>
      <c r="AC63" t="n">
        <v>56103638</v>
      </c>
      <c r="AD63" t="n">
        <v>6622431540</v>
      </c>
      <c r="AE63" t="n">
        <v>4</v>
      </c>
      <c r="AF63" t="inlineStr">
        <is>
          <t>ENTREGA DIRECTA</t>
        </is>
      </c>
      <c r="AG63" t="n">
        <v>1.415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V1</t>
        </is>
      </c>
      <c r="AL63" t="n">
        <v>20230920</v>
      </c>
      <c r="AM63" t="inlineStr">
        <is>
          <t>D853-900005242-65000971-10144288-4</t>
        </is>
      </c>
    </row>
    <row r="64">
      <c r="A64" t="inlineStr">
        <is>
          <t>900009025D8536665025910065403</t>
        </is>
      </c>
      <c r="B64" t="inlineStr">
        <is>
          <t>4600070533-20</t>
        </is>
      </c>
      <c r="C64" t="n">
        <v>4600070533</v>
      </c>
      <c r="D64" t="n">
        <v>20</v>
      </c>
      <c r="E64" t="inlineStr">
        <is>
          <t>MXPO</t>
        </is>
      </c>
      <c r="F64" t="inlineStr">
        <is>
          <t>MXL</t>
        </is>
      </c>
      <c r="G64" t="n">
        <v>900009025</v>
      </c>
      <c r="H64" t="inlineStr">
        <is>
          <t>SF TP-ED FERNANDO WOOLFOLK</t>
        </is>
      </c>
      <c r="I64" t="n">
        <v>5081080</v>
      </c>
      <c r="J64" t="inlineStr">
        <is>
          <t>WOOLFOLK CARBALLO FERNANDO</t>
        </is>
      </c>
      <c r="K64" t="inlineStr">
        <is>
          <t>N90</t>
        </is>
      </c>
      <c r="L64" t="inlineStr">
        <is>
          <t>(AP) NAFIN 90 Dias</t>
        </is>
      </c>
      <c r="M64" t="n">
        <v>10065403</v>
      </c>
      <c r="N64" t="inlineStr">
        <is>
          <t>GRAVA TRITURADA GRANITO 40 MM - 1 1/2"</t>
        </is>
      </c>
      <c r="O64" t="inlineStr">
        <is>
          <t>D853</t>
        </is>
      </c>
      <c r="P64" t="inlineStr">
        <is>
          <t>MX-CED. MEXICALI</t>
        </is>
      </c>
      <c r="Q64" t="n">
        <v>20241108</v>
      </c>
      <c r="R64" t="n">
        <v>20291231</v>
      </c>
      <c r="S64" t="n">
        <v>20241108</v>
      </c>
      <c r="T64" t="n">
        <v>20291231</v>
      </c>
      <c r="U64" t="n">
        <v>230</v>
      </c>
      <c r="V64" t="inlineStr">
        <is>
          <t>MXN</t>
        </is>
      </c>
      <c r="W64" t="inlineStr">
        <is>
          <t>M3</t>
        </is>
      </c>
      <c r="X64" t="n">
        <v>50</v>
      </c>
      <c r="Y64" t="inlineStr">
        <is>
          <t>MXN</t>
        </is>
      </c>
      <c r="Z64" t="inlineStr">
        <is>
          <t>M3</t>
        </is>
      </c>
      <c r="AA64" t="inlineStr">
        <is>
          <t>66650259</t>
        </is>
      </c>
      <c r="AB64" t="inlineStr">
        <is>
          <t>I8 CONCRETOS BAJA NOR DE MEXICALI S</t>
        </is>
      </c>
      <c r="AC64" t="n">
        <v>56103637</v>
      </c>
      <c r="AD64" t="n">
        <v>6622431540</v>
      </c>
      <c r="AE64" t="n">
        <v>4</v>
      </c>
      <c r="AF64" t="inlineStr">
        <is>
          <t>ENTREGA DIRECTA</t>
        </is>
      </c>
      <c r="AG64" t="n">
        <v>1.445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V1</t>
        </is>
      </c>
      <c r="AL64" t="n">
        <v>20260127</v>
      </c>
      <c r="AM64" t="inlineStr">
        <is>
          <t>D853-900009025-66650259-10065403-4</t>
        </is>
      </c>
    </row>
    <row r="65">
      <c r="A65" t="inlineStr">
        <is>
          <t>900009025D8536665025910048387</t>
        </is>
      </c>
      <c r="B65" t="inlineStr">
        <is>
          <t>4600070533-30</t>
        </is>
      </c>
      <c r="C65" t="n">
        <v>4600070533</v>
      </c>
      <c r="D65" t="n">
        <v>30</v>
      </c>
      <c r="E65" t="inlineStr">
        <is>
          <t>MXPO</t>
        </is>
      </c>
      <c r="F65" t="inlineStr">
        <is>
          <t>MXL</t>
        </is>
      </c>
      <c r="G65" t="n">
        <v>900009025</v>
      </c>
      <c r="H65" t="inlineStr">
        <is>
          <t>SF TP-ED FERNANDO WOOLFOLK</t>
        </is>
      </c>
      <c r="I65" t="n">
        <v>5081080</v>
      </c>
      <c r="J65" t="inlineStr">
        <is>
          <t>WOOLFOLK CARBALLO FERNANDO</t>
        </is>
      </c>
      <c r="K65" t="inlineStr">
        <is>
          <t>N90</t>
        </is>
      </c>
      <c r="L65" t="inlineStr">
        <is>
          <t>(AP) NAFIN 90 Dias</t>
        </is>
      </c>
      <c r="M65" t="n">
        <v>10048387</v>
      </c>
      <c r="N65" t="inlineStr">
        <is>
          <t>Grava Triturada Granito 10 mm - 3/8"</t>
        </is>
      </c>
      <c r="O65" t="inlineStr">
        <is>
          <t>D853</t>
        </is>
      </c>
      <c r="P65" t="inlineStr">
        <is>
          <t>MX-CED. MEXICALI</t>
        </is>
      </c>
      <c r="Q65" t="n">
        <v>20241108</v>
      </c>
      <c r="R65" t="n">
        <v>20291231</v>
      </c>
      <c r="S65" t="n">
        <v>20241108</v>
      </c>
      <c r="T65" t="n">
        <v>20291231</v>
      </c>
      <c r="U65" t="n">
        <v>260</v>
      </c>
      <c r="V65" t="inlineStr">
        <is>
          <t>MXN</t>
        </is>
      </c>
      <c r="W65" t="inlineStr">
        <is>
          <t>M3</t>
        </is>
      </c>
      <c r="X65" t="n">
        <v>50</v>
      </c>
      <c r="Y65" t="inlineStr">
        <is>
          <t>MXN</t>
        </is>
      </c>
      <c r="Z65" t="inlineStr">
        <is>
          <t>M3</t>
        </is>
      </c>
      <c r="AA65" t="inlineStr">
        <is>
          <t>66650259</t>
        </is>
      </c>
      <c r="AB65" t="inlineStr">
        <is>
          <t>I8 CONCRETOS BAJA NOR DE MEXICALI S</t>
        </is>
      </c>
      <c r="AC65" t="n">
        <v>56103637</v>
      </c>
      <c r="AD65" t="n">
        <v>6622431867</v>
      </c>
      <c r="AE65" t="n">
        <v>4</v>
      </c>
      <c r="AF65" t="inlineStr">
        <is>
          <t>ENTREGA DIRECTA</t>
        </is>
      </c>
      <c r="AG65" t="n">
        <v>1.43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V1</t>
        </is>
      </c>
      <c r="AL65" t="n">
        <v>20260127</v>
      </c>
      <c r="AM65" t="inlineStr">
        <is>
          <t>D853-900009025-66650259-10048387-4</t>
        </is>
      </c>
    </row>
    <row r="66">
      <c r="A66" t="inlineStr">
        <is>
          <t>900009025D8536665025910133053</t>
        </is>
      </c>
      <c r="B66" t="inlineStr">
        <is>
          <t>4600070533-10</t>
        </is>
      </c>
      <c r="C66" t="n">
        <v>4600070533</v>
      </c>
      <c r="D66" t="n">
        <v>10</v>
      </c>
      <c r="E66" t="inlineStr">
        <is>
          <t>MXPO</t>
        </is>
      </c>
      <c r="F66" t="inlineStr">
        <is>
          <t>MXL</t>
        </is>
      </c>
      <c r="G66" t="n">
        <v>900009025</v>
      </c>
      <c r="H66" t="inlineStr">
        <is>
          <t>SF TP-ED FERNANDO WOOLFOLK</t>
        </is>
      </c>
      <c r="I66" t="n">
        <v>5081080</v>
      </c>
      <c r="J66" t="inlineStr">
        <is>
          <t>WOOLFOLK CARBALLO FERNANDO</t>
        </is>
      </c>
      <c r="K66" t="inlineStr">
        <is>
          <t>N90</t>
        </is>
      </c>
      <c r="L66" t="inlineStr">
        <is>
          <t>(AP) NAFIN 90 Dias</t>
        </is>
      </c>
      <c r="M66" t="n">
        <v>10133053</v>
      </c>
      <c r="N66" t="inlineStr">
        <is>
          <t>GRAVA TRITURADA GRANITO 20 MM - 3/4"</t>
        </is>
      </c>
      <c r="O66" t="inlineStr">
        <is>
          <t>D853</t>
        </is>
      </c>
      <c r="P66" t="inlineStr">
        <is>
          <t>MX-CED. MEXICALI</t>
        </is>
      </c>
      <c r="Q66" t="n">
        <v>20241108</v>
      </c>
      <c r="R66" t="n">
        <v>20291231</v>
      </c>
      <c r="S66" t="n">
        <v>20241108</v>
      </c>
      <c r="T66" t="n">
        <v>20291231</v>
      </c>
      <c r="U66" t="n">
        <v>230</v>
      </c>
      <c r="V66" t="inlineStr">
        <is>
          <t>MXN</t>
        </is>
      </c>
      <c r="W66" t="inlineStr">
        <is>
          <t>M3</t>
        </is>
      </c>
      <c r="X66" t="n">
        <v>50</v>
      </c>
      <c r="Y66" t="inlineStr">
        <is>
          <t>MXN</t>
        </is>
      </c>
      <c r="Z66" t="inlineStr">
        <is>
          <t>M3</t>
        </is>
      </c>
      <c r="AA66" t="inlineStr">
        <is>
          <t>66650259</t>
        </is>
      </c>
      <c r="AB66" t="inlineStr">
        <is>
          <t>I8 CONCRETOS BAJA NOR DE MEXICALI S</t>
        </is>
      </c>
      <c r="AC66" t="n">
        <v>56103637</v>
      </c>
      <c r="AD66" t="n">
        <v>6622431540</v>
      </c>
      <c r="AE66" t="n">
        <v>4</v>
      </c>
      <c r="AF66" t="inlineStr">
        <is>
          <t>ENTREGA DIRECTA</t>
        </is>
      </c>
      <c r="AG66" t="n">
        <v>1.44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V1</t>
        </is>
      </c>
      <c r="AL66" t="n">
        <v>20260127</v>
      </c>
      <c r="AM66" t="inlineStr">
        <is>
          <t>D853-900009025-66650259-10133053-4</t>
        </is>
      </c>
    </row>
    <row r="67">
      <c r="A67" t="inlineStr">
        <is>
          <t>900009025D8536665025910260652</t>
        </is>
      </c>
      <c r="B67" t="inlineStr">
        <is>
          <t>4600070533-40</t>
        </is>
      </c>
      <c r="C67" t="n">
        <v>4600070533</v>
      </c>
      <c r="D67" t="n">
        <v>40</v>
      </c>
      <c r="E67" t="inlineStr">
        <is>
          <t>MXPO</t>
        </is>
      </c>
      <c r="F67" t="inlineStr">
        <is>
          <t>MXL</t>
        </is>
      </c>
      <c r="G67" t="n">
        <v>900009025</v>
      </c>
      <c r="H67" t="inlineStr">
        <is>
          <t>SF TP-ED FERNANDO WOOLFOLK</t>
        </is>
      </c>
      <c r="I67" t="n">
        <v>5081080</v>
      </c>
      <c r="J67" t="inlineStr">
        <is>
          <t>WOOLFOLK CARBALLO FERNANDO</t>
        </is>
      </c>
      <c r="K67" t="inlineStr">
        <is>
          <t>N90</t>
        </is>
      </c>
      <c r="L67" t="inlineStr">
        <is>
          <t>(AP) NAFIN 90 Dias</t>
        </is>
      </c>
      <c r="M67" t="n">
        <v>10260652</v>
      </c>
      <c r="N67" t="inlineStr">
        <is>
          <t>ARENA CLASIFICADA RÍO #4 LAVADA</t>
        </is>
      </c>
      <c r="O67" t="inlineStr">
        <is>
          <t>D853</t>
        </is>
      </c>
      <c r="P67" t="inlineStr">
        <is>
          <t>MX-CED. MEXICALI</t>
        </is>
      </c>
      <c r="Q67" t="n">
        <v>20241108</v>
      </c>
      <c r="R67" t="n">
        <v>20291231</v>
      </c>
      <c r="S67" t="n">
        <v>20241108</v>
      </c>
      <c r="T67" t="n">
        <v>20291231</v>
      </c>
      <c r="U67" t="n">
        <v>170</v>
      </c>
      <c r="V67" t="inlineStr">
        <is>
          <t>MXN</t>
        </is>
      </c>
      <c r="W67" t="inlineStr">
        <is>
          <t>M3</t>
        </is>
      </c>
      <c r="X67" t="n">
        <v>50</v>
      </c>
      <c r="Y67" t="inlineStr">
        <is>
          <t>MXN</t>
        </is>
      </c>
      <c r="Z67" t="inlineStr">
        <is>
          <t>M3</t>
        </is>
      </c>
      <c r="AA67" t="inlineStr">
        <is>
          <t>66650259</t>
        </is>
      </c>
      <c r="AB67" t="inlineStr">
        <is>
          <t>I8 CONCRETOS BAJA NOR DE MEXICALI S</t>
        </is>
      </c>
      <c r="AC67" t="n">
        <v>56103638</v>
      </c>
      <c r="AD67" t="n">
        <v>6622431540</v>
      </c>
      <c r="AE67" t="n">
        <v>4</v>
      </c>
      <c r="AF67" t="inlineStr">
        <is>
          <t>ENTREGA DIRECTA</t>
        </is>
      </c>
      <c r="AG67" t="n">
        <v>1.461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V1</t>
        </is>
      </c>
      <c r="AL67" t="n">
        <v>20260127</v>
      </c>
      <c r="AM67" t="inlineStr">
        <is>
          <t>D853-900009025-66650259-10260652-4</t>
        </is>
      </c>
    </row>
    <row r="68">
      <c r="A68" t="inlineStr">
        <is>
          <t>900005092D85310144288</t>
        </is>
      </c>
      <c r="B68" t="inlineStr">
        <is>
          <t>4600036854-30</t>
        </is>
      </c>
      <c r="C68" t="n">
        <v>4600036854</v>
      </c>
      <c r="D68" t="n">
        <v>30</v>
      </c>
      <c r="E68" t="inlineStr">
        <is>
          <t>MXPO</t>
        </is>
      </c>
      <c r="F68" t="inlineStr">
        <is>
          <t>MXL</t>
        </is>
      </c>
      <c r="G68" t="n">
        <v>900005092</v>
      </c>
      <c r="H68" t="inlineStr">
        <is>
          <t>SF TP- SEXTIN MEXICALI</t>
        </is>
      </c>
      <c r="I68" t="n">
        <v>5042038</v>
      </c>
      <c r="J68" t="inlineStr">
        <is>
          <t>CONSTRUCTORA SEXTIN  SA DE CV</t>
        </is>
      </c>
      <c r="K68" t="inlineStr">
        <is>
          <t>N120</t>
        </is>
      </c>
      <c r="L68" t="inlineStr">
        <is>
          <t>(AP) NAFIN 120 Dias</t>
        </is>
      </c>
      <c r="M68" t="n">
        <v>10144288</v>
      </c>
      <c r="N68" t="inlineStr">
        <is>
          <t>ARENA CLASIFICADA RÍO MALLA 4 - LAVADO</t>
        </is>
      </c>
      <c r="O68" t="inlineStr">
        <is>
          <t>D853</t>
        </is>
      </c>
      <c r="P68" t="inlineStr">
        <is>
          <t>MX-CED. MEXICALI</t>
        </is>
      </c>
      <c r="Q68" t="n">
        <v>20170210</v>
      </c>
      <c r="R68" t="n">
        <v>20241231</v>
      </c>
      <c r="S68" t="n">
        <v>20201201</v>
      </c>
      <c r="T68" t="n">
        <v>20291231</v>
      </c>
      <c r="U68" t="n">
        <v>103</v>
      </c>
      <c r="V68" t="inlineStr">
        <is>
          <t>MXN</t>
        </is>
      </c>
      <c r="W68" t="inlineStr">
        <is>
          <t>M3</t>
        </is>
      </c>
      <c r="AC68" t="n">
        <v>56103638</v>
      </c>
      <c r="AD68" t="n">
        <v>6622431540</v>
      </c>
      <c r="AE68" t="n">
        <v>1</v>
      </c>
      <c r="AF68" t="inlineStr">
        <is>
          <t>ENTREGADO</t>
        </is>
      </c>
      <c r="AG68" t="n">
        <v>1.415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D853-900005092-10144288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2026-09-14T14:20:28Z</dcterms:created>
  <dcterms:modified xsi:type="dcterms:W3CDTF">2026-09-14T14:20:29Z</dcterms:modified>
</cp:coreProperties>
</file>