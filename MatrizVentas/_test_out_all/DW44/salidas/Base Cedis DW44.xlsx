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44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900009271</t>
        </is>
      </c>
      <c r="B3" s="8" t="inlineStr">
        <is>
          <t>SF TC-ALIANCO MAQAR 2</t>
        </is>
      </c>
      <c r="C3" s="7" t="inlineStr">
        <is>
          <t>DW44</t>
        </is>
      </c>
      <c r="D3" s="7" t="inlineStr">
        <is>
          <t>D343</t>
        </is>
      </c>
      <c r="E3" s="7" t="inlineStr">
        <is>
          <t>1</t>
        </is>
      </c>
      <c r="F3" s="8" t="inlineStr"/>
      <c r="G3" s="8" t="inlineStr">
        <is>
          <t>10151191</t>
        </is>
      </c>
      <c r="H3" s="8" t="inlineStr">
        <is>
          <t>GRAVA TRITURADA CALIZA 40MM 1 ½#</t>
        </is>
      </c>
      <c r="I3" s="9" t="n">
        <v>1287</v>
      </c>
      <c r="J3" s="7" t="inlineStr">
        <is>
          <t>20250905</t>
        </is>
      </c>
      <c r="K3" s="7" t="inlineStr">
        <is>
          <t>99991231</t>
        </is>
      </c>
      <c r="L3" s="10" t="n">
        <v>287.49</v>
      </c>
      <c r="M3" s="10" t="n">
        <v>83.76000000000001</v>
      </c>
      <c r="N3" s="7" t="inlineStr">
        <is>
          <t>TN</t>
        </is>
      </c>
      <c r="O3" s="10" t="n">
        <v>205.5</v>
      </c>
      <c r="P3" s="7" t="inlineStr">
        <is>
          <t>M3</t>
        </is>
      </c>
      <c r="Q3" s="10">
        <f>IF(AND(N3="TN",P3="TN"),L3+N(M3),IF(E3&amp;""="1",N(I3)*L3,(L3+N(M3))*N(I3)))</f>
        <v/>
      </c>
      <c r="R3" s="11">
        <f>O3-Q3</f>
        <v/>
      </c>
    </row>
    <row r="4">
      <c r="A4" s="7" t="inlineStr">
        <is>
          <t>900009271</t>
        </is>
      </c>
      <c r="B4" s="8" t="inlineStr">
        <is>
          <t>SF TC-ALIANCO MAQAR 2</t>
        </is>
      </c>
      <c r="C4" s="7" t="inlineStr">
        <is>
          <t>DW44</t>
        </is>
      </c>
      <c r="D4" s="7" t="inlineStr">
        <is>
          <t>D358</t>
        </is>
      </c>
      <c r="E4" s="7" t="inlineStr">
        <is>
          <t>1</t>
        </is>
      </c>
      <c r="F4" s="8" t="inlineStr"/>
      <c r="G4" s="8" t="inlineStr">
        <is>
          <t>10151191</t>
        </is>
      </c>
      <c r="H4" s="8" t="inlineStr">
        <is>
          <t>GRAVA TRITURADA CALIZA 40MM 1 ½#</t>
        </is>
      </c>
      <c r="I4" s="9" t="n">
        <v>1287</v>
      </c>
      <c r="J4" s="7" t="inlineStr">
        <is>
          <t>20250919</t>
        </is>
      </c>
      <c r="K4" s="7" t="inlineStr">
        <is>
          <t>99991231</t>
        </is>
      </c>
      <c r="L4" s="10" t="n">
        <v>287.49</v>
      </c>
      <c r="M4" s="10" t="n">
        <v>87.56999999999999</v>
      </c>
      <c r="N4" s="7" t="inlineStr">
        <is>
          <t>TN</t>
        </is>
      </c>
      <c r="O4" s="10" t="n">
        <v>205.5</v>
      </c>
      <c r="P4" s="7" t="inlineStr">
        <is>
          <t>M3</t>
        </is>
      </c>
      <c r="Q4" s="10">
        <f>IF(AND(N4="TN",P4="TN"),L4+N(M4),IF(E4&amp;""="1",N(I4)*L4,(L4+N(M4))*N(I4)))</f>
        <v/>
      </c>
      <c r="R4" s="11">
        <f>O4-Q4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900009271</t>
        </is>
      </c>
      <c r="B2" t="inlineStr">
        <is>
          <t>DW44</t>
        </is>
      </c>
      <c r="C2" t="inlineStr">
        <is>
          <t>D343</t>
        </is>
      </c>
      <c r="D2" t="inlineStr">
        <is>
          <t>10151191</t>
        </is>
      </c>
      <c r="E2" t="inlineStr"/>
      <c r="F2" s="12" t="n">
        <v>287.49</v>
      </c>
      <c r="G2" t="inlineStr"/>
      <c r="I2" t="inlineStr">
        <is>
          <t>TN</t>
        </is>
      </c>
      <c r="J2" t="inlineStr"/>
      <c r="K2" t="inlineStr">
        <is>
          <t>20250905</t>
        </is>
      </c>
      <c r="L2" t="inlineStr">
        <is>
          <t>99991231</t>
        </is>
      </c>
    </row>
    <row r="3">
      <c r="A3" t="inlineStr">
        <is>
          <t>900009271</t>
        </is>
      </c>
      <c r="B3" t="inlineStr">
        <is>
          <t>DW44</t>
        </is>
      </c>
      <c r="C3" t="inlineStr">
        <is>
          <t>D358</t>
        </is>
      </c>
      <c r="D3" t="inlineStr">
        <is>
          <t>10151191</t>
        </is>
      </c>
      <c r="E3" t="inlineStr"/>
      <c r="F3" s="12" t="n">
        <v>287.49</v>
      </c>
      <c r="G3" t="inlineStr"/>
      <c r="I3" t="inlineStr">
        <is>
          <t>TN</t>
        </is>
      </c>
      <c r="J3" t="inlineStr"/>
      <c r="K3" t="inlineStr">
        <is>
          <t>20250919</t>
        </is>
      </c>
      <c r="L3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900009271DW44D34310151191</t>
        </is>
      </c>
      <c r="B2" t="inlineStr">
        <is>
          <t>900009271</t>
        </is>
      </c>
      <c r="C2" t="inlineStr">
        <is>
          <t>DW44</t>
        </is>
      </c>
      <c r="D2" t="inlineStr">
        <is>
          <t>D343</t>
        </is>
      </c>
      <c r="E2" t="inlineStr">
        <is>
          <t>1</t>
        </is>
      </c>
      <c r="F2" t="inlineStr">
        <is>
          <t>10151191</t>
        </is>
      </c>
      <c r="H2" t="inlineStr"/>
      <c r="J2" t="n">
        <v>83.76000000000001</v>
      </c>
      <c r="K2" t="inlineStr"/>
      <c r="M2" t="inlineStr">
        <is>
          <t>TN</t>
        </is>
      </c>
      <c r="N2" t="inlineStr"/>
      <c r="P2" t="inlineStr">
        <is>
          <t>20250905</t>
        </is>
      </c>
      <c r="Q2" t="inlineStr">
        <is>
          <t>99991231</t>
        </is>
      </c>
    </row>
    <row r="3">
      <c r="A3" t="inlineStr">
        <is>
          <t>900009271DW44D35810151191</t>
        </is>
      </c>
      <c r="B3" t="inlineStr">
        <is>
          <t>900009271</t>
        </is>
      </c>
      <c r="C3" t="inlineStr">
        <is>
          <t>DW44</t>
        </is>
      </c>
      <c r="D3" t="inlineStr">
        <is>
          <t>D358</t>
        </is>
      </c>
      <c r="E3" t="inlineStr">
        <is>
          <t>1</t>
        </is>
      </c>
      <c r="F3" t="inlineStr">
        <is>
          <t>10151191</t>
        </is>
      </c>
      <c r="H3" t="inlineStr"/>
      <c r="J3" t="n">
        <v>87.56999999999999</v>
      </c>
      <c r="K3" t="inlineStr"/>
      <c r="M3" t="inlineStr">
        <is>
          <t>TN</t>
        </is>
      </c>
      <c r="N3" t="inlineStr"/>
      <c r="P3" t="inlineStr">
        <is>
          <t>20250919</t>
        </is>
      </c>
      <c r="Q3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900009271DW4410151191</t>
        </is>
      </c>
      <c r="B2" t="inlineStr">
        <is>
          <t>4600071622-10</t>
        </is>
      </c>
      <c r="C2" t="n">
        <v>4600071622</v>
      </c>
      <c r="D2" t="n">
        <v>10</v>
      </c>
      <c r="E2" t="inlineStr">
        <is>
          <t>MXPO</t>
        </is>
      </c>
      <c r="F2" t="inlineStr">
        <is>
          <t>MXL</t>
        </is>
      </c>
      <c r="G2" t="n">
        <v>900009271</v>
      </c>
      <c r="H2" t="inlineStr">
        <is>
          <t>SF TC-ALIANCO MAQAR 2</t>
        </is>
      </c>
      <c r="I2" t="n">
        <v>5086713</v>
      </c>
      <c r="J2" t="inlineStr">
        <is>
          <t>MINERIA Y SERVICIOS INDUSTRIALES AL</t>
        </is>
      </c>
      <c r="K2" t="inlineStr">
        <is>
          <t>N30</t>
        </is>
      </c>
      <c r="L2" t="inlineStr">
        <is>
          <t>(AP) NAFIN 30 Dias</t>
        </is>
      </c>
      <c r="M2" t="n">
        <v>10151191</v>
      </c>
      <c r="N2" t="inlineStr">
        <is>
          <t xml:space="preserve">GRAVA TRITURADA CALIZA 40MM 1 ½# </t>
        </is>
      </c>
      <c r="O2" t="inlineStr">
        <is>
          <t>DW44</t>
        </is>
      </c>
      <c r="P2" t="inlineStr">
        <is>
          <t>MX-CEDIS MAQAR II</t>
        </is>
      </c>
      <c r="Q2" t="n">
        <v>20250905</v>
      </c>
      <c r="R2" t="n">
        <v>20301231</v>
      </c>
      <c r="S2" t="n">
        <v>20250905</v>
      </c>
      <c r="T2" t="n">
        <v>20301231</v>
      </c>
      <c r="U2" t="n">
        <v>205.5</v>
      </c>
      <c r="V2" t="inlineStr">
        <is>
          <t>MXN</t>
        </is>
      </c>
      <c r="W2" t="inlineStr">
        <is>
          <t>M3</t>
        </is>
      </c>
      <c r="X2" t="n">
        <v>0</v>
      </c>
      <c r="Y2" t="inlineStr">
        <is>
          <t>MXN</t>
        </is>
      </c>
      <c r="Z2" t="inlineStr">
        <is>
          <t>M3</t>
        </is>
      </c>
      <c r="AC2" t="n">
        <v>56103637</v>
      </c>
      <c r="AD2" t="n">
        <v>6644731540</v>
      </c>
      <c r="AE2" t="n">
        <v>1</v>
      </c>
      <c r="AF2" t="inlineStr">
        <is>
          <t>ENTREGADO</t>
        </is>
      </c>
      <c r="AG2" t="n">
        <v>1.287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20251103</v>
      </c>
      <c r="AM2" t="inlineStr">
        <is>
          <t>DW44-900009271-10151191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2026-09-14T14:21:24Z</dcterms:created>
  <dcterms:modified xsi:type="dcterms:W3CDTF">2026-09-14T14:21:24Z</dcterms:modified>
</cp:coreProperties>
</file>