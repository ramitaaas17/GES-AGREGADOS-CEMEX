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7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900000023</v>
      </c>
      <c r="D3" s="7">
        <f>IFERROR(VLOOKUP(C3,TRAOPE!$G:$H,2,0),"")</f>
        <v/>
      </c>
      <c r="E3" s="8" t="inlineStr">
        <is>
          <t>DW75</t>
        </is>
      </c>
      <c r="F3" s="8" t="inlineStr">
        <is>
          <t>D278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10000742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20220516</t>
        </is>
      </c>
      <c r="M3" s="8" t="inlineStr">
        <is>
          <t>20240822</t>
        </is>
      </c>
      <c r="N3" s="10" t="n">
        <v/>
      </c>
      <c r="O3" s="10">
        <f>IFERROR(VLOOKUP(A3,Flete!$A:$J,10,0),"")</f>
        <v/>
      </c>
      <c r="P3" s="8" t="inlineStr"/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900000023</v>
      </c>
      <c r="D4" s="7">
        <f>IFERROR(VLOOKUP(C4,TRAOPE!$G:$H,2,0),"")</f>
        <v/>
      </c>
      <c r="E4" s="8" t="inlineStr">
        <is>
          <t>DW75</t>
        </is>
      </c>
      <c r="F4" s="8" t="inlineStr">
        <is>
          <t>D278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10009436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20220516</t>
        </is>
      </c>
      <c r="M4" s="8" t="inlineStr">
        <is>
          <t>20240822</t>
        </is>
      </c>
      <c r="N4" s="10" t="n">
        <v>249.61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900000023</v>
      </c>
      <c r="D5" s="7">
        <f>IFERROR(VLOOKUP(C5,TRAOPE!$G:$H,2,0),"")</f>
        <v/>
      </c>
      <c r="E5" s="8" t="inlineStr">
        <is>
          <t>DW75</t>
        </is>
      </c>
      <c r="F5" s="8" t="inlineStr">
        <is>
          <t>D278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10031878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20220516</t>
        </is>
      </c>
      <c r="M5" s="8" t="inlineStr">
        <is>
          <t>20240822</t>
        </is>
      </c>
      <c r="N5" s="10" t="n">
        <v>267.26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900000023</v>
      </c>
      <c r="D6" s="7">
        <f>IFERROR(VLOOKUP(C6,TRAOPE!$G:$H,2,0),"")</f>
        <v/>
      </c>
      <c r="E6" s="8" t="inlineStr">
        <is>
          <t>DW75</t>
        </is>
      </c>
      <c r="F6" s="8" t="inlineStr">
        <is>
          <t>D278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10032115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20220516</t>
        </is>
      </c>
      <c r="M6" s="8" t="inlineStr">
        <is>
          <t>20240822</t>
        </is>
      </c>
      <c r="N6" s="10" t="n">
        <v>255.79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900000023</v>
      </c>
      <c r="D7" s="7">
        <f>IFERROR(VLOOKUP(C7,TRAOPE!$G:$H,2,0),"")</f>
        <v/>
      </c>
      <c r="E7" s="8" t="inlineStr">
        <is>
          <t>DW75</t>
        </is>
      </c>
      <c r="F7" s="8" t="inlineStr">
        <is>
          <t>D278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10032164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20220516</t>
        </is>
      </c>
      <c r="M7" s="8" t="inlineStr">
        <is>
          <t>20240822</t>
        </is>
      </c>
      <c r="N7" s="10" t="n">
        <v>274.59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900000023</v>
      </c>
      <c r="D8" s="7">
        <f>IFERROR(VLOOKUP(C8,TRAOPE!$G:$H,2,0),"")</f>
        <v/>
      </c>
      <c r="E8" s="8" t="inlineStr">
        <is>
          <t>DW75</t>
        </is>
      </c>
      <c r="F8" s="8" t="inlineStr">
        <is>
          <t>D278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10036583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20220516</t>
        </is>
      </c>
      <c r="M8" s="8" t="inlineStr">
        <is>
          <t>20240822</t>
        </is>
      </c>
      <c r="N8" s="10" t="n">
        <v>247.59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900000023</v>
      </c>
      <c r="D9" s="7">
        <f>IFERROR(VLOOKUP(C9,TRAOPE!$G:$H,2,0),"")</f>
        <v/>
      </c>
      <c r="E9" s="8" t="inlineStr">
        <is>
          <t>DW75</t>
        </is>
      </c>
      <c r="F9" s="8" t="inlineStr">
        <is>
          <t>D312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10000742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20220516</t>
        </is>
      </c>
      <c r="M9" s="8" t="inlineStr">
        <is>
          <t>20240822</t>
        </is>
      </c>
      <c r="N9" s="10" t="n">
        <v>159.27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900000023</v>
      </c>
      <c r="D10" s="7">
        <f>IFERROR(VLOOKUP(C10,TRAOPE!$G:$H,2,0),"")</f>
        <v/>
      </c>
      <c r="E10" s="8" t="inlineStr">
        <is>
          <t>DW75</t>
        </is>
      </c>
      <c r="F10" s="8" t="inlineStr">
        <is>
          <t>D312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10009436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20220516</t>
        </is>
      </c>
      <c r="M10" s="8" t="inlineStr">
        <is>
          <t>20240822</t>
        </is>
      </c>
      <c r="N10" s="10" t="n">
        <v>249.61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900000023</v>
      </c>
      <c r="D11" s="7">
        <f>IFERROR(VLOOKUP(C11,TRAOPE!$G:$H,2,0),"")</f>
        <v/>
      </c>
      <c r="E11" s="8" t="inlineStr">
        <is>
          <t>DW75</t>
        </is>
      </c>
      <c r="F11" s="8" t="inlineStr">
        <is>
          <t>D312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10031878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20220516</t>
        </is>
      </c>
      <c r="M11" s="8" t="inlineStr">
        <is>
          <t>20240822</t>
        </is>
      </c>
      <c r="N11" s="10" t="n">
        <v>267.26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900000023</v>
      </c>
      <c r="D12" s="7">
        <f>IFERROR(VLOOKUP(C12,TRAOPE!$G:$H,2,0),"")</f>
        <v/>
      </c>
      <c r="E12" s="8" t="inlineStr">
        <is>
          <t>DW75</t>
        </is>
      </c>
      <c r="F12" s="8" t="inlineStr">
        <is>
          <t>D312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10032115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20220516</t>
        </is>
      </c>
      <c r="M12" s="8" t="inlineStr">
        <is>
          <t>20240822</t>
        </is>
      </c>
      <c r="N12" s="10" t="n">
        <v>255.79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900000023</v>
      </c>
      <c r="D13" s="7">
        <f>IFERROR(VLOOKUP(C13,TRAOPE!$G:$H,2,0),"")</f>
        <v/>
      </c>
      <c r="E13" s="8" t="inlineStr">
        <is>
          <t>DW75</t>
        </is>
      </c>
      <c r="F13" s="8" t="inlineStr">
        <is>
          <t>D312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10032164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20220516</t>
        </is>
      </c>
      <c r="M13" s="8" t="inlineStr">
        <is>
          <t>20240822</t>
        </is>
      </c>
      <c r="N13" s="10" t="n">
        <v>274.59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900000023</v>
      </c>
      <c r="D14" s="7">
        <f>IFERROR(VLOOKUP(C14,TRAOPE!$G:$H,2,0),"")</f>
        <v/>
      </c>
      <c r="E14" s="8" t="inlineStr">
        <is>
          <t>DW75</t>
        </is>
      </c>
      <c r="F14" s="8" t="inlineStr">
        <is>
          <t>D312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10036583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20220516</t>
        </is>
      </c>
      <c r="M14" s="8" t="inlineStr">
        <is>
          <t>20240822</t>
        </is>
      </c>
      <c r="N14" s="10" t="n">
        <v>247.59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900000023</v>
      </c>
      <c r="D15" s="7">
        <f>IFERROR(VLOOKUP(C15,TRAOPE!$G:$H,2,0),"")</f>
        <v/>
      </c>
      <c r="E15" s="8" t="inlineStr">
        <is>
          <t>DW75</t>
        </is>
      </c>
      <c r="F15" s="8" t="inlineStr">
        <is>
          <t>D327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10000742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20220516</t>
        </is>
      </c>
      <c r="M15" s="8" t="inlineStr">
        <is>
          <t>20240822</t>
        </is>
      </c>
      <c r="N15" s="10" t="n">
        <v>159.27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900000023</v>
      </c>
      <c r="D16" s="7">
        <f>IFERROR(VLOOKUP(C16,TRAOPE!$G:$H,2,0),"")</f>
        <v/>
      </c>
      <c r="E16" s="8" t="inlineStr">
        <is>
          <t>DW75</t>
        </is>
      </c>
      <c r="F16" s="8" t="inlineStr">
        <is>
          <t>D327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10009436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20220516</t>
        </is>
      </c>
      <c r="M16" s="8" t="inlineStr">
        <is>
          <t>20240822</t>
        </is>
      </c>
      <c r="N16" s="10" t="n">
        <v>249.61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900000023</v>
      </c>
      <c r="D17" s="7">
        <f>IFERROR(VLOOKUP(C17,TRAOPE!$G:$H,2,0),"")</f>
        <v/>
      </c>
      <c r="E17" s="8" t="inlineStr">
        <is>
          <t>DW75</t>
        </is>
      </c>
      <c r="F17" s="8" t="inlineStr">
        <is>
          <t>D327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10031878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20220516</t>
        </is>
      </c>
      <c r="M17" s="8" t="inlineStr">
        <is>
          <t>20240822</t>
        </is>
      </c>
      <c r="N17" s="10" t="n">
        <v>267.26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900000023</v>
      </c>
      <c r="D18" s="7">
        <f>IFERROR(VLOOKUP(C18,TRAOPE!$G:$H,2,0),"")</f>
        <v/>
      </c>
      <c r="E18" s="8" t="inlineStr">
        <is>
          <t>DW75</t>
        </is>
      </c>
      <c r="F18" s="8" t="inlineStr">
        <is>
          <t>D327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10032115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20220516</t>
        </is>
      </c>
      <c r="M18" s="8" t="inlineStr">
        <is>
          <t>20240822</t>
        </is>
      </c>
      <c r="N18" s="10" t="n">
        <v>255.79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900000023</v>
      </c>
      <c r="D19" s="7">
        <f>IFERROR(VLOOKUP(C19,TRAOPE!$G:$H,2,0),"")</f>
        <v/>
      </c>
      <c r="E19" s="8" t="inlineStr">
        <is>
          <t>DW75</t>
        </is>
      </c>
      <c r="F19" s="8" t="inlineStr">
        <is>
          <t>D327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10032164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20220516</t>
        </is>
      </c>
      <c r="M19" s="8" t="inlineStr">
        <is>
          <t>20240822</t>
        </is>
      </c>
      <c r="N19" s="10" t="n">
        <v>274.59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900000023</v>
      </c>
      <c r="D20" s="7">
        <f>IFERROR(VLOOKUP(C20,TRAOPE!$G:$H,2,0),"")</f>
        <v/>
      </c>
      <c r="E20" s="8" t="inlineStr">
        <is>
          <t>DW75</t>
        </is>
      </c>
      <c r="F20" s="8" t="inlineStr">
        <is>
          <t>D327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10036583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20220516</t>
        </is>
      </c>
      <c r="M20" s="8" t="inlineStr">
        <is>
          <t>20240822</t>
        </is>
      </c>
      <c r="N20" s="10" t="n">
        <v>247.59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900000023</v>
      </c>
      <c r="D21" s="7">
        <f>IFERROR(VLOOKUP(C21,TRAOPE!$G:$H,2,0),"")</f>
        <v/>
      </c>
      <c r="E21" s="8" t="inlineStr">
        <is>
          <t>DW75</t>
        </is>
      </c>
      <c r="F21" s="8" t="inlineStr">
        <is>
          <t>D331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10000742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20220516</t>
        </is>
      </c>
      <c r="M21" s="8" t="inlineStr">
        <is>
          <t>20240822</t>
        </is>
      </c>
      <c r="N21" s="10" t="n">
        <v>152.34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900000023</v>
      </c>
      <c r="D22" s="7">
        <f>IFERROR(VLOOKUP(C22,TRAOPE!$G:$H,2,0),"")</f>
        <v/>
      </c>
      <c r="E22" s="8" t="inlineStr">
        <is>
          <t>DW75</t>
        </is>
      </c>
      <c r="F22" s="8" t="inlineStr">
        <is>
          <t>D331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10009436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20220516</t>
        </is>
      </c>
      <c r="M22" s="8" t="inlineStr">
        <is>
          <t>20240822</t>
        </is>
      </c>
      <c r="N22" s="10" t="n">
        <v>239.01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900000023</v>
      </c>
      <c r="D23" s="7">
        <f>IFERROR(VLOOKUP(C23,TRAOPE!$G:$H,2,0),"")</f>
        <v/>
      </c>
      <c r="E23" s="8" t="inlineStr">
        <is>
          <t>DW75</t>
        </is>
      </c>
      <c r="F23" s="8" t="inlineStr">
        <is>
          <t>D331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10031878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20220516</t>
        </is>
      </c>
      <c r="M23" s="8" t="inlineStr">
        <is>
          <t>20240822</t>
        </is>
      </c>
      <c r="N23" s="10" t="n">
        <v>255.84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900000023</v>
      </c>
      <c r="D24" s="7">
        <f>IFERROR(VLOOKUP(C24,TRAOPE!$G:$H,2,0),"")</f>
        <v/>
      </c>
      <c r="E24" s="8" t="inlineStr">
        <is>
          <t>DW75</t>
        </is>
      </c>
      <c r="F24" s="8" t="inlineStr">
        <is>
          <t>D331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10032115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20220516</t>
        </is>
      </c>
      <c r="M24" s="8" t="inlineStr">
        <is>
          <t>20240822</t>
        </is>
      </c>
      <c r="N24" s="10" t="n">
        <v>244.86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900000023</v>
      </c>
      <c r="D25" s="7">
        <f>IFERROR(VLOOKUP(C25,TRAOPE!$G:$H,2,0),"")</f>
        <v/>
      </c>
      <c r="E25" s="8" t="inlineStr">
        <is>
          <t>DW75</t>
        </is>
      </c>
      <c r="F25" s="8" t="inlineStr">
        <is>
          <t>D331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10032164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20220516</t>
        </is>
      </c>
      <c r="M25" s="8" t="inlineStr">
        <is>
          <t>20240822</t>
        </is>
      </c>
      <c r="N25" s="10" t="n">
        <v>262.93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900000023</v>
      </c>
      <c r="D26" s="7">
        <f>IFERROR(VLOOKUP(C26,TRAOPE!$G:$H,2,0),"")</f>
        <v/>
      </c>
      <c r="E26" s="8" t="inlineStr">
        <is>
          <t>DW75</t>
        </is>
      </c>
      <c r="F26" s="8" t="inlineStr">
        <is>
          <t>D331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10036583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20220516</t>
        </is>
      </c>
      <c r="M26" s="8" t="inlineStr">
        <is>
          <t>20240822</t>
        </is>
      </c>
      <c r="N26" s="10" t="n">
        <v>236.68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900000023</v>
      </c>
      <c r="D27" s="7">
        <f>IFERROR(VLOOKUP(C27,TRAOPE!$G:$H,2,0),"")</f>
        <v/>
      </c>
      <c r="E27" s="8" t="inlineStr">
        <is>
          <t>DW75</t>
        </is>
      </c>
      <c r="F27" s="8" t="inlineStr">
        <is>
          <t>D343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10000742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20220516</t>
        </is>
      </c>
      <c r="M27" s="8" t="inlineStr">
        <is>
          <t>20240822</t>
        </is>
      </c>
      <c r="N27" s="10" t="n">
        <v>159.27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900000023</v>
      </c>
      <c r="D28" s="7">
        <f>IFERROR(VLOOKUP(C28,TRAOPE!$G:$H,2,0),"")</f>
        <v/>
      </c>
      <c r="E28" s="8" t="inlineStr">
        <is>
          <t>DW75</t>
        </is>
      </c>
      <c r="F28" s="8" t="inlineStr">
        <is>
          <t>D343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10009436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20220516</t>
        </is>
      </c>
      <c r="M28" s="8" t="inlineStr">
        <is>
          <t>20240822</t>
        </is>
      </c>
      <c r="N28" s="10" t="n">
        <v>249.61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900000023</v>
      </c>
      <c r="D29" s="7">
        <f>IFERROR(VLOOKUP(C29,TRAOPE!$G:$H,2,0),"")</f>
        <v/>
      </c>
      <c r="E29" s="8" t="inlineStr">
        <is>
          <t>DW75</t>
        </is>
      </c>
      <c r="F29" s="8" t="inlineStr">
        <is>
          <t>D343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10031878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20220516</t>
        </is>
      </c>
      <c r="M29" s="8" t="inlineStr">
        <is>
          <t>20240822</t>
        </is>
      </c>
      <c r="N29" s="10" t="n">
        <v>267.26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900000023</v>
      </c>
      <c r="D30" s="7">
        <f>IFERROR(VLOOKUP(C30,TRAOPE!$G:$H,2,0),"")</f>
        <v/>
      </c>
      <c r="E30" s="8" t="inlineStr">
        <is>
          <t>DW75</t>
        </is>
      </c>
      <c r="F30" s="8" t="inlineStr">
        <is>
          <t>D343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10032115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20220516</t>
        </is>
      </c>
      <c r="M30" s="8" t="inlineStr">
        <is>
          <t>20240822</t>
        </is>
      </c>
      <c r="N30" s="10" t="n">
        <v>255.79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900000023</v>
      </c>
      <c r="D31" s="7">
        <f>IFERROR(VLOOKUP(C31,TRAOPE!$G:$H,2,0),"")</f>
        <v/>
      </c>
      <c r="E31" s="8" t="inlineStr">
        <is>
          <t>DW75</t>
        </is>
      </c>
      <c r="F31" s="8" t="inlineStr">
        <is>
          <t>D343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10032164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20220516</t>
        </is>
      </c>
      <c r="M31" s="8" t="inlineStr">
        <is>
          <t>20240822</t>
        </is>
      </c>
      <c r="N31" s="10" t="n">
        <v>274.59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900000023</v>
      </c>
      <c r="D32" s="7">
        <f>IFERROR(VLOOKUP(C32,TRAOPE!$G:$H,2,0),"")</f>
        <v/>
      </c>
      <c r="E32" s="8" t="inlineStr">
        <is>
          <t>DW75</t>
        </is>
      </c>
      <c r="F32" s="8" t="inlineStr">
        <is>
          <t>D343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10036583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20220516</t>
        </is>
      </c>
      <c r="M32" s="8" t="inlineStr">
        <is>
          <t>20240822</t>
        </is>
      </c>
      <c r="N32" s="10" t="n">
        <v>247.59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900000023</v>
      </c>
      <c r="D33" s="7">
        <f>IFERROR(VLOOKUP(C33,TRAOPE!$G:$H,2,0),"")</f>
        <v/>
      </c>
      <c r="E33" s="8" t="inlineStr">
        <is>
          <t>DW75</t>
        </is>
      </c>
      <c r="F33" s="8" t="inlineStr">
        <is>
          <t>D349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10000742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20220516</t>
        </is>
      </c>
      <c r="M33" s="8" t="inlineStr">
        <is>
          <t>20240822</t>
        </is>
      </c>
      <c r="N33" s="10" t="n">
        <v>159.27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900000023</v>
      </c>
      <c r="D34" s="7">
        <f>IFERROR(VLOOKUP(C34,TRAOPE!$G:$H,2,0),"")</f>
        <v/>
      </c>
      <c r="E34" s="8" t="inlineStr">
        <is>
          <t>DW75</t>
        </is>
      </c>
      <c r="F34" s="8" t="inlineStr">
        <is>
          <t>D349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10009436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20220516</t>
        </is>
      </c>
      <c r="M34" s="8" t="inlineStr">
        <is>
          <t>20240822</t>
        </is>
      </c>
      <c r="N34" s="10" t="n">
        <v>249.61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900000023</v>
      </c>
      <c r="D35" s="7">
        <f>IFERROR(VLOOKUP(C35,TRAOPE!$G:$H,2,0),"")</f>
        <v/>
      </c>
      <c r="E35" s="8" t="inlineStr">
        <is>
          <t>DW75</t>
        </is>
      </c>
      <c r="F35" s="8" t="inlineStr">
        <is>
          <t>D349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10031878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20220516</t>
        </is>
      </c>
      <c r="M35" s="8" t="inlineStr">
        <is>
          <t>20240822</t>
        </is>
      </c>
      <c r="N35" s="10" t="n">
        <v>267.26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900000023</v>
      </c>
      <c r="D36" s="7">
        <f>IFERROR(VLOOKUP(C36,TRAOPE!$G:$H,2,0),"")</f>
        <v/>
      </c>
      <c r="E36" s="8" t="inlineStr">
        <is>
          <t>DW75</t>
        </is>
      </c>
      <c r="F36" s="8" t="inlineStr">
        <is>
          <t>D349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10032115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20220516</t>
        </is>
      </c>
      <c r="M36" s="8" t="inlineStr">
        <is>
          <t>20240822</t>
        </is>
      </c>
      <c r="N36" s="10" t="n">
        <v>255.79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900000023</v>
      </c>
      <c r="D37" s="7">
        <f>IFERROR(VLOOKUP(C37,TRAOPE!$G:$H,2,0),"")</f>
        <v/>
      </c>
      <c r="E37" s="8" t="inlineStr">
        <is>
          <t>DW75</t>
        </is>
      </c>
      <c r="F37" s="8" t="inlineStr">
        <is>
          <t>D349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10032164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20220516</t>
        </is>
      </c>
      <c r="M37" s="8" t="inlineStr">
        <is>
          <t>20240822</t>
        </is>
      </c>
      <c r="N37" s="10" t="n">
        <v>274.59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900000023</v>
      </c>
      <c r="D38" s="7">
        <f>IFERROR(VLOOKUP(C38,TRAOPE!$G:$H,2,0),"")</f>
        <v/>
      </c>
      <c r="E38" s="8" t="inlineStr">
        <is>
          <t>DW75</t>
        </is>
      </c>
      <c r="F38" s="8" t="inlineStr">
        <is>
          <t>D349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10036583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20220516</t>
        </is>
      </c>
      <c r="M38" s="8" t="inlineStr">
        <is>
          <t>20240822</t>
        </is>
      </c>
      <c r="N38" s="10" t="n">
        <v>247.59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900000360</v>
      </c>
      <c r="D39" s="7">
        <f>IFERROR(VLOOKUP(C39,TRAOPE!$G:$H,2,0),"")</f>
        <v/>
      </c>
      <c r="E39" s="8" t="inlineStr">
        <is>
          <t>DW75</t>
        </is>
      </c>
      <c r="F39" s="8" t="inlineStr">
        <is>
          <t>D063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10009436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20240726</t>
        </is>
      </c>
      <c r="M39" s="8" t="inlineStr">
        <is>
          <t>20241023</t>
        </is>
      </c>
      <c r="N39" s="10" t="n">
        <v>205.9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900000360</v>
      </c>
      <c r="D40" s="7">
        <f>IFERROR(VLOOKUP(C40,TRAOPE!$G:$H,2,0),"")</f>
        <v/>
      </c>
      <c r="E40" s="8" t="inlineStr">
        <is>
          <t>DW75</t>
        </is>
      </c>
      <c r="F40" s="8" t="inlineStr">
        <is>
          <t>D112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10009436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20240726</t>
        </is>
      </c>
      <c r="M40" s="8" t="inlineStr">
        <is>
          <t>20241023</t>
        </is>
      </c>
      <c r="N40" s="10" t="n">
        <v>205.9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900000360</v>
      </c>
      <c r="D41" s="7">
        <f>IFERROR(VLOOKUP(C41,TRAOPE!$G:$H,2,0),"")</f>
        <v/>
      </c>
      <c r="E41" s="8" t="inlineStr">
        <is>
          <t>DW75</t>
        </is>
      </c>
      <c r="F41" s="8" t="inlineStr">
        <is>
          <t>D278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10009436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20240726</t>
        </is>
      </c>
      <c r="M41" s="8" t="inlineStr">
        <is>
          <t>20241023</t>
        </is>
      </c>
      <c r="N41" s="10" t="n">
        <v>205.9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900000360</v>
      </c>
      <c r="D42" s="7">
        <f>IFERROR(VLOOKUP(C42,TRAOPE!$G:$H,2,0),"")</f>
        <v/>
      </c>
      <c r="E42" s="8" t="inlineStr">
        <is>
          <t>DW75</t>
        </is>
      </c>
      <c r="F42" s="8" t="inlineStr">
        <is>
          <t>D343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10009436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20240726</t>
        </is>
      </c>
      <c r="M42" s="8" t="inlineStr">
        <is>
          <t>20241023</t>
        </is>
      </c>
      <c r="N42" s="10" t="n">
        <v>205.9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900000360</v>
      </c>
      <c r="D43" s="7">
        <f>IFERROR(VLOOKUP(C43,TRAOPE!$G:$H,2,0),"")</f>
        <v/>
      </c>
      <c r="E43" s="8" t="inlineStr">
        <is>
          <t>DW75</t>
        </is>
      </c>
      <c r="F43" s="8" t="inlineStr">
        <is>
          <t>D349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10009436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20240726</t>
        </is>
      </c>
      <c r="M43" s="8" t="inlineStr">
        <is>
          <t>20241023</t>
        </is>
      </c>
      <c r="N43" s="10" t="n">
        <v>205.9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900000372</v>
      </c>
      <c r="D44" s="7">
        <f>IFERROR(VLOOKUP(C44,TRAOPE!$G:$H,2,0),"")</f>
        <v/>
      </c>
      <c r="E44" s="8" t="inlineStr">
        <is>
          <t>DW75</t>
        </is>
      </c>
      <c r="F44" s="8" t="inlineStr">
        <is>
          <t>D278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10218211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20220516</t>
        </is>
      </c>
      <c r="M44" s="8" t="inlineStr">
        <is>
          <t>20241216</t>
        </is>
      </c>
      <c r="N44" s="10" t="n">
        <v>232.91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900000372</v>
      </c>
      <c r="D45" s="7">
        <f>IFERROR(VLOOKUP(C45,TRAOPE!$G:$H,2,0),"")</f>
        <v/>
      </c>
      <c r="E45" s="8" t="inlineStr">
        <is>
          <t>DW75</t>
        </is>
      </c>
      <c r="F45" s="8" t="inlineStr">
        <is>
          <t>D312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10218211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20220516</t>
        </is>
      </c>
      <c r="M45" s="8" t="inlineStr">
        <is>
          <t>20241216</t>
        </is>
      </c>
      <c r="N45" s="10" t="n">
        <v>232.91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900000372</v>
      </c>
      <c r="D46" s="7">
        <f>IFERROR(VLOOKUP(C46,TRAOPE!$G:$H,2,0),"")</f>
        <v/>
      </c>
      <c r="E46" s="8" t="inlineStr">
        <is>
          <t>DW75</t>
        </is>
      </c>
      <c r="F46" s="8" t="inlineStr">
        <is>
          <t>D327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10218211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20220516</t>
        </is>
      </c>
      <c r="M46" s="8" t="inlineStr">
        <is>
          <t>20241216</t>
        </is>
      </c>
      <c r="N46" s="10" t="n">
        <v>232.91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900000372</v>
      </c>
      <c r="D47" s="7">
        <f>IFERROR(VLOOKUP(C47,TRAOPE!$G:$H,2,0),"")</f>
        <v/>
      </c>
      <c r="E47" s="8" t="inlineStr">
        <is>
          <t>DW75</t>
        </is>
      </c>
      <c r="F47" s="8" t="inlineStr">
        <is>
          <t>D343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10218211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20220516</t>
        </is>
      </c>
      <c r="M47" s="8" t="inlineStr">
        <is>
          <t>20241216</t>
        </is>
      </c>
      <c r="N47" s="10" t="n">
        <v>232.91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900000372</v>
      </c>
      <c r="D48" s="7">
        <f>IFERROR(VLOOKUP(C48,TRAOPE!$G:$H,2,0),"")</f>
        <v/>
      </c>
      <c r="E48" s="8" t="inlineStr">
        <is>
          <t>DW75</t>
        </is>
      </c>
      <c r="F48" s="8" t="inlineStr">
        <is>
          <t>D349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10218211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20220516</t>
        </is>
      </c>
      <c r="M48" s="8" t="inlineStr">
        <is>
          <t>20241216</t>
        </is>
      </c>
      <c r="N48" s="10" t="n">
        <v>232.91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900002370</v>
      </c>
      <c r="D49" s="7">
        <f>IFERROR(VLOOKUP(C49,TRAOPE!$G:$H,2,0),"")</f>
        <v/>
      </c>
      <c r="E49" s="8" t="inlineStr">
        <is>
          <t>DW75</t>
        </is>
      </c>
      <c r="F49" s="8" t="inlineStr">
        <is>
          <t>D063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10043600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20220516</t>
        </is>
      </c>
      <c r="M49" s="8" t="inlineStr">
        <is>
          <t>20241216</t>
        </is>
      </c>
      <c r="N49" s="10" t="n">
        <v>236.35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900002370</v>
      </c>
      <c r="D50" s="7">
        <f>IFERROR(VLOOKUP(C50,TRAOPE!$G:$H,2,0),"")</f>
        <v/>
      </c>
      <c r="E50" s="8" t="inlineStr">
        <is>
          <t>DW75</t>
        </is>
      </c>
      <c r="F50" s="8" t="inlineStr">
        <is>
          <t>D063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10043601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20220516</t>
        </is>
      </c>
      <c r="M50" s="8" t="inlineStr">
        <is>
          <t>20241216</t>
        </is>
      </c>
      <c r="N50" s="10" t="n">
        <v>236.75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900002370</v>
      </c>
      <c r="D51" s="7">
        <f>IFERROR(VLOOKUP(C51,TRAOPE!$G:$H,2,0),"")</f>
        <v/>
      </c>
      <c r="E51" s="8" t="inlineStr">
        <is>
          <t>DW75</t>
        </is>
      </c>
      <c r="F51" s="8" t="inlineStr">
        <is>
          <t>D063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10045642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20220516</t>
        </is>
      </c>
      <c r="M51" s="8" t="inlineStr">
        <is>
          <t>20241216</t>
        </is>
      </c>
      <c r="N51" s="10" t="n">
        <v>206.19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900002370</v>
      </c>
      <c r="D52" s="7">
        <f>IFERROR(VLOOKUP(C52,TRAOPE!$G:$H,2,0),"")</f>
        <v/>
      </c>
      <c r="E52" s="8" t="inlineStr">
        <is>
          <t>DW75</t>
        </is>
      </c>
      <c r="F52" s="8" t="inlineStr">
        <is>
          <t>D063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10147933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20220516</t>
        </is>
      </c>
      <c r="M52" s="8" t="inlineStr">
        <is>
          <t>20241216</t>
        </is>
      </c>
      <c r="N52" s="10" t="n">
        <v>220.42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900002370</v>
      </c>
      <c r="D53" s="7">
        <f>IFERROR(VLOOKUP(C53,TRAOPE!$G:$H,2,0),"")</f>
        <v/>
      </c>
      <c r="E53" s="8" t="inlineStr">
        <is>
          <t>DW75</t>
        </is>
      </c>
      <c r="F53" s="8" t="inlineStr">
        <is>
          <t>D063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10151191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20250301</t>
        </is>
      </c>
      <c r="M53" s="8" t="inlineStr">
        <is>
          <t>20251031</t>
        </is>
      </c>
      <c r="N53" s="10" t="n">
        <v>227.09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900002370</v>
      </c>
      <c r="D54" s="7">
        <f>IFERROR(VLOOKUP(C54,TRAOPE!$G:$H,2,0),"")</f>
        <v/>
      </c>
      <c r="E54" s="8" t="inlineStr">
        <is>
          <t>DW75</t>
        </is>
      </c>
      <c r="F54" s="8" t="inlineStr">
        <is>
          <t>D063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10189747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20220516</t>
        </is>
      </c>
      <c r="M54" s="8" t="inlineStr">
        <is>
          <t>20241216</t>
        </is>
      </c>
      <c r="N54" s="10" t="n">
        <v>235.35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900002370</v>
      </c>
      <c r="D55" s="7">
        <f>IFERROR(VLOOKUP(C55,TRAOPE!$G:$H,2,0),"")</f>
        <v/>
      </c>
      <c r="E55" s="8" t="inlineStr">
        <is>
          <t>DW75</t>
        </is>
      </c>
      <c r="F55" s="8" t="inlineStr">
        <is>
          <t>D112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10043600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20220516</t>
        </is>
      </c>
      <c r="M55" s="8" t="inlineStr">
        <is>
          <t>20241216</t>
        </is>
      </c>
      <c r="N55" s="10" t="n">
        <v>236.35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900002370</v>
      </c>
      <c r="D56" s="7">
        <f>IFERROR(VLOOKUP(C56,TRAOPE!$G:$H,2,0),"")</f>
        <v/>
      </c>
      <c r="E56" s="8" t="inlineStr">
        <is>
          <t>DW75</t>
        </is>
      </c>
      <c r="F56" s="8" t="inlineStr">
        <is>
          <t>D112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10043601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20220516</t>
        </is>
      </c>
      <c r="M56" s="8" t="inlineStr">
        <is>
          <t>20241216</t>
        </is>
      </c>
      <c r="N56" s="10" t="n">
        <v>236.75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900002370</v>
      </c>
      <c r="D57" s="7">
        <f>IFERROR(VLOOKUP(C57,TRAOPE!$G:$H,2,0),"")</f>
        <v/>
      </c>
      <c r="E57" s="8" t="inlineStr">
        <is>
          <t>DW75</t>
        </is>
      </c>
      <c r="F57" s="8" t="inlineStr">
        <is>
          <t>D112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10045642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20220516</t>
        </is>
      </c>
      <c r="M57" s="8" t="inlineStr">
        <is>
          <t>20241216</t>
        </is>
      </c>
      <c r="N57" s="10" t="n">
        <v>206.19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900002370</v>
      </c>
      <c r="D58" s="7">
        <f>IFERROR(VLOOKUP(C58,TRAOPE!$G:$H,2,0),"")</f>
        <v/>
      </c>
      <c r="E58" s="8" t="inlineStr">
        <is>
          <t>DW75</t>
        </is>
      </c>
      <c r="F58" s="8" t="inlineStr">
        <is>
          <t>D112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10147933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20220516</t>
        </is>
      </c>
      <c r="M58" s="8" t="inlineStr">
        <is>
          <t>20241216</t>
        </is>
      </c>
      <c r="N58" s="10" t="n">
        <v>220.42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900002370</v>
      </c>
      <c r="D59" s="7">
        <f>IFERROR(VLOOKUP(C59,TRAOPE!$G:$H,2,0),"")</f>
        <v/>
      </c>
      <c r="E59" s="8" t="inlineStr">
        <is>
          <t>DW75</t>
        </is>
      </c>
      <c r="F59" s="8" t="inlineStr">
        <is>
          <t>D112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10151191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20250301</t>
        </is>
      </c>
      <c r="M59" s="8" t="inlineStr">
        <is>
          <t>20251031</t>
        </is>
      </c>
      <c r="N59" s="10" t="n">
        <v>227.09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900002370</v>
      </c>
      <c r="D60" s="7">
        <f>IFERROR(VLOOKUP(C60,TRAOPE!$G:$H,2,0),"")</f>
        <v/>
      </c>
      <c r="E60" s="8" t="inlineStr">
        <is>
          <t>DW75</t>
        </is>
      </c>
      <c r="F60" s="8" t="inlineStr">
        <is>
          <t>D112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10189747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20220516</t>
        </is>
      </c>
      <c r="M60" s="8" t="inlineStr">
        <is>
          <t>20241216</t>
        </is>
      </c>
      <c r="N60" s="10" t="n">
        <v>235.35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900002370</v>
      </c>
      <c r="D61" s="7">
        <f>IFERROR(VLOOKUP(C61,TRAOPE!$G:$H,2,0),"")</f>
        <v/>
      </c>
      <c r="E61" s="8" t="inlineStr">
        <is>
          <t>DW75</t>
        </is>
      </c>
      <c r="F61" s="8" t="inlineStr">
        <is>
          <t>D278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10000364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20220516</t>
        </is>
      </c>
      <c r="M61" s="8" t="inlineStr">
        <is>
          <t>20241216</t>
        </is>
      </c>
      <c r="N61" s="10" t="n">
        <v>146.13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900002370</v>
      </c>
      <c r="D62" s="7">
        <f>IFERROR(VLOOKUP(C62,TRAOPE!$G:$H,2,0),"")</f>
        <v/>
      </c>
      <c r="E62" s="8" t="inlineStr">
        <is>
          <t>DW75</t>
        </is>
      </c>
      <c r="F62" s="8" t="inlineStr">
        <is>
          <t>D278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10043600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20250301</t>
        </is>
      </c>
      <c r="M62" s="8" t="inlineStr">
        <is>
          <t>99991231</t>
        </is>
      </c>
      <c r="N62" s="10" t="n">
        <v>248.31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900002370</v>
      </c>
      <c r="D63" s="7">
        <f>IFERROR(VLOOKUP(C63,TRAOPE!$G:$H,2,0),"")</f>
        <v/>
      </c>
      <c r="E63" s="8" t="inlineStr">
        <is>
          <t>DW75</t>
        </is>
      </c>
      <c r="F63" s="8" t="inlineStr">
        <is>
          <t>D278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10043601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20250301</t>
        </is>
      </c>
      <c r="M63" s="8" t="inlineStr">
        <is>
          <t>99991231</t>
        </is>
      </c>
      <c r="N63" s="10" t="n">
        <v>248.73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900002370</v>
      </c>
      <c r="D64" s="7">
        <f>IFERROR(VLOOKUP(C64,TRAOPE!$G:$H,2,0),"")</f>
        <v/>
      </c>
      <c r="E64" s="8" t="inlineStr">
        <is>
          <t>DW75</t>
        </is>
      </c>
      <c r="F64" s="8" t="inlineStr">
        <is>
          <t>D278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10045642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20250301</t>
        </is>
      </c>
      <c r="M64" s="8" t="inlineStr">
        <is>
          <t>99991231</t>
        </is>
      </c>
      <c r="N64" s="10" t="n">
        <v>237.12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900002370</v>
      </c>
      <c r="D65" s="7">
        <f>IFERROR(VLOOKUP(C65,TRAOPE!$G:$H,2,0),"")</f>
        <v/>
      </c>
      <c r="E65" s="8" t="inlineStr">
        <is>
          <t>DW75</t>
        </is>
      </c>
      <c r="F65" s="8" t="inlineStr">
        <is>
          <t>D278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10147933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20250301</t>
        </is>
      </c>
      <c r="M65" s="8" t="inlineStr">
        <is>
          <t>20260215</t>
        </is>
      </c>
      <c r="N65" s="10" t="n">
        <v>253.49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900002370</v>
      </c>
      <c r="D66" s="7">
        <f>IFERROR(VLOOKUP(C66,TRAOPE!$G:$H,2,0),"")</f>
        <v/>
      </c>
      <c r="E66" s="8" t="inlineStr">
        <is>
          <t>DW75</t>
        </is>
      </c>
      <c r="F66" s="8" t="inlineStr">
        <is>
          <t>D278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10151191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20250301</t>
        </is>
      </c>
      <c r="M66" s="8" t="inlineStr">
        <is>
          <t>20260215</t>
        </is>
      </c>
      <c r="N66" s="10" t="n">
        <v>227.09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900002370</v>
      </c>
      <c r="D67" s="7">
        <f>IFERROR(VLOOKUP(C67,TRAOPE!$G:$H,2,0),"")</f>
        <v/>
      </c>
      <c r="E67" s="8" t="inlineStr">
        <is>
          <t>DW75</t>
        </is>
      </c>
      <c r="F67" s="8" t="inlineStr">
        <is>
          <t>D278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10189747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20220516</t>
        </is>
      </c>
      <c r="M67" s="8" t="inlineStr">
        <is>
          <t>20241216</t>
        </is>
      </c>
      <c r="N67" s="10" t="n">
        <v>235.35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900002370</v>
      </c>
      <c r="D68" s="7">
        <f>IFERROR(VLOOKUP(C68,TRAOPE!$G:$H,2,0),"")</f>
        <v/>
      </c>
      <c r="E68" s="8" t="inlineStr">
        <is>
          <t>DW75</t>
        </is>
      </c>
      <c r="F68" s="8" t="inlineStr">
        <is>
          <t>D285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10043600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20220516</t>
        </is>
      </c>
      <c r="M68" s="8" t="inlineStr">
        <is>
          <t>20241216</t>
        </is>
      </c>
      <c r="N68" s="10" t="n">
        <v>146.4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900002370</v>
      </c>
      <c r="D69" s="7">
        <f>IFERROR(VLOOKUP(C69,TRAOPE!$G:$H,2,0),"")</f>
        <v/>
      </c>
      <c r="E69" s="8" t="inlineStr">
        <is>
          <t>DW75</t>
        </is>
      </c>
      <c r="F69" s="8" t="inlineStr">
        <is>
          <t>D285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10043601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20220516</t>
        </is>
      </c>
      <c r="M69" s="8" t="inlineStr">
        <is>
          <t>20241216</t>
        </is>
      </c>
      <c r="N69" s="10" t="n">
        <v>146.65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900002370</v>
      </c>
      <c r="D70" s="7">
        <f>IFERROR(VLOOKUP(C70,TRAOPE!$G:$H,2,0),"")</f>
        <v/>
      </c>
      <c r="E70" s="8" t="inlineStr">
        <is>
          <t>DW75</t>
        </is>
      </c>
      <c r="F70" s="8" t="inlineStr">
        <is>
          <t>D285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10045642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20220516</t>
        </is>
      </c>
      <c r="M70" s="8" t="inlineStr">
        <is>
          <t>20241216</t>
        </is>
      </c>
      <c r="N70" s="10" t="n">
        <v>127.72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900002370</v>
      </c>
      <c r="D71" s="7">
        <f>IFERROR(VLOOKUP(C71,TRAOPE!$G:$H,2,0),"")</f>
        <v/>
      </c>
      <c r="E71" s="8" t="inlineStr">
        <is>
          <t>DW75</t>
        </is>
      </c>
      <c r="F71" s="8" t="inlineStr">
        <is>
          <t>D312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10000364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20220516</t>
        </is>
      </c>
      <c r="M71" s="8" t="inlineStr">
        <is>
          <t>20241216</t>
        </is>
      </c>
      <c r="N71" s="10" t="n">
        <v>146.13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900002370</v>
      </c>
      <c r="D72" s="7">
        <f>IFERROR(VLOOKUP(C72,TRAOPE!$G:$H,2,0),"")</f>
        <v/>
      </c>
      <c r="E72" s="8" t="inlineStr">
        <is>
          <t>DW75</t>
        </is>
      </c>
      <c r="F72" s="8" t="inlineStr">
        <is>
          <t>D312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10043600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20220516</t>
        </is>
      </c>
      <c r="M72" s="8" t="inlineStr">
        <is>
          <t>20241216</t>
        </is>
      </c>
      <c r="N72" s="10" t="n">
        <v>218.84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900002370</v>
      </c>
      <c r="D73" s="7">
        <f>IFERROR(VLOOKUP(C73,TRAOPE!$G:$H,2,0),"")</f>
        <v/>
      </c>
      <c r="E73" s="8" t="inlineStr">
        <is>
          <t>DW75</t>
        </is>
      </c>
      <c r="F73" s="8" t="inlineStr">
        <is>
          <t>D312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10043601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20220516</t>
        </is>
      </c>
      <c r="M73" s="8" t="inlineStr">
        <is>
          <t>20241216</t>
        </is>
      </c>
      <c r="N73" s="10" t="n">
        <v>219.21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900002370</v>
      </c>
      <c r="D74" s="7">
        <f>IFERROR(VLOOKUP(C74,TRAOPE!$G:$H,2,0),"")</f>
        <v/>
      </c>
      <c r="E74" s="8" t="inlineStr">
        <is>
          <t>DW75</t>
        </is>
      </c>
      <c r="F74" s="8" t="inlineStr">
        <is>
          <t>D312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10045642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20220516</t>
        </is>
      </c>
      <c r="M74" s="8" t="inlineStr">
        <is>
          <t>20241216</t>
        </is>
      </c>
      <c r="N74" s="10" t="n">
        <v>190.92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900002370</v>
      </c>
      <c r="D75" s="7">
        <f>IFERROR(VLOOKUP(C75,TRAOPE!$G:$H,2,0),"")</f>
        <v/>
      </c>
      <c r="E75" s="8" t="inlineStr">
        <is>
          <t>DW75</t>
        </is>
      </c>
      <c r="F75" s="8" t="inlineStr">
        <is>
          <t>D312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10147933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20220516</t>
        </is>
      </c>
      <c r="M75" s="8" t="inlineStr">
        <is>
          <t>20241216</t>
        </is>
      </c>
      <c r="N75" s="10" t="n">
        <v>204.1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900002370</v>
      </c>
      <c r="D76" s="7">
        <f>IFERROR(VLOOKUP(C76,TRAOPE!$G:$H,2,0),"")</f>
        <v/>
      </c>
      <c r="E76" s="8" t="inlineStr">
        <is>
          <t>DW75</t>
        </is>
      </c>
      <c r="F76" s="8" t="inlineStr">
        <is>
          <t>D312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10151191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20220516</t>
        </is>
      </c>
      <c r="M76" s="8" t="inlineStr">
        <is>
          <t>20241216</t>
        </is>
      </c>
      <c r="N76" s="10" t="n">
        <v>200.13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900002370</v>
      </c>
      <c r="D77" s="7">
        <f>IFERROR(VLOOKUP(C77,TRAOPE!$G:$H,2,0),"")</f>
        <v/>
      </c>
      <c r="E77" s="8" t="inlineStr">
        <is>
          <t>DW75</t>
        </is>
      </c>
      <c r="F77" s="8" t="inlineStr">
        <is>
          <t>D312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10189747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20220516</t>
        </is>
      </c>
      <c r="M77" s="8" t="inlineStr">
        <is>
          <t>20241216</t>
        </is>
      </c>
      <c r="N77" s="10" t="n">
        <v>217.91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900002370</v>
      </c>
      <c r="D78" s="7">
        <f>IFERROR(VLOOKUP(C78,TRAOPE!$G:$H,2,0),"")</f>
        <v/>
      </c>
      <c r="E78" s="8" t="inlineStr">
        <is>
          <t>DW75</t>
        </is>
      </c>
      <c r="F78" s="8" t="inlineStr">
        <is>
          <t>D315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10000364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20220516</t>
        </is>
      </c>
      <c r="M78" s="8" t="inlineStr">
        <is>
          <t>20241216</t>
        </is>
      </c>
      <c r="N78" s="10" t="n">
        <v>288.57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900002370</v>
      </c>
      <c r="D79" s="7">
        <f>IFERROR(VLOOKUP(C79,TRAOPE!$G:$H,2,0),"")</f>
        <v/>
      </c>
      <c r="E79" s="8" t="inlineStr">
        <is>
          <t>DW75</t>
        </is>
      </c>
      <c r="F79" s="8" t="inlineStr">
        <is>
          <t>D315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10000587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20220516</t>
        </is>
      </c>
      <c r="M79" s="8" t="inlineStr">
        <is>
          <t>20241216</t>
        </is>
      </c>
      <c r="N79" s="10" t="n">
        <v>67.89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900002370</v>
      </c>
      <c r="D80" s="7">
        <f>IFERROR(VLOOKUP(C80,TRAOPE!$G:$H,2,0),"")</f>
        <v/>
      </c>
      <c r="E80" s="8" t="inlineStr">
        <is>
          <t>DW75</t>
        </is>
      </c>
      <c r="F80" s="8" t="inlineStr">
        <is>
          <t>D315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10043600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20220516</t>
        </is>
      </c>
      <c r="M80" s="8" t="inlineStr">
        <is>
          <t>20241216</t>
        </is>
      </c>
      <c r="N80" s="10" t="n">
        <v>178.11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900002370</v>
      </c>
      <c r="D81" s="7">
        <f>IFERROR(VLOOKUP(C81,TRAOPE!$G:$H,2,0),"")</f>
        <v/>
      </c>
      <c r="E81" s="8" t="inlineStr">
        <is>
          <t>DW75</t>
        </is>
      </c>
      <c r="F81" s="8" t="inlineStr">
        <is>
          <t>D315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10043601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20220516</t>
        </is>
      </c>
      <c r="M81" s="8" t="inlineStr">
        <is>
          <t>20241216</t>
        </is>
      </c>
      <c r="N81" s="10" t="n">
        <v>178.41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900002370</v>
      </c>
      <c r="D82" s="7">
        <f>IFERROR(VLOOKUP(C82,TRAOPE!$G:$H,2,0),"")</f>
        <v/>
      </c>
      <c r="E82" s="8" t="inlineStr">
        <is>
          <t>DW75</t>
        </is>
      </c>
      <c r="F82" s="8" t="inlineStr">
        <is>
          <t>D315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10045642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20220516</t>
        </is>
      </c>
      <c r="M82" s="8" t="inlineStr">
        <is>
          <t>20241216</t>
        </is>
      </c>
      <c r="N82" s="10" t="n">
        <v>155.38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900002370</v>
      </c>
      <c r="D83" s="7">
        <f>IFERROR(VLOOKUP(C83,TRAOPE!$G:$H,2,0),"")</f>
        <v/>
      </c>
      <c r="E83" s="8" t="inlineStr">
        <is>
          <t>DW75</t>
        </is>
      </c>
      <c r="F83" s="8" t="inlineStr">
        <is>
          <t>D315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10147933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20220516</t>
        </is>
      </c>
      <c r="M83" s="8" t="inlineStr">
        <is>
          <t>20241216</t>
        </is>
      </c>
      <c r="N83" s="10" t="n">
        <v>166.11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900002370</v>
      </c>
      <c r="D84" s="7">
        <f>IFERROR(VLOOKUP(C84,TRAOPE!$G:$H,2,0),"")</f>
        <v/>
      </c>
      <c r="E84" s="8" t="inlineStr">
        <is>
          <t>DW75</t>
        </is>
      </c>
      <c r="F84" s="8" t="inlineStr">
        <is>
          <t>D315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10151191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20220516</t>
        </is>
      </c>
      <c r="M84" s="8" t="inlineStr">
        <is>
          <t>20241216</t>
        </is>
      </c>
      <c r="N84" s="10" t="n">
        <v>162.88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900002370</v>
      </c>
      <c r="D85" s="7">
        <f>IFERROR(VLOOKUP(C85,TRAOPE!$G:$H,2,0),"")</f>
        <v/>
      </c>
      <c r="E85" s="8" t="inlineStr">
        <is>
          <t>DW75</t>
        </is>
      </c>
      <c r="F85" s="8" t="inlineStr">
        <is>
          <t>D315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10189747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20220516</t>
        </is>
      </c>
      <c r="M85" s="8" t="inlineStr">
        <is>
          <t>20241216</t>
        </is>
      </c>
      <c r="N85" s="10" t="n">
        <v>177.35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900002370</v>
      </c>
      <c r="D86" s="7">
        <f>IFERROR(VLOOKUP(C86,TRAOPE!$G:$H,2,0),"")</f>
        <v/>
      </c>
      <c r="E86" s="8" t="inlineStr">
        <is>
          <t>DW75</t>
        </is>
      </c>
      <c r="F86" s="8" t="inlineStr">
        <is>
          <t>D327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10000364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20220516</t>
        </is>
      </c>
      <c r="M86" s="8" t="inlineStr">
        <is>
          <t>20241216</t>
        </is>
      </c>
      <c r="N86" s="10" t="n">
        <v>146.13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900002370</v>
      </c>
      <c r="D87" s="7">
        <f>IFERROR(VLOOKUP(C87,TRAOPE!$G:$H,2,0),"")</f>
        <v/>
      </c>
      <c r="E87" s="8" t="inlineStr">
        <is>
          <t>DW75</t>
        </is>
      </c>
      <c r="F87" s="8" t="inlineStr">
        <is>
          <t>D327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10000587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20220516</t>
        </is>
      </c>
      <c r="M87" s="8" t="inlineStr">
        <is>
          <t>20241216</t>
        </is>
      </c>
      <c r="N87" s="10" t="n">
        <v>80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900002370</v>
      </c>
      <c r="D88" s="7">
        <f>IFERROR(VLOOKUP(C88,TRAOPE!$G:$H,2,0),"")</f>
        <v/>
      </c>
      <c r="E88" s="8" t="inlineStr">
        <is>
          <t>DW75</t>
        </is>
      </c>
      <c r="F88" s="8" t="inlineStr">
        <is>
          <t>D327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10043600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20220516</t>
        </is>
      </c>
      <c r="M88" s="8" t="inlineStr">
        <is>
          <t>20241216</t>
        </is>
      </c>
      <c r="N88" s="10" t="n">
        <v>218.84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900002370</v>
      </c>
      <c r="D89" s="7">
        <f>IFERROR(VLOOKUP(C89,TRAOPE!$G:$H,2,0),"")</f>
        <v/>
      </c>
      <c r="E89" s="8" t="inlineStr">
        <is>
          <t>DW75</t>
        </is>
      </c>
      <c r="F89" s="8" t="inlineStr">
        <is>
          <t>D327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10043601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20220516</t>
        </is>
      </c>
      <c r="M89" s="8" t="inlineStr">
        <is>
          <t>20241216</t>
        </is>
      </c>
      <c r="N89" s="10" t="n">
        <v>219.21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900002370</v>
      </c>
      <c r="D90" s="7">
        <f>IFERROR(VLOOKUP(C90,TRAOPE!$G:$H,2,0),"")</f>
        <v/>
      </c>
      <c r="E90" s="8" t="inlineStr">
        <is>
          <t>DW75</t>
        </is>
      </c>
      <c r="F90" s="8" t="inlineStr">
        <is>
          <t>D327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10045642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20220516</t>
        </is>
      </c>
      <c r="M90" s="8" t="inlineStr">
        <is>
          <t>20241216</t>
        </is>
      </c>
      <c r="N90" s="10" t="n">
        <v>190.92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900002370</v>
      </c>
      <c r="D91" s="7">
        <f>IFERROR(VLOOKUP(C91,TRAOPE!$G:$H,2,0),"")</f>
        <v/>
      </c>
      <c r="E91" s="8" t="inlineStr">
        <is>
          <t>DW75</t>
        </is>
      </c>
      <c r="F91" s="8" t="inlineStr">
        <is>
          <t>D327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10147933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20220516</t>
        </is>
      </c>
      <c r="M91" s="8" t="inlineStr">
        <is>
          <t>20241216</t>
        </is>
      </c>
      <c r="N91" s="10" t="n">
        <v>204.1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900002370</v>
      </c>
      <c r="D92" s="7">
        <f>IFERROR(VLOOKUP(C92,TRAOPE!$G:$H,2,0),"")</f>
        <v/>
      </c>
      <c r="E92" s="8" t="inlineStr">
        <is>
          <t>DW75</t>
        </is>
      </c>
      <c r="F92" s="8" t="inlineStr">
        <is>
          <t>D327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10151191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20220516</t>
        </is>
      </c>
      <c r="M92" s="8" t="inlineStr">
        <is>
          <t>20241216</t>
        </is>
      </c>
      <c r="N92" s="10" t="n">
        <v>200.13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900002370</v>
      </c>
      <c r="D93" s="7">
        <f>IFERROR(VLOOKUP(C93,TRAOPE!$G:$H,2,0),"")</f>
        <v/>
      </c>
      <c r="E93" s="8" t="inlineStr">
        <is>
          <t>DW75</t>
        </is>
      </c>
      <c r="F93" s="8" t="inlineStr">
        <is>
          <t>D327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10189747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20220516</t>
        </is>
      </c>
      <c r="M93" s="8" t="inlineStr">
        <is>
          <t>20241216</t>
        </is>
      </c>
      <c r="N93" s="10" t="n">
        <v>217.91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900002370</v>
      </c>
      <c r="D94" s="7">
        <f>IFERROR(VLOOKUP(C94,TRAOPE!$G:$H,2,0),"")</f>
        <v/>
      </c>
      <c r="E94" s="8" t="inlineStr">
        <is>
          <t>DW75</t>
        </is>
      </c>
      <c r="F94" s="8" t="inlineStr">
        <is>
          <t>D331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10000364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20220516</t>
        </is>
      </c>
      <c r="M94" s="8" t="inlineStr">
        <is>
          <t>20241216</t>
        </is>
      </c>
      <c r="N94" s="10" t="n">
        <v>288.57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900002370</v>
      </c>
      <c r="D95" s="7">
        <f>IFERROR(VLOOKUP(C95,TRAOPE!$G:$H,2,0),"")</f>
        <v/>
      </c>
      <c r="E95" s="8" t="inlineStr">
        <is>
          <t>DW75</t>
        </is>
      </c>
      <c r="F95" s="8" t="inlineStr">
        <is>
          <t>D331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10000587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20220516</t>
        </is>
      </c>
      <c r="M95" s="8" t="inlineStr">
        <is>
          <t>20241216</t>
        </is>
      </c>
      <c r="N95" s="10" t="n">
        <v>67.89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900002370</v>
      </c>
      <c r="D96" s="7">
        <f>IFERROR(VLOOKUP(C96,TRAOPE!$G:$H,2,0),"")</f>
        <v/>
      </c>
      <c r="E96" s="8" t="inlineStr">
        <is>
          <t>DW75</t>
        </is>
      </c>
      <c r="F96" s="8" t="inlineStr">
        <is>
          <t>D331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10043600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20220516</t>
        </is>
      </c>
      <c r="M96" s="8" t="inlineStr">
        <is>
          <t>20241216</t>
        </is>
      </c>
      <c r="N96" s="10" t="n">
        <v>157.24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900002370</v>
      </c>
      <c r="D97" s="7">
        <f>IFERROR(VLOOKUP(C97,TRAOPE!$G:$H,2,0),"")</f>
        <v/>
      </c>
      <c r="E97" s="8" t="inlineStr">
        <is>
          <t>DW75</t>
        </is>
      </c>
      <c r="F97" s="8" t="inlineStr">
        <is>
          <t>D331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10043601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20220516</t>
        </is>
      </c>
      <c r="M97" s="8" t="inlineStr">
        <is>
          <t>20241216</t>
        </is>
      </c>
      <c r="N97" s="10" t="n">
        <v>157.51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900002370</v>
      </c>
      <c r="D98" s="7">
        <f>IFERROR(VLOOKUP(C98,TRAOPE!$G:$H,2,0),"")</f>
        <v/>
      </c>
      <c r="E98" s="8" t="inlineStr">
        <is>
          <t>DW75</t>
        </is>
      </c>
      <c r="F98" s="8" t="inlineStr">
        <is>
          <t>D331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10045642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20220516</t>
        </is>
      </c>
      <c r="M98" s="8" t="inlineStr">
        <is>
          <t>20241216</t>
        </is>
      </c>
      <c r="N98" s="10" t="n">
        <v>137.18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900002370</v>
      </c>
      <c r="D99" s="7">
        <f>IFERROR(VLOOKUP(C99,TRAOPE!$G:$H,2,0),"")</f>
        <v/>
      </c>
      <c r="E99" s="8" t="inlineStr">
        <is>
          <t>DW75</t>
        </is>
      </c>
      <c r="F99" s="8" t="inlineStr">
        <is>
          <t>D331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10147933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20220516</t>
        </is>
      </c>
      <c r="M99" s="8" t="inlineStr">
        <is>
          <t>20241216</t>
        </is>
      </c>
      <c r="N99" s="10" t="n">
        <v>146.65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900002370</v>
      </c>
      <c r="D100" s="7">
        <f>IFERROR(VLOOKUP(C100,TRAOPE!$G:$H,2,0),"")</f>
        <v/>
      </c>
      <c r="E100" s="8" t="inlineStr">
        <is>
          <t>DW75</t>
        </is>
      </c>
      <c r="F100" s="8" t="inlineStr">
        <is>
          <t>D331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10151191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20220516</t>
        </is>
      </c>
      <c r="M100" s="8" t="inlineStr">
        <is>
          <t>20241216</t>
        </is>
      </c>
      <c r="N100" s="10" t="n">
        <v>143.8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900002370</v>
      </c>
      <c r="D101" s="7">
        <f>IFERROR(VLOOKUP(C101,TRAOPE!$G:$H,2,0),"")</f>
        <v/>
      </c>
      <c r="E101" s="8" t="inlineStr">
        <is>
          <t>DW75</t>
        </is>
      </c>
      <c r="F101" s="8" t="inlineStr">
        <is>
          <t>D343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10000364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20220516</t>
        </is>
      </c>
      <c r="M101" s="8" t="inlineStr">
        <is>
          <t>20241216</t>
        </is>
      </c>
      <c r="N101" s="10" t="n">
        <v>146.13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900002370</v>
      </c>
      <c r="D102" s="7">
        <f>IFERROR(VLOOKUP(C102,TRAOPE!$G:$H,2,0),"")</f>
        <v/>
      </c>
      <c r="E102" s="8" t="inlineStr">
        <is>
          <t>DW75</t>
        </is>
      </c>
      <c r="F102" s="8" t="inlineStr">
        <is>
          <t>D343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10043600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20250301</t>
        </is>
      </c>
      <c r="M102" s="8" t="inlineStr">
        <is>
          <t>99991231</t>
        </is>
      </c>
      <c r="N102" s="10" t="n">
        <v>248.31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900002370</v>
      </c>
      <c r="D103" s="7">
        <f>IFERROR(VLOOKUP(C103,TRAOPE!$G:$H,2,0),"")</f>
        <v/>
      </c>
      <c r="E103" s="8" t="inlineStr">
        <is>
          <t>DW75</t>
        </is>
      </c>
      <c r="F103" s="8" t="inlineStr">
        <is>
          <t>D343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10043601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20250301</t>
        </is>
      </c>
      <c r="M103" s="8" t="inlineStr">
        <is>
          <t>99991231</t>
        </is>
      </c>
      <c r="N103" s="10" t="n">
        <v>248.73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900002370</v>
      </c>
      <c r="D104" s="7">
        <f>IFERROR(VLOOKUP(C104,TRAOPE!$G:$H,2,0),"")</f>
        <v/>
      </c>
      <c r="E104" s="8" t="inlineStr">
        <is>
          <t>DW75</t>
        </is>
      </c>
      <c r="F104" s="8" t="inlineStr">
        <is>
          <t>D343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10045642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20250301</t>
        </is>
      </c>
      <c r="M104" s="8" t="inlineStr">
        <is>
          <t>20260215</t>
        </is>
      </c>
      <c r="N104" s="10" t="n">
        <v>237.12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900002370</v>
      </c>
      <c r="D105" s="7">
        <f>IFERROR(VLOOKUP(C105,TRAOPE!$G:$H,2,0),"")</f>
        <v/>
      </c>
      <c r="E105" s="8" t="inlineStr">
        <is>
          <t>DW75</t>
        </is>
      </c>
      <c r="F105" s="8" t="inlineStr">
        <is>
          <t>D343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10147933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20250301</t>
        </is>
      </c>
      <c r="M105" s="8" t="inlineStr">
        <is>
          <t>20260215</t>
        </is>
      </c>
      <c r="N105" s="10" t="n">
        <v>253.49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900002370</v>
      </c>
      <c r="D106" s="7">
        <f>IFERROR(VLOOKUP(C106,TRAOPE!$G:$H,2,0),"")</f>
        <v/>
      </c>
      <c r="E106" s="8" t="inlineStr">
        <is>
          <t>DW75</t>
        </is>
      </c>
      <c r="F106" s="8" t="inlineStr">
        <is>
          <t>D343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10151191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20250301</t>
        </is>
      </c>
      <c r="M106" s="8" t="inlineStr">
        <is>
          <t>99991231</t>
        </is>
      </c>
      <c r="N106" s="10" t="n">
        <v>227.09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900002370</v>
      </c>
      <c r="D107" s="7">
        <f>IFERROR(VLOOKUP(C107,TRAOPE!$G:$H,2,0),"")</f>
        <v/>
      </c>
      <c r="E107" s="8" t="inlineStr">
        <is>
          <t>DW75</t>
        </is>
      </c>
      <c r="F107" s="8" t="inlineStr">
        <is>
          <t>D343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10189747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20220516</t>
        </is>
      </c>
      <c r="M107" s="8" t="inlineStr">
        <is>
          <t>20241216</t>
        </is>
      </c>
      <c r="N107" s="10" t="n">
        <v>235.35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900002370</v>
      </c>
      <c r="D108" s="7">
        <f>IFERROR(VLOOKUP(C108,TRAOPE!$G:$H,2,0),"")</f>
        <v/>
      </c>
      <c r="E108" s="8" t="inlineStr">
        <is>
          <t>DW75</t>
        </is>
      </c>
      <c r="F108" s="8" t="inlineStr">
        <is>
          <t>D349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10000364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20220516</t>
        </is>
      </c>
      <c r="M108" s="8" t="inlineStr">
        <is>
          <t>20241216</t>
        </is>
      </c>
      <c r="N108" s="10" t="n">
        <v>146.13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900002370</v>
      </c>
      <c r="D109" s="7">
        <f>IFERROR(VLOOKUP(C109,TRAOPE!$G:$H,2,0),"")</f>
        <v/>
      </c>
      <c r="E109" s="8" t="inlineStr">
        <is>
          <t>DW75</t>
        </is>
      </c>
      <c r="F109" s="8" t="inlineStr">
        <is>
          <t>D349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10000587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20220516</t>
        </is>
      </c>
      <c r="M109" s="8" t="inlineStr">
        <is>
          <t>20241216</t>
        </is>
      </c>
      <c r="N109" s="10" t="n">
        <v>75.73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900002370</v>
      </c>
      <c r="D110" s="7">
        <f>IFERROR(VLOOKUP(C110,TRAOPE!$G:$H,2,0),"")</f>
        <v/>
      </c>
      <c r="E110" s="8" t="inlineStr">
        <is>
          <t>DW75</t>
        </is>
      </c>
      <c r="F110" s="8" t="inlineStr">
        <is>
          <t>D349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10043600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20250301</t>
        </is>
      </c>
      <c r="M110" s="8" t="inlineStr">
        <is>
          <t>20260215</t>
        </is>
      </c>
      <c r="N110" s="10" t="n">
        <v>248.31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900002370</v>
      </c>
      <c r="D111" s="7">
        <f>IFERROR(VLOOKUP(C111,TRAOPE!$G:$H,2,0),"")</f>
        <v/>
      </c>
      <c r="E111" s="8" t="inlineStr">
        <is>
          <t>DW75</t>
        </is>
      </c>
      <c r="F111" s="8" t="inlineStr">
        <is>
          <t>D349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10043601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20250301</t>
        </is>
      </c>
      <c r="M111" s="8" t="inlineStr">
        <is>
          <t>99991231</t>
        </is>
      </c>
      <c r="N111" s="10" t="n">
        <v>248.73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900002370</v>
      </c>
      <c r="D112" s="7">
        <f>IFERROR(VLOOKUP(C112,TRAOPE!$G:$H,2,0),"")</f>
        <v/>
      </c>
      <c r="E112" s="8" t="inlineStr">
        <is>
          <t>DW75</t>
        </is>
      </c>
      <c r="F112" s="8" t="inlineStr">
        <is>
          <t>D349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10045642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20250301</t>
        </is>
      </c>
      <c r="M112" s="8" t="inlineStr">
        <is>
          <t>20260215</t>
        </is>
      </c>
      <c r="N112" s="10" t="n">
        <v>237.12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900002370</v>
      </c>
      <c r="D113" s="7">
        <f>IFERROR(VLOOKUP(C113,TRAOPE!$G:$H,2,0),"")</f>
        <v/>
      </c>
      <c r="E113" s="8" t="inlineStr">
        <is>
          <t>DW75</t>
        </is>
      </c>
      <c r="F113" s="8" t="inlineStr">
        <is>
          <t>D349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10147933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20250301</t>
        </is>
      </c>
      <c r="M113" s="8" t="inlineStr">
        <is>
          <t>20260215</t>
        </is>
      </c>
      <c r="N113" s="10" t="n">
        <v>253.49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900002370</v>
      </c>
      <c r="D114" s="7">
        <f>IFERROR(VLOOKUP(C114,TRAOPE!$G:$H,2,0),"")</f>
        <v/>
      </c>
      <c r="E114" s="8" t="inlineStr">
        <is>
          <t>DW75</t>
        </is>
      </c>
      <c r="F114" s="8" t="inlineStr">
        <is>
          <t>D349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10151191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20260603</t>
        </is>
      </c>
      <c r="M114" s="8" t="inlineStr">
        <is>
          <t>99991231</t>
        </is>
      </c>
      <c r="N114" s="10" t="n">
        <v>227.09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900002370</v>
      </c>
      <c r="D115" s="7">
        <f>IFERROR(VLOOKUP(C115,TRAOPE!$G:$H,2,0),"")</f>
        <v/>
      </c>
      <c r="E115" s="8" t="inlineStr">
        <is>
          <t>DW75</t>
        </is>
      </c>
      <c r="F115" s="8" t="inlineStr">
        <is>
          <t>D349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10189747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20220516</t>
        </is>
      </c>
      <c r="M115" s="8" t="inlineStr">
        <is>
          <t>20241216</t>
        </is>
      </c>
      <c r="N115" s="10" t="n">
        <v>235.35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900002370</v>
      </c>
      <c r="D116" s="7">
        <f>IFERROR(VLOOKUP(C116,TRAOPE!$G:$H,2,0),"")</f>
        <v/>
      </c>
      <c r="E116" s="8" t="inlineStr">
        <is>
          <t>DW75</t>
        </is>
      </c>
      <c r="F116" s="8" t="inlineStr">
        <is>
          <t>D358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10043600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20250301</t>
        </is>
      </c>
      <c r="M116" s="8" t="inlineStr">
        <is>
          <t>99991231</t>
        </is>
      </c>
      <c r="N116" s="10" t="n">
        <v>248.31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900002370</v>
      </c>
      <c r="D117" s="7">
        <f>IFERROR(VLOOKUP(C117,TRAOPE!$G:$H,2,0),"")</f>
        <v/>
      </c>
      <c r="E117" s="8" t="inlineStr">
        <is>
          <t>DW75</t>
        </is>
      </c>
      <c r="F117" s="8" t="inlineStr">
        <is>
          <t>D358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10043601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20250301</t>
        </is>
      </c>
      <c r="M117" s="8" t="inlineStr">
        <is>
          <t>99991231</t>
        </is>
      </c>
      <c r="N117" s="10" t="n">
        <v>248.73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900002370</v>
      </c>
      <c r="D118" s="7">
        <f>IFERROR(VLOOKUP(C118,TRAOPE!$G:$H,2,0),"")</f>
        <v/>
      </c>
      <c r="E118" s="8" t="inlineStr">
        <is>
          <t>DW75</t>
        </is>
      </c>
      <c r="F118" s="8" t="inlineStr">
        <is>
          <t>D358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10045642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20250301</t>
        </is>
      </c>
      <c r="M118" s="8" t="inlineStr">
        <is>
          <t>20260215</t>
        </is>
      </c>
      <c r="N118" s="10" t="n">
        <v>237.12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900002370</v>
      </c>
      <c r="D119" s="7">
        <f>IFERROR(VLOOKUP(C119,TRAOPE!$G:$H,2,0),"")</f>
        <v/>
      </c>
      <c r="E119" s="8" t="inlineStr">
        <is>
          <t>DW75</t>
        </is>
      </c>
      <c r="F119" s="8" t="inlineStr">
        <is>
          <t>D358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10147933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20250301</t>
        </is>
      </c>
      <c r="M119" s="8" t="inlineStr">
        <is>
          <t>20251031</t>
        </is>
      </c>
      <c r="N119" s="10" t="n">
        <v>253.49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900002370</v>
      </c>
      <c r="D120" s="7">
        <f>IFERROR(VLOOKUP(C120,TRAOPE!$G:$H,2,0),"")</f>
        <v/>
      </c>
      <c r="E120" s="8" t="inlineStr">
        <is>
          <t>DW75</t>
        </is>
      </c>
      <c r="F120" s="8" t="inlineStr">
        <is>
          <t>D358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10151191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20260414</t>
        </is>
      </c>
      <c r="M120" s="8" t="inlineStr">
        <is>
          <t>99991231</t>
        </is>
      </c>
      <c r="N120" s="10" t="n">
        <v>227.09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900002370</v>
      </c>
      <c r="D121" s="7">
        <f>IFERROR(VLOOKUP(C121,TRAOPE!$G:$H,2,0),"")</f>
        <v/>
      </c>
      <c r="E121" s="8" t="inlineStr">
        <is>
          <t>DW75</t>
        </is>
      </c>
      <c r="F121" s="8" t="inlineStr">
        <is>
          <t>D678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10000364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20220516</t>
        </is>
      </c>
      <c r="M121" s="8" t="inlineStr">
        <is>
          <t>20241216</t>
        </is>
      </c>
      <c r="N121" s="10" t="n">
        <v>288.57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900002370</v>
      </c>
      <c r="D122" s="7">
        <f>IFERROR(VLOOKUP(C122,TRAOPE!$G:$H,2,0),"")</f>
        <v/>
      </c>
      <c r="E122" s="8" t="inlineStr">
        <is>
          <t>DW75</t>
        </is>
      </c>
      <c r="F122" s="8" t="inlineStr">
        <is>
          <t>D678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10000587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20220516</t>
        </is>
      </c>
      <c r="M122" s="8" t="inlineStr">
        <is>
          <t>20241216</t>
        </is>
      </c>
      <c r="N122" s="10" t="n">
        <v>67.89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900002370</v>
      </c>
      <c r="D123" s="7">
        <f>IFERROR(VLOOKUP(C123,TRAOPE!$G:$H,2,0),"")</f>
        <v/>
      </c>
      <c r="E123" s="8" t="inlineStr">
        <is>
          <t>DW75</t>
        </is>
      </c>
      <c r="F123" s="8" t="inlineStr">
        <is>
          <t>D678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10043600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20220516</t>
        </is>
      </c>
      <c r="M123" s="8" t="inlineStr">
        <is>
          <t>20241216</t>
        </is>
      </c>
      <c r="N123" s="10" t="n">
        <v>157.24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900002370</v>
      </c>
      <c r="D124" s="7">
        <f>IFERROR(VLOOKUP(C124,TRAOPE!$G:$H,2,0),"")</f>
        <v/>
      </c>
      <c r="E124" s="8" t="inlineStr">
        <is>
          <t>DW75</t>
        </is>
      </c>
      <c r="F124" s="8" t="inlineStr">
        <is>
          <t>D678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10043601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20220516</t>
        </is>
      </c>
      <c r="M124" s="8" t="inlineStr">
        <is>
          <t>20241216</t>
        </is>
      </c>
      <c r="N124" s="10" t="n">
        <v>157.51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900002370</v>
      </c>
      <c r="D125" s="7">
        <f>IFERROR(VLOOKUP(C125,TRAOPE!$G:$H,2,0),"")</f>
        <v/>
      </c>
      <c r="E125" s="8" t="inlineStr">
        <is>
          <t>DW75</t>
        </is>
      </c>
      <c r="F125" s="8" t="inlineStr">
        <is>
          <t>D678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10045642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20220516</t>
        </is>
      </c>
      <c r="M125" s="8" t="inlineStr">
        <is>
          <t>20241216</t>
        </is>
      </c>
      <c r="N125" s="10" t="n">
        <v>137.18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900002370</v>
      </c>
      <c r="D126" s="7">
        <f>IFERROR(VLOOKUP(C126,TRAOPE!$G:$H,2,0),"")</f>
        <v/>
      </c>
      <c r="E126" s="8" t="inlineStr">
        <is>
          <t>DW75</t>
        </is>
      </c>
      <c r="F126" s="8" t="inlineStr">
        <is>
          <t>D678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10147933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20220516</t>
        </is>
      </c>
      <c r="M126" s="8" t="inlineStr">
        <is>
          <t>20241216</t>
        </is>
      </c>
      <c r="N126" s="10" t="n">
        <v>146.65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900002370</v>
      </c>
      <c r="D127" s="7">
        <f>IFERROR(VLOOKUP(C127,TRAOPE!$G:$H,2,0),"")</f>
        <v/>
      </c>
      <c r="E127" s="8" t="inlineStr">
        <is>
          <t>DW75</t>
        </is>
      </c>
      <c r="F127" s="8" t="inlineStr">
        <is>
          <t>D678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10151191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20220516</t>
        </is>
      </c>
      <c r="M127" s="8" t="inlineStr">
        <is>
          <t>20241216</t>
        </is>
      </c>
      <c r="N127" s="10" t="n">
        <v>143.8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900002370</v>
      </c>
      <c r="D128" s="7">
        <f>IFERROR(VLOOKUP(C128,TRAOPE!$G:$H,2,0),"")</f>
        <v/>
      </c>
      <c r="E128" s="8" t="inlineStr">
        <is>
          <t>DW75</t>
        </is>
      </c>
      <c r="F128" s="8" t="inlineStr">
        <is>
          <t>E674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10043600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20250301</t>
        </is>
      </c>
      <c r="M128" s="8" t="inlineStr">
        <is>
          <t>20251031</t>
        </is>
      </c>
      <c r="N128" s="10" t="n">
        <v>218.84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900002370</v>
      </c>
      <c r="D129" s="7">
        <f>IFERROR(VLOOKUP(C129,TRAOPE!$G:$H,2,0),"")</f>
        <v/>
      </c>
      <c r="E129" s="8" t="inlineStr">
        <is>
          <t>DW75</t>
        </is>
      </c>
      <c r="F129" s="8" t="inlineStr">
        <is>
          <t>E674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10043601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20220516</t>
        </is>
      </c>
      <c r="M129" s="8" t="inlineStr">
        <is>
          <t>20241216</t>
        </is>
      </c>
      <c r="N129" s="10" t="n">
        <v>192.8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900002370</v>
      </c>
      <c r="D130" s="7">
        <f>IFERROR(VLOOKUP(C130,TRAOPE!$G:$H,2,0),"")</f>
        <v/>
      </c>
      <c r="E130" s="8" t="inlineStr">
        <is>
          <t>DW75</t>
        </is>
      </c>
      <c r="F130" s="8" t="inlineStr">
        <is>
          <t>E674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10045642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20220516</t>
        </is>
      </c>
      <c r="M130" s="8" t="inlineStr">
        <is>
          <t>20241216</t>
        </is>
      </c>
      <c r="N130" s="10" t="n">
        <v>167.91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900002370</v>
      </c>
      <c r="D131" s="7">
        <f>IFERROR(VLOOKUP(C131,TRAOPE!$G:$H,2,0),"")</f>
        <v/>
      </c>
      <c r="E131" s="8" t="inlineStr">
        <is>
          <t>DW75</t>
        </is>
      </c>
      <c r="F131" s="8" t="inlineStr">
        <is>
          <t>E674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10147933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20220516</t>
        </is>
      </c>
      <c r="M131" s="8" t="inlineStr">
        <is>
          <t>20241216</t>
        </is>
      </c>
      <c r="N131" s="10" t="n">
        <v>179.51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900002370</v>
      </c>
      <c r="D132" s="7">
        <f>IFERROR(VLOOKUP(C132,TRAOPE!$G:$H,2,0),"")</f>
        <v/>
      </c>
      <c r="E132" s="8" t="inlineStr">
        <is>
          <t>DW75</t>
        </is>
      </c>
      <c r="F132" s="8" t="inlineStr">
        <is>
          <t>E674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10151191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20220516</t>
        </is>
      </c>
      <c r="M132" s="8" t="inlineStr">
        <is>
          <t>20241216</t>
        </is>
      </c>
      <c r="N132" s="10" t="n">
        <v>176.02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900002370</v>
      </c>
      <c r="D133" s="7">
        <f>IFERROR(VLOOKUP(C133,TRAOPE!$G:$H,2,0),"")</f>
        <v/>
      </c>
      <c r="E133" s="8" t="inlineStr">
        <is>
          <t>DW75</t>
        </is>
      </c>
      <c r="F133" s="8" t="inlineStr">
        <is>
          <t>E674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10189747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20220516</t>
        </is>
      </c>
      <c r="M133" s="8" t="inlineStr">
        <is>
          <t>20241216</t>
        </is>
      </c>
      <c r="N133" s="10" t="n">
        <v>191.66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900003833</v>
      </c>
      <c r="D134" s="7">
        <f>IFERROR(VLOOKUP(C134,TRAOPE!$G:$H,2,0),"")</f>
        <v/>
      </c>
      <c r="E134" s="8" t="inlineStr">
        <is>
          <t>DW75</t>
        </is>
      </c>
      <c r="F134" s="8" t="inlineStr">
        <is>
          <t>D278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10222859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20220516</t>
        </is>
      </c>
      <c r="M134" s="8" t="inlineStr">
        <is>
          <t>20241216</t>
        </is>
      </c>
      <c r="N134" s="10" t="n">
        <v>164.96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900003833</v>
      </c>
      <c r="D135" s="7">
        <f>IFERROR(VLOOKUP(C135,TRAOPE!$G:$H,2,0),"")</f>
        <v/>
      </c>
      <c r="E135" s="8" t="inlineStr">
        <is>
          <t>DW75</t>
        </is>
      </c>
      <c r="F135" s="8" t="inlineStr">
        <is>
          <t>D327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10222859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20220516</t>
        </is>
      </c>
      <c r="M135" s="8" t="inlineStr">
        <is>
          <t>20241216</t>
        </is>
      </c>
      <c r="N135" s="10" t="n">
        <v>164.96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900003833</v>
      </c>
      <c r="D136" s="7">
        <f>IFERROR(VLOOKUP(C136,TRAOPE!$G:$H,2,0),"")</f>
        <v/>
      </c>
      <c r="E136" s="8" t="inlineStr">
        <is>
          <t>DW75</t>
        </is>
      </c>
      <c r="F136" s="8" t="inlineStr">
        <is>
          <t>D343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10222859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20220516</t>
        </is>
      </c>
      <c r="M136" s="8" t="inlineStr">
        <is>
          <t>20241216</t>
        </is>
      </c>
      <c r="N136" s="10" t="n">
        <v>164.96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900003833</v>
      </c>
      <c r="D137" s="7">
        <f>IFERROR(VLOOKUP(C137,TRAOPE!$G:$H,2,0),"")</f>
        <v/>
      </c>
      <c r="E137" s="8" t="inlineStr">
        <is>
          <t>DW75</t>
        </is>
      </c>
      <c r="F137" s="8" t="inlineStr">
        <is>
          <t>E674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10222859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20221003</t>
        </is>
      </c>
      <c r="M137" s="8" t="inlineStr">
        <is>
          <t>20240801</t>
        </is>
      </c>
      <c r="N137" s="10" t="n">
        <v>164.96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900003903</v>
      </c>
      <c r="D138" s="7">
        <f>IFERROR(VLOOKUP(C138,TRAOPE!$G:$H,2,0),"")</f>
        <v/>
      </c>
      <c r="E138" s="8" t="inlineStr">
        <is>
          <t>DW75</t>
        </is>
      </c>
      <c r="F138" s="8" t="inlineStr">
        <is>
          <t>E674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10000826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20240726</t>
        </is>
      </c>
      <c r="M138" s="8" t="inlineStr">
        <is>
          <t>20241023</t>
        </is>
      </c>
      <c r="N138" s="10" t="n">
        <v>41.38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900005305</v>
      </c>
      <c r="D139" s="7">
        <f>IFERROR(VLOOKUP(C139,TRAOPE!$G:$H,2,0),"")</f>
        <v/>
      </c>
      <c r="E139" s="8" t="inlineStr">
        <is>
          <t>DW75</t>
        </is>
      </c>
      <c r="F139" s="8" t="inlineStr">
        <is>
          <t>D063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10151196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20240726</t>
        </is>
      </c>
      <c r="M139" s="8" t="inlineStr">
        <is>
          <t>20241023</t>
        </is>
      </c>
      <c r="N139" s="10" t="n">
        <v>199.7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900005305</v>
      </c>
      <c r="D140" s="7">
        <f>IFERROR(VLOOKUP(C140,TRAOPE!$G:$H,2,0),"")</f>
        <v/>
      </c>
      <c r="E140" s="8" t="inlineStr">
        <is>
          <t>DW75</t>
        </is>
      </c>
      <c r="F140" s="8" t="inlineStr">
        <is>
          <t>D112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10151196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20240726</t>
        </is>
      </c>
      <c r="M140" s="8" t="inlineStr">
        <is>
          <t>20241023</t>
        </is>
      </c>
      <c r="N140" s="10" t="n">
        <v>199.7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900005305</v>
      </c>
      <c r="D141" s="7">
        <f>IFERROR(VLOOKUP(C141,TRAOPE!$G:$H,2,0),"")</f>
        <v/>
      </c>
      <c r="E141" s="8" t="inlineStr">
        <is>
          <t>DW75</t>
        </is>
      </c>
      <c r="F141" s="8" t="inlineStr">
        <is>
          <t>D278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10151196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20240726</t>
        </is>
      </c>
      <c r="M141" s="8" t="inlineStr">
        <is>
          <t>20241023</t>
        </is>
      </c>
      <c r="N141" s="10" t="n">
        <v>199.7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900005305</v>
      </c>
      <c r="D142" s="7">
        <f>IFERROR(VLOOKUP(C142,TRAOPE!$G:$H,2,0),"")</f>
        <v/>
      </c>
      <c r="E142" s="8" t="inlineStr">
        <is>
          <t>DW75</t>
        </is>
      </c>
      <c r="F142" s="8" t="inlineStr">
        <is>
          <t>D343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10151196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20240726</t>
        </is>
      </c>
      <c r="M142" s="8" t="inlineStr">
        <is>
          <t>20241023</t>
        </is>
      </c>
      <c r="N142" s="10" t="n">
        <v>199.7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900005305</v>
      </c>
      <c r="D143" s="7">
        <f>IFERROR(VLOOKUP(C143,TRAOPE!$G:$H,2,0),"")</f>
        <v/>
      </c>
      <c r="E143" s="8" t="inlineStr">
        <is>
          <t>DW75</t>
        </is>
      </c>
      <c r="F143" s="8" t="inlineStr">
        <is>
          <t>D349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10151196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20240726</t>
        </is>
      </c>
      <c r="M143" s="8" t="inlineStr">
        <is>
          <t>20241023</t>
        </is>
      </c>
      <c r="N143" s="10" t="n">
        <v>199.7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900005465</v>
      </c>
      <c r="D144" s="7">
        <f>IFERROR(VLOOKUP(C144,TRAOPE!$G:$H,2,0),"")</f>
        <v/>
      </c>
      <c r="E144" s="8" t="inlineStr">
        <is>
          <t>DW75</t>
        </is>
      </c>
      <c r="F144" s="8" t="inlineStr">
        <is>
          <t>D063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10000716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20240726</t>
        </is>
      </c>
      <c r="M144" s="8" t="inlineStr">
        <is>
          <t>20241023</t>
        </is>
      </c>
      <c r="N144" s="10" t="n">
        <v>329.95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900005465</v>
      </c>
      <c r="D145" s="7">
        <f>IFERROR(VLOOKUP(C145,TRAOPE!$G:$H,2,0),"")</f>
        <v/>
      </c>
      <c r="E145" s="8" t="inlineStr">
        <is>
          <t>DW75</t>
        </is>
      </c>
      <c r="F145" s="8" t="inlineStr">
        <is>
          <t>D063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10147933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20240726</t>
        </is>
      </c>
      <c r="M145" s="8" t="inlineStr">
        <is>
          <t>20241023</t>
        </is>
      </c>
      <c r="N145" s="10" t="n">
        <v>290.7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900005465</v>
      </c>
      <c r="D146" s="7">
        <f>IFERROR(VLOOKUP(C146,TRAOPE!$G:$H,2,0),"")</f>
        <v/>
      </c>
      <c r="E146" s="8" t="inlineStr">
        <is>
          <t>DW75</t>
        </is>
      </c>
      <c r="F146" s="8" t="inlineStr">
        <is>
          <t>D063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10149958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20240726</t>
        </is>
      </c>
      <c r="M146" s="8" t="inlineStr">
        <is>
          <t>20241023</t>
        </is>
      </c>
      <c r="N146" s="10" t="n">
        <v>290.91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900005465</v>
      </c>
      <c r="D147" s="7">
        <f>IFERROR(VLOOKUP(C147,TRAOPE!$G:$H,2,0),"")</f>
        <v/>
      </c>
      <c r="E147" s="8" t="inlineStr">
        <is>
          <t>DW75</t>
        </is>
      </c>
      <c r="F147" s="8" t="inlineStr">
        <is>
          <t>D063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10150617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20240726</t>
        </is>
      </c>
      <c r="M147" s="8" t="inlineStr">
        <is>
          <t>20241023</t>
        </is>
      </c>
      <c r="N147" s="10" t="n">
        <v>350.72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900005465</v>
      </c>
      <c r="D148" s="7">
        <f>IFERROR(VLOOKUP(C148,TRAOPE!$G:$H,2,0),"")</f>
        <v/>
      </c>
      <c r="E148" s="8" t="inlineStr">
        <is>
          <t>DW75</t>
        </is>
      </c>
      <c r="F148" s="8" t="inlineStr">
        <is>
          <t>D063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10151192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20240726</t>
        </is>
      </c>
      <c r="M148" s="8" t="inlineStr">
        <is>
          <t>20241023</t>
        </is>
      </c>
      <c r="N148" s="10" t="n">
        <v>333.62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900005465</v>
      </c>
      <c r="D149" s="7">
        <f>IFERROR(VLOOKUP(C149,TRAOPE!$G:$H,2,0),"")</f>
        <v/>
      </c>
      <c r="E149" s="8" t="inlineStr">
        <is>
          <t>DW75</t>
        </is>
      </c>
      <c r="F149" s="8" t="inlineStr">
        <is>
          <t>D112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10000716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20240726</t>
        </is>
      </c>
      <c r="M149" s="8" t="inlineStr">
        <is>
          <t>20241023</t>
        </is>
      </c>
      <c r="N149" s="10" t="n">
        <v>329.95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900005465</v>
      </c>
      <c r="D150" s="7">
        <f>IFERROR(VLOOKUP(C150,TRAOPE!$G:$H,2,0),"")</f>
        <v/>
      </c>
      <c r="E150" s="8" t="inlineStr">
        <is>
          <t>DW75</t>
        </is>
      </c>
      <c r="F150" s="8" t="inlineStr">
        <is>
          <t>D112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10147933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20240726</t>
        </is>
      </c>
      <c r="M150" s="8" t="inlineStr">
        <is>
          <t>20241023</t>
        </is>
      </c>
      <c r="N150" s="10" t="n">
        <v>290.7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900005465</v>
      </c>
      <c r="D151" s="7">
        <f>IFERROR(VLOOKUP(C151,TRAOPE!$G:$H,2,0),"")</f>
        <v/>
      </c>
      <c r="E151" s="8" t="inlineStr">
        <is>
          <t>DW75</t>
        </is>
      </c>
      <c r="F151" s="8" t="inlineStr">
        <is>
          <t>D112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10149958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20240726</t>
        </is>
      </c>
      <c r="M151" s="8" t="inlineStr">
        <is>
          <t>20241023</t>
        </is>
      </c>
      <c r="N151" s="10" t="n">
        <v>290.91</v>
      </c>
      <c r="O151" s="10">
        <f>IFERROR(VLOOKUP(A151,Flete!$A:$J,10,0),"")</f>
        <v/>
      </c>
      <c r="P151" s="8" t="inlineStr">
        <is>
          <t>TN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900005465</v>
      </c>
      <c r="D152" s="7">
        <f>IFERROR(VLOOKUP(C152,TRAOPE!$G:$H,2,0),"")</f>
        <v/>
      </c>
      <c r="E152" s="8" t="inlineStr">
        <is>
          <t>DW75</t>
        </is>
      </c>
      <c r="F152" s="8" t="inlineStr">
        <is>
          <t>D112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10150617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20240726</t>
        </is>
      </c>
      <c r="M152" s="8" t="inlineStr">
        <is>
          <t>20241023</t>
        </is>
      </c>
      <c r="N152" s="10" t="n">
        <v>350.72</v>
      </c>
      <c r="O152" s="10">
        <f>IFERROR(VLOOKUP(A152,Flete!$A:$J,10,0),"")</f>
        <v/>
      </c>
      <c r="P152" s="8" t="inlineStr">
        <is>
          <t>TN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900005465</v>
      </c>
      <c r="D153" s="7">
        <f>IFERROR(VLOOKUP(C153,TRAOPE!$G:$H,2,0),"")</f>
        <v/>
      </c>
      <c r="E153" s="8" t="inlineStr">
        <is>
          <t>DW75</t>
        </is>
      </c>
      <c r="F153" s="8" t="inlineStr">
        <is>
          <t>D112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10151192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20240726</t>
        </is>
      </c>
      <c r="M153" s="8" t="inlineStr">
        <is>
          <t>20241023</t>
        </is>
      </c>
      <c r="N153" s="10" t="n">
        <v>333.62</v>
      </c>
      <c r="O153" s="10">
        <f>IFERROR(VLOOKUP(A153,Flete!$A:$J,10,0),"")</f>
        <v/>
      </c>
      <c r="P153" s="8" t="inlineStr">
        <is>
          <t>TN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900005465</v>
      </c>
      <c r="D154" s="7">
        <f>IFERROR(VLOOKUP(C154,TRAOPE!$G:$H,2,0),"")</f>
        <v/>
      </c>
      <c r="E154" s="8" t="inlineStr">
        <is>
          <t>DW75</t>
        </is>
      </c>
      <c r="F154" s="8" t="inlineStr">
        <is>
          <t>D278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10000716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20240726</t>
        </is>
      </c>
      <c r="M154" s="8" t="inlineStr">
        <is>
          <t>20241023</t>
        </is>
      </c>
      <c r="N154" s="10" t="n">
        <v>329.95</v>
      </c>
      <c r="O154" s="10">
        <f>IFERROR(VLOOKUP(A154,Flete!$A:$J,10,0),"")</f>
        <v/>
      </c>
      <c r="P154" s="8" t="inlineStr">
        <is>
          <t>TN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900005465</v>
      </c>
      <c r="D155" s="7">
        <f>IFERROR(VLOOKUP(C155,TRAOPE!$G:$H,2,0),"")</f>
        <v/>
      </c>
      <c r="E155" s="8" t="inlineStr">
        <is>
          <t>DW75</t>
        </is>
      </c>
      <c r="F155" s="8" t="inlineStr">
        <is>
          <t>D278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10147933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20240726</t>
        </is>
      </c>
      <c r="M155" s="8" t="inlineStr">
        <is>
          <t>20241023</t>
        </is>
      </c>
      <c r="N155" s="10" t="n">
        <v>290.7</v>
      </c>
      <c r="O155" s="10">
        <f>IFERROR(VLOOKUP(A155,Flete!$A:$J,10,0),"")</f>
        <v/>
      </c>
      <c r="P155" s="8" t="inlineStr">
        <is>
          <t>TN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900005465</v>
      </c>
      <c r="D156" s="7">
        <f>IFERROR(VLOOKUP(C156,TRAOPE!$G:$H,2,0),"")</f>
        <v/>
      </c>
      <c r="E156" s="8" t="inlineStr">
        <is>
          <t>DW75</t>
        </is>
      </c>
      <c r="F156" s="8" t="inlineStr">
        <is>
          <t>D278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10149958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20240726</t>
        </is>
      </c>
      <c r="M156" s="8" t="inlineStr">
        <is>
          <t>20241023</t>
        </is>
      </c>
      <c r="N156" s="10" t="n">
        <v>290.91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900005465</v>
      </c>
      <c r="D157" s="7">
        <f>IFERROR(VLOOKUP(C157,TRAOPE!$G:$H,2,0),"")</f>
        <v/>
      </c>
      <c r="E157" s="8" t="inlineStr">
        <is>
          <t>DW75</t>
        </is>
      </c>
      <c r="F157" s="8" t="inlineStr">
        <is>
          <t>D278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10150617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20240726</t>
        </is>
      </c>
      <c r="M157" s="8" t="inlineStr">
        <is>
          <t>20241023</t>
        </is>
      </c>
      <c r="N157" s="10" t="n">
        <v>350.72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900005465</v>
      </c>
      <c r="D158" s="7">
        <f>IFERROR(VLOOKUP(C158,TRAOPE!$G:$H,2,0),"")</f>
        <v/>
      </c>
      <c r="E158" s="8" t="inlineStr">
        <is>
          <t>DW75</t>
        </is>
      </c>
      <c r="F158" s="8" t="inlineStr">
        <is>
          <t>D278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10151192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20240726</t>
        </is>
      </c>
      <c r="M158" s="8" t="inlineStr">
        <is>
          <t>20241023</t>
        </is>
      </c>
      <c r="N158" s="10" t="n">
        <v>333.62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900005465</v>
      </c>
      <c r="D159" s="7">
        <f>IFERROR(VLOOKUP(C159,TRAOPE!$G:$H,2,0),"")</f>
        <v/>
      </c>
      <c r="E159" s="8" t="inlineStr">
        <is>
          <t>DW75</t>
        </is>
      </c>
      <c r="F159" s="8" t="inlineStr">
        <is>
          <t>D312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10000716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20240726</t>
        </is>
      </c>
      <c r="M159" s="8" t="inlineStr">
        <is>
          <t>20241023</t>
        </is>
      </c>
      <c r="N159" s="10" t="n">
        <v>329.95</v>
      </c>
      <c r="O159" s="10">
        <f>IFERROR(VLOOKUP(A159,Flete!$A:$J,10,0),"")</f>
        <v/>
      </c>
      <c r="P159" s="8" t="inlineStr">
        <is>
          <t>TN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900005465</v>
      </c>
      <c r="D160" s="7">
        <f>IFERROR(VLOOKUP(C160,TRAOPE!$G:$H,2,0),"")</f>
        <v/>
      </c>
      <c r="E160" s="8" t="inlineStr">
        <is>
          <t>DW75</t>
        </is>
      </c>
      <c r="F160" s="8" t="inlineStr">
        <is>
          <t>D312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10147933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20240726</t>
        </is>
      </c>
      <c r="M160" s="8" t="inlineStr">
        <is>
          <t>20241023</t>
        </is>
      </c>
      <c r="N160" s="10" t="n">
        <v>290.7</v>
      </c>
      <c r="O160" s="10">
        <f>IFERROR(VLOOKUP(A160,Flete!$A:$J,10,0),"")</f>
        <v/>
      </c>
      <c r="P160" s="8" t="inlineStr">
        <is>
          <t>TN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900005465</v>
      </c>
      <c r="D161" s="7">
        <f>IFERROR(VLOOKUP(C161,TRAOPE!$G:$H,2,0),"")</f>
        <v/>
      </c>
      <c r="E161" s="8" t="inlineStr">
        <is>
          <t>DW75</t>
        </is>
      </c>
      <c r="F161" s="8" t="inlineStr">
        <is>
          <t>D312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10149958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20240726</t>
        </is>
      </c>
      <c r="M161" s="8" t="inlineStr">
        <is>
          <t>20241023</t>
        </is>
      </c>
      <c r="N161" s="10" t="n">
        <v>290.91</v>
      </c>
      <c r="O161" s="10">
        <f>IFERROR(VLOOKUP(A161,Flete!$A:$J,10,0),"")</f>
        <v/>
      </c>
      <c r="P161" s="8" t="inlineStr">
        <is>
          <t>TN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900005465</v>
      </c>
      <c r="D162" s="7">
        <f>IFERROR(VLOOKUP(C162,TRAOPE!$G:$H,2,0),"")</f>
        <v/>
      </c>
      <c r="E162" s="8" t="inlineStr">
        <is>
          <t>DW75</t>
        </is>
      </c>
      <c r="F162" s="8" t="inlineStr">
        <is>
          <t>D312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10150617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20240726</t>
        </is>
      </c>
      <c r="M162" s="8" t="inlineStr">
        <is>
          <t>20241023</t>
        </is>
      </c>
      <c r="N162" s="10" t="n">
        <v>350.72</v>
      </c>
      <c r="O162" s="10">
        <f>IFERROR(VLOOKUP(A162,Flete!$A:$J,10,0),"")</f>
        <v/>
      </c>
      <c r="P162" s="8" t="inlineStr">
        <is>
          <t>TN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900005465</v>
      </c>
      <c r="D163" s="7">
        <f>IFERROR(VLOOKUP(C163,TRAOPE!$G:$H,2,0),"")</f>
        <v/>
      </c>
      <c r="E163" s="8" t="inlineStr">
        <is>
          <t>DW75</t>
        </is>
      </c>
      <c r="F163" s="8" t="inlineStr">
        <is>
          <t>D312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10151192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20240726</t>
        </is>
      </c>
      <c r="M163" s="8" t="inlineStr">
        <is>
          <t>20241023</t>
        </is>
      </c>
      <c r="N163" s="10" t="n">
        <v>333.62</v>
      </c>
      <c r="O163" s="10">
        <f>IFERROR(VLOOKUP(A163,Flete!$A:$J,10,0),"")</f>
        <v/>
      </c>
      <c r="P163" s="8" t="inlineStr">
        <is>
          <t>TN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900005465</v>
      </c>
      <c r="D164" s="7">
        <f>IFERROR(VLOOKUP(C164,TRAOPE!$G:$H,2,0),"")</f>
        <v/>
      </c>
      <c r="E164" s="8" t="inlineStr">
        <is>
          <t>DW75</t>
        </is>
      </c>
      <c r="F164" s="8" t="inlineStr">
        <is>
          <t>D315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10000716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20240726</t>
        </is>
      </c>
      <c r="M164" s="8" t="inlineStr">
        <is>
          <t>20241023</t>
        </is>
      </c>
      <c r="N164" s="10" t="n">
        <v>160.3</v>
      </c>
      <c r="O164" s="10">
        <f>IFERROR(VLOOKUP(A164,Flete!$A:$J,10,0),"")</f>
        <v/>
      </c>
      <c r="P164" s="8" t="inlineStr">
        <is>
          <t>TN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900005465</v>
      </c>
      <c r="D165" s="7">
        <f>IFERROR(VLOOKUP(C165,TRAOPE!$G:$H,2,0),"")</f>
        <v/>
      </c>
      <c r="E165" s="8" t="inlineStr">
        <is>
          <t>DW75</t>
        </is>
      </c>
      <c r="F165" s="8" t="inlineStr">
        <is>
          <t>D315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10149958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20240726</t>
        </is>
      </c>
      <c r="M165" s="8" t="inlineStr">
        <is>
          <t>20241023</t>
        </is>
      </c>
      <c r="N165" s="10" t="n">
        <v>145.45</v>
      </c>
      <c r="O165" s="10">
        <f>IFERROR(VLOOKUP(A165,Flete!$A:$J,10,0),"")</f>
        <v/>
      </c>
      <c r="P165" s="8" t="inlineStr">
        <is>
          <t>TN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900005465</v>
      </c>
      <c r="D166" s="7">
        <f>IFERROR(VLOOKUP(C166,TRAOPE!$G:$H,2,0),"")</f>
        <v/>
      </c>
      <c r="E166" s="8" t="inlineStr">
        <is>
          <t>DW75</t>
        </is>
      </c>
      <c r="F166" s="8" t="inlineStr">
        <is>
          <t>D315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10150617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20240726</t>
        </is>
      </c>
      <c r="M166" s="8" t="inlineStr">
        <is>
          <t>20241023</t>
        </is>
      </c>
      <c r="N166" s="10" t="n">
        <v>175.12</v>
      </c>
      <c r="O166" s="10">
        <f>IFERROR(VLOOKUP(A166,Flete!$A:$J,10,0),"")</f>
        <v/>
      </c>
      <c r="P166" s="8" t="inlineStr">
        <is>
          <t>TN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900005465</v>
      </c>
      <c r="D167" s="7">
        <f>IFERROR(VLOOKUP(C167,TRAOPE!$G:$H,2,0),"")</f>
        <v/>
      </c>
      <c r="E167" s="8" t="inlineStr">
        <is>
          <t>DW75</t>
        </is>
      </c>
      <c r="F167" s="8" t="inlineStr">
        <is>
          <t>D315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10151192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20240726</t>
        </is>
      </c>
      <c r="M167" s="8" t="inlineStr">
        <is>
          <t>20241023</t>
        </is>
      </c>
      <c r="N167" s="10" t="n">
        <v>166.58</v>
      </c>
      <c r="O167" s="10">
        <f>IFERROR(VLOOKUP(A167,Flete!$A:$J,10,0),"")</f>
        <v/>
      </c>
      <c r="P167" s="8" t="inlineStr">
        <is>
          <t>TN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900005465</v>
      </c>
      <c r="D168" s="7">
        <f>IFERROR(VLOOKUP(C168,TRAOPE!$G:$H,2,0),"")</f>
        <v/>
      </c>
      <c r="E168" s="8" t="inlineStr">
        <is>
          <t>DW75</t>
        </is>
      </c>
      <c r="F168" s="8" t="inlineStr">
        <is>
          <t>D327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10000716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20240726</t>
        </is>
      </c>
      <c r="M168" s="8" t="inlineStr">
        <is>
          <t>20241023</t>
        </is>
      </c>
      <c r="N168" s="10" t="n">
        <v>329.95</v>
      </c>
      <c r="O168" s="10">
        <f>IFERROR(VLOOKUP(A168,Flete!$A:$J,10,0),"")</f>
        <v/>
      </c>
      <c r="P168" s="8" t="inlineStr">
        <is>
          <t>TN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900005465</v>
      </c>
      <c r="D169" s="7">
        <f>IFERROR(VLOOKUP(C169,TRAOPE!$G:$H,2,0),"")</f>
        <v/>
      </c>
      <c r="E169" s="8" t="inlineStr">
        <is>
          <t>DW75</t>
        </is>
      </c>
      <c r="F169" s="8" t="inlineStr">
        <is>
          <t>D327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10147933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20240726</t>
        </is>
      </c>
      <c r="M169" s="8" t="inlineStr">
        <is>
          <t>20241023</t>
        </is>
      </c>
      <c r="N169" s="10" t="n">
        <v>290.7</v>
      </c>
      <c r="O169" s="10">
        <f>IFERROR(VLOOKUP(A169,Flete!$A:$J,10,0),"")</f>
        <v/>
      </c>
      <c r="P169" s="8" t="inlineStr">
        <is>
          <t>TN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900005465</v>
      </c>
      <c r="D170" s="7">
        <f>IFERROR(VLOOKUP(C170,TRAOPE!$G:$H,2,0),"")</f>
        <v/>
      </c>
      <c r="E170" s="8" t="inlineStr">
        <is>
          <t>DW75</t>
        </is>
      </c>
      <c r="F170" s="8" t="inlineStr">
        <is>
          <t>D327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10149958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20240726</t>
        </is>
      </c>
      <c r="M170" s="8" t="inlineStr">
        <is>
          <t>20241023</t>
        </is>
      </c>
      <c r="N170" s="10" t="n">
        <v>290.91</v>
      </c>
      <c r="O170" s="10">
        <f>IFERROR(VLOOKUP(A170,Flete!$A:$J,10,0),"")</f>
        <v/>
      </c>
      <c r="P170" s="8" t="inlineStr">
        <is>
          <t>TN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900005465</v>
      </c>
      <c r="D171" s="7">
        <f>IFERROR(VLOOKUP(C171,TRAOPE!$G:$H,2,0),"")</f>
        <v/>
      </c>
      <c r="E171" s="8" t="inlineStr">
        <is>
          <t>DW75</t>
        </is>
      </c>
      <c r="F171" s="8" t="inlineStr">
        <is>
          <t>D327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10150617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20240726</t>
        </is>
      </c>
      <c r="M171" s="8" t="inlineStr">
        <is>
          <t>20241023</t>
        </is>
      </c>
      <c r="N171" s="10" t="n">
        <v>350.72</v>
      </c>
      <c r="O171" s="10">
        <f>IFERROR(VLOOKUP(A171,Flete!$A:$J,10,0),"")</f>
        <v/>
      </c>
      <c r="P171" s="8" t="inlineStr">
        <is>
          <t>TN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900005465</v>
      </c>
      <c r="D172" s="7">
        <f>IFERROR(VLOOKUP(C172,TRAOPE!$G:$H,2,0),"")</f>
        <v/>
      </c>
      <c r="E172" s="8" t="inlineStr">
        <is>
          <t>DW75</t>
        </is>
      </c>
      <c r="F172" s="8" t="inlineStr">
        <is>
          <t>D327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10151192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20240726</t>
        </is>
      </c>
      <c r="M172" s="8" t="inlineStr">
        <is>
          <t>20241023</t>
        </is>
      </c>
      <c r="N172" s="10" t="n">
        <v>333.62</v>
      </c>
      <c r="O172" s="10">
        <f>IFERROR(VLOOKUP(A172,Flete!$A:$J,10,0),"")</f>
        <v/>
      </c>
      <c r="P172" s="8" t="inlineStr">
        <is>
          <t>TN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900005465</v>
      </c>
      <c r="D173" s="7">
        <f>IFERROR(VLOOKUP(C173,TRAOPE!$G:$H,2,0),"")</f>
        <v/>
      </c>
      <c r="E173" s="8" t="inlineStr">
        <is>
          <t>DW75</t>
        </is>
      </c>
      <c r="F173" s="8" t="inlineStr">
        <is>
          <t>D331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10000716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20220516</t>
        </is>
      </c>
      <c r="M173" s="8" t="inlineStr">
        <is>
          <t>20241216</t>
        </is>
      </c>
      <c r="N173" s="10" t="n">
        <v>176.73</v>
      </c>
      <c r="O173" s="10">
        <f>IFERROR(VLOOKUP(A173,Flete!$A:$J,10,0),"")</f>
        <v/>
      </c>
      <c r="P173" s="8" t="inlineStr">
        <is>
          <t>TN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900005465</v>
      </c>
      <c r="D174" s="7">
        <f>IFERROR(VLOOKUP(C174,TRAOPE!$G:$H,2,0),"")</f>
        <v/>
      </c>
      <c r="E174" s="8" t="inlineStr">
        <is>
          <t>DW75</t>
        </is>
      </c>
      <c r="F174" s="8" t="inlineStr">
        <is>
          <t>D331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10147933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20220516</t>
        </is>
      </c>
      <c r="M174" s="8" t="inlineStr">
        <is>
          <t>20241216</t>
        </is>
      </c>
      <c r="N174" s="10" t="n">
        <v>156.03</v>
      </c>
      <c r="O174" s="10">
        <f>IFERROR(VLOOKUP(A174,Flete!$A:$J,10,0),"")</f>
        <v/>
      </c>
      <c r="P174" s="8" t="inlineStr">
        <is>
          <t>TN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900005465</v>
      </c>
      <c r="D175" s="7">
        <f>IFERROR(VLOOKUP(C175,TRAOPE!$G:$H,2,0),"")</f>
        <v/>
      </c>
      <c r="E175" s="8" t="inlineStr">
        <is>
          <t>DW75</t>
        </is>
      </c>
      <c r="F175" s="8" t="inlineStr">
        <is>
          <t>D331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10149958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20220516</t>
        </is>
      </c>
      <c r="M175" s="8" t="inlineStr">
        <is>
          <t>20241216</t>
        </is>
      </c>
      <c r="N175" s="10" t="n">
        <v>156.14</v>
      </c>
      <c r="O175" s="10">
        <f>IFERROR(VLOOKUP(A175,Flete!$A:$J,10,0),"")</f>
        <v/>
      </c>
      <c r="P175" s="8" t="inlineStr">
        <is>
          <t>TN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900005465</v>
      </c>
      <c r="D176" s="7">
        <f>IFERROR(VLOOKUP(C176,TRAOPE!$G:$H,2,0),"")</f>
        <v/>
      </c>
      <c r="E176" s="8" t="inlineStr">
        <is>
          <t>DW75</t>
        </is>
      </c>
      <c r="F176" s="8" t="inlineStr">
        <is>
          <t>D331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10150617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20220516</t>
        </is>
      </c>
      <c r="M176" s="8" t="inlineStr">
        <is>
          <t>20241216</t>
        </is>
      </c>
      <c r="N176" s="10" t="n">
        <v>187.85</v>
      </c>
      <c r="O176" s="10">
        <f>IFERROR(VLOOKUP(A176,Flete!$A:$J,10,0),"")</f>
        <v/>
      </c>
      <c r="P176" s="8" t="inlineStr">
        <is>
          <t>TN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900005465</v>
      </c>
      <c r="D177" s="7">
        <f>IFERROR(VLOOKUP(C177,TRAOPE!$G:$H,2,0),"")</f>
        <v/>
      </c>
      <c r="E177" s="8" t="inlineStr">
        <is>
          <t>DW75</t>
        </is>
      </c>
      <c r="F177" s="8" t="inlineStr">
        <is>
          <t>D331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10151192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20220516</t>
        </is>
      </c>
      <c r="M177" s="8" t="inlineStr">
        <is>
          <t>20241216</t>
        </is>
      </c>
      <c r="N177" s="10" t="n">
        <v>178.7</v>
      </c>
      <c r="O177" s="10">
        <f>IFERROR(VLOOKUP(A177,Flete!$A:$J,10,0),"")</f>
        <v/>
      </c>
      <c r="P177" s="8" t="inlineStr">
        <is>
          <t>TN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900005465</v>
      </c>
      <c r="D178" s="7">
        <f>IFERROR(VLOOKUP(C178,TRAOPE!$G:$H,2,0),"")</f>
        <v/>
      </c>
      <c r="E178" s="8" t="inlineStr">
        <is>
          <t>DW75</t>
        </is>
      </c>
      <c r="F178" s="8" t="inlineStr">
        <is>
          <t>D343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10000716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20240726</t>
        </is>
      </c>
      <c r="M178" s="8" t="inlineStr">
        <is>
          <t>20241023</t>
        </is>
      </c>
      <c r="N178" s="10" t="n">
        <v>329.95</v>
      </c>
      <c r="O178" s="10">
        <f>IFERROR(VLOOKUP(A178,Flete!$A:$J,10,0),"")</f>
        <v/>
      </c>
      <c r="P178" s="8" t="inlineStr">
        <is>
          <t>TN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900005465</v>
      </c>
      <c r="D179" s="7">
        <f>IFERROR(VLOOKUP(C179,TRAOPE!$G:$H,2,0),"")</f>
        <v/>
      </c>
      <c r="E179" s="8" t="inlineStr">
        <is>
          <t>DW75</t>
        </is>
      </c>
      <c r="F179" s="8" t="inlineStr">
        <is>
          <t>D343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10147933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20240726</t>
        </is>
      </c>
      <c r="M179" s="8" t="inlineStr">
        <is>
          <t>20241023</t>
        </is>
      </c>
      <c r="N179" s="10" t="n">
        <v>290.7</v>
      </c>
      <c r="O179" s="10">
        <f>IFERROR(VLOOKUP(A179,Flete!$A:$J,10,0),"")</f>
        <v/>
      </c>
      <c r="P179" s="8" t="inlineStr">
        <is>
          <t>TN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900005465</v>
      </c>
      <c r="D180" s="7">
        <f>IFERROR(VLOOKUP(C180,TRAOPE!$G:$H,2,0),"")</f>
        <v/>
      </c>
      <c r="E180" s="8" t="inlineStr">
        <is>
          <t>DW75</t>
        </is>
      </c>
      <c r="F180" s="8" t="inlineStr">
        <is>
          <t>D343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10149958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20240726</t>
        </is>
      </c>
      <c r="M180" s="8" t="inlineStr">
        <is>
          <t>20241023</t>
        </is>
      </c>
      <c r="N180" s="10" t="n">
        <v>290.91</v>
      </c>
      <c r="O180" s="10">
        <f>IFERROR(VLOOKUP(A180,Flete!$A:$J,10,0),"")</f>
        <v/>
      </c>
      <c r="P180" s="8" t="inlineStr">
        <is>
          <t>TN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900005465</v>
      </c>
      <c r="D181" s="7">
        <f>IFERROR(VLOOKUP(C181,TRAOPE!$G:$H,2,0),"")</f>
        <v/>
      </c>
      <c r="E181" s="8" t="inlineStr">
        <is>
          <t>DW75</t>
        </is>
      </c>
      <c r="F181" s="8" t="inlineStr">
        <is>
          <t>D343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10150617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20240726</t>
        </is>
      </c>
      <c r="M181" s="8" t="inlineStr">
        <is>
          <t>20241023</t>
        </is>
      </c>
      <c r="N181" s="10" t="n">
        <v>350.72</v>
      </c>
      <c r="O181" s="10">
        <f>IFERROR(VLOOKUP(A181,Flete!$A:$J,10,0),"")</f>
        <v/>
      </c>
      <c r="P181" s="8" t="inlineStr">
        <is>
          <t>TN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900005465</v>
      </c>
      <c r="D182" s="7">
        <f>IFERROR(VLOOKUP(C182,TRAOPE!$G:$H,2,0),"")</f>
        <v/>
      </c>
      <c r="E182" s="8" t="inlineStr">
        <is>
          <t>DW75</t>
        </is>
      </c>
      <c r="F182" s="8" t="inlineStr">
        <is>
          <t>D343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10151192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20240726</t>
        </is>
      </c>
      <c r="M182" s="8" t="inlineStr">
        <is>
          <t>20241023</t>
        </is>
      </c>
      <c r="N182" s="10" t="n">
        <v>333.62</v>
      </c>
      <c r="O182" s="10">
        <f>IFERROR(VLOOKUP(A182,Flete!$A:$J,10,0),"")</f>
        <v/>
      </c>
      <c r="P182" s="8" t="inlineStr">
        <is>
          <t>TN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900005465</v>
      </c>
      <c r="D183" s="7">
        <f>IFERROR(VLOOKUP(C183,TRAOPE!$G:$H,2,0),"")</f>
        <v/>
      </c>
      <c r="E183" s="8" t="inlineStr">
        <is>
          <t>DW75</t>
        </is>
      </c>
      <c r="F183" s="8" t="inlineStr">
        <is>
          <t>D349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10000716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20240726</t>
        </is>
      </c>
      <c r="M183" s="8" t="inlineStr">
        <is>
          <t>20241023</t>
        </is>
      </c>
      <c r="N183" s="10" t="n">
        <v>329.95</v>
      </c>
      <c r="O183" s="10">
        <f>IFERROR(VLOOKUP(A183,Flete!$A:$J,10,0),"")</f>
        <v/>
      </c>
      <c r="P183" s="8" t="inlineStr">
        <is>
          <t>TN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900005465</v>
      </c>
      <c r="D184" s="7">
        <f>IFERROR(VLOOKUP(C184,TRAOPE!$G:$H,2,0),"")</f>
        <v/>
      </c>
      <c r="E184" s="8" t="inlineStr">
        <is>
          <t>DW75</t>
        </is>
      </c>
      <c r="F184" s="8" t="inlineStr">
        <is>
          <t>D349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10147933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20240726</t>
        </is>
      </c>
      <c r="M184" s="8" t="inlineStr">
        <is>
          <t>20241023</t>
        </is>
      </c>
      <c r="N184" s="10" t="n">
        <v>290.7</v>
      </c>
      <c r="O184" s="10">
        <f>IFERROR(VLOOKUP(A184,Flete!$A:$J,10,0),"")</f>
        <v/>
      </c>
      <c r="P184" s="8" t="inlineStr">
        <is>
          <t>TN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900005465</v>
      </c>
      <c r="D185" s="7">
        <f>IFERROR(VLOOKUP(C185,TRAOPE!$G:$H,2,0),"")</f>
        <v/>
      </c>
      <c r="E185" s="8" t="inlineStr">
        <is>
          <t>DW75</t>
        </is>
      </c>
      <c r="F185" s="8" t="inlineStr">
        <is>
          <t>D349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10149958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20240726</t>
        </is>
      </c>
      <c r="M185" s="8" t="inlineStr">
        <is>
          <t>20241023</t>
        </is>
      </c>
      <c r="N185" s="10" t="n">
        <v>290.91</v>
      </c>
      <c r="O185" s="10">
        <f>IFERROR(VLOOKUP(A185,Flete!$A:$J,10,0),"")</f>
        <v/>
      </c>
      <c r="P185" s="8" t="inlineStr">
        <is>
          <t>TN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900005465</v>
      </c>
      <c r="D186" s="7">
        <f>IFERROR(VLOOKUP(C186,TRAOPE!$G:$H,2,0),"")</f>
        <v/>
      </c>
      <c r="E186" s="8" t="inlineStr">
        <is>
          <t>DW75</t>
        </is>
      </c>
      <c r="F186" s="8" t="inlineStr">
        <is>
          <t>D349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10150617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20240726</t>
        </is>
      </c>
      <c r="M186" s="8" t="inlineStr">
        <is>
          <t>20241023</t>
        </is>
      </c>
      <c r="N186" s="10" t="n">
        <v>350.72</v>
      </c>
      <c r="O186" s="10">
        <f>IFERROR(VLOOKUP(A186,Flete!$A:$J,10,0),"")</f>
        <v/>
      </c>
      <c r="P186" s="8" t="inlineStr">
        <is>
          <t>TN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900005465</v>
      </c>
      <c r="D187" s="7">
        <f>IFERROR(VLOOKUP(C187,TRAOPE!$G:$H,2,0),"")</f>
        <v/>
      </c>
      <c r="E187" s="8" t="inlineStr">
        <is>
          <t>DW75</t>
        </is>
      </c>
      <c r="F187" s="8" t="inlineStr">
        <is>
          <t>D349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10151192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20240726</t>
        </is>
      </c>
      <c r="M187" s="8" t="inlineStr">
        <is>
          <t>20241023</t>
        </is>
      </c>
      <c r="N187" s="10" t="n">
        <v>333.62</v>
      </c>
      <c r="O187" s="10">
        <f>IFERROR(VLOOKUP(A187,Flete!$A:$J,10,0),"")</f>
        <v/>
      </c>
      <c r="P187" s="8" t="inlineStr">
        <is>
          <t>TN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900005465</v>
      </c>
      <c r="D188" s="7">
        <f>IFERROR(VLOOKUP(C188,TRAOPE!$G:$H,2,0),"")</f>
        <v/>
      </c>
      <c r="E188" s="8" t="inlineStr">
        <is>
          <t>DW75</t>
        </is>
      </c>
      <c r="F188" s="8" t="inlineStr">
        <is>
          <t>D678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10000716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20240726</t>
        </is>
      </c>
      <c r="M188" s="8" t="inlineStr">
        <is>
          <t>20241023</t>
        </is>
      </c>
      <c r="N188" s="10" t="n">
        <v>160.3</v>
      </c>
      <c r="O188" s="10">
        <f>IFERROR(VLOOKUP(A188,Flete!$A:$J,10,0),"")</f>
        <v/>
      </c>
      <c r="P188" s="8" t="inlineStr">
        <is>
          <t>TN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900005465</v>
      </c>
      <c r="D189" s="7">
        <f>IFERROR(VLOOKUP(C189,TRAOPE!$G:$H,2,0),"")</f>
        <v/>
      </c>
      <c r="E189" s="8" t="inlineStr">
        <is>
          <t>DW75</t>
        </is>
      </c>
      <c r="F189" s="8" t="inlineStr">
        <is>
          <t>D678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10149958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20240726</t>
        </is>
      </c>
      <c r="M189" s="8" t="inlineStr">
        <is>
          <t>20241023</t>
        </is>
      </c>
      <c r="N189" s="10" t="n">
        <v>141.63</v>
      </c>
      <c r="O189" s="10">
        <f>IFERROR(VLOOKUP(A189,Flete!$A:$J,10,0),"")</f>
        <v/>
      </c>
      <c r="P189" s="8" t="inlineStr">
        <is>
          <t>TN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900005465</v>
      </c>
      <c r="D190" s="7">
        <f>IFERROR(VLOOKUP(C190,TRAOPE!$G:$H,2,0),"")</f>
        <v/>
      </c>
      <c r="E190" s="8" t="inlineStr">
        <is>
          <t>DW75</t>
        </is>
      </c>
      <c r="F190" s="8" t="inlineStr">
        <is>
          <t>D678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10150617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20240726</t>
        </is>
      </c>
      <c r="M190" s="8" t="inlineStr">
        <is>
          <t>20241023</t>
        </is>
      </c>
      <c r="N190" s="10" t="n">
        <v>170.39</v>
      </c>
      <c r="O190" s="10">
        <f>IFERROR(VLOOKUP(A190,Flete!$A:$J,10,0),"")</f>
        <v/>
      </c>
      <c r="P190" s="8" t="inlineStr">
        <is>
          <t>TN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900005465</v>
      </c>
      <c r="D191" s="7">
        <f>IFERROR(VLOOKUP(C191,TRAOPE!$G:$H,2,0),"")</f>
        <v/>
      </c>
      <c r="E191" s="8" t="inlineStr">
        <is>
          <t>DW75</t>
        </is>
      </c>
      <c r="F191" s="8" t="inlineStr">
        <is>
          <t>D678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10151192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20240726</t>
        </is>
      </c>
      <c r="M191" s="8" t="inlineStr">
        <is>
          <t>20241023</t>
        </is>
      </c>
      <c r="N191" s="10" t="n">
        <v>162.08</v>
      </c>
      <c r="O191" s="10">
        <f>IFERROR(VLOOKUP(A191,Flete!$A:$J,10,0),"")</f>
        <v/>
      </c>
      <c r="P191" s="8" t="inlineStr">
        <is>
          <t>TN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900005465</v>
      </c>
      <c r="D192" s="7">
        <f>IFERROR(VLOOKUP(C192,TRAOPE!$G:$H,2,0),"")</f>
        <v/>
      </c>
      <c r="E192" s="8" t="inlineStr">
        <is>
          <t>DW75</t>
        </is>
      </c>
      <c r="F192" s="8" t="inlineStr">
        <is>
          <t>E674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10000716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20240726</t>
        </is>
      </c>
      <c r="M192" s="8" t="inlineStr">
        <is>
          <t>20241023</t>
        </is>
      </c>
      <c r="N192" s="10" t="n">
        <v>329.95</v>
      </c>
      <c r="O192" s="10">
        <f>IFERROR(VLOOKUP(A192,Flete!$A:$J,10,0),"")</f>
        <v/>
      </c>
      <c r="P192" s="8" t="inlineStr">
        <is>
          <t>TN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900005465</v>
      </c>
      <c r="D193" s="7">
        <f>IFERROR(VLOOKUP(C193,TRAOPE!$G:$H,2,0),"")</f>
        <v/>
      </c>
      <c r="E193" s="8" t="inlineStr">
        <is>
          <t>DW75</t>
        </is>
      </c>
      <c r="F193" s="8" t="inlineStr">
        <is>
          <t>E674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10147933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20240726</t>
        </is>
      </c>
      <c r="M193" s="8" t="inlineStr">
        <is>
          <t>20241023</t>
        </is>
      </c>
      <c r="N193" s="10" t="n">
        <v>290.7</v>
      </c>
      <c r="O193" s="10">
        <f>IFERROR(VLOOKUP(A193,Flete!$A:$J,10,0),"")</f>
        <v/>
      </c>
      <c r="P193" s="8" t="inlineStr">
        <is>
          <t>TN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900005465</v>
      </c>
      <c r="D194" s="7">
        <f>IFERROR(VLOOKUP(C194,TRAOPE!$G:$H,2,0),"")</f>
        <v/>
      </c>
      <c r="E194" s="8" t="inlineStr">
        <is>
          <t>DW75</t>
        </is>
      </c>
      <c r="F194" s="8" t="inlineStr">
        <is>
          <t>E674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10149958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20240726</t>
        </is>
      </c>
      <c r="M194" s="8" t="inlineStr">
        <is>
          <t>20241023</t>
        </is>
      </c>
      <c r="N194" s="10" t="n">
        <v>290.91</v>
      </c>
      <c r="O194" s="10">
        <f>IFERROR(VLOOKUP(A194,Flete!$A:$J,10,0),"")</f>
        <v/>
      </c>
      <c r="P194" s="8" t="inlineStr">
        <is>
          <t>TN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900005465</v>
      </c>
      <c r="D195" s="7">
        <f>IFERROR(VLOOKUP(C195,TRAOPE!$G:$H,2,0),"")</f>
        <v/>
      </c>
      <c r="E195" s="8" t="inlineStr">
        <is>
          <t>DW75</t>
        </is>
      </c>
      <c r="F195" s="8" t="inlineStr">
        <is>
          <t>E674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10150617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20240726</t>
        </is>
      </c>
      <c r="M195" s="8" t="inlineStr">
        <is>
          <t>20241023</t>
        </is>
      </c>
      <c r="N195" s="10" t="n">
        <v>350.72</v>
      </c>
      <c r="O195" s="10">
        <f>IFERROR(VLOOKUP(A195,Flete!$A:$J,10,0),"")</f>
        <v/>
      </c>
      <c r="P195" s="8" t="inlineStr">
        <is>
          <t>TN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900005465</v>
      </c>
      <c r="D196" s="7">
        <f>IFERROR(VLOOKUP(C196,TRAOPE!$G:$H,2,0),"")</f>
        <v/>
      </c>
      <c r="E196" s="8" t="inlineStr">
        <is>
          <t>DW75</t>
        </is>
      </c>
      <c r="F196" s="8" t="inlineStr">
        <is>
          <t>E674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10151192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20240726</t>
        </is>
      </c>
      <c r="M196" s="8" t="inlineStr">
        <is>
          <t>20241023</t>
        </is>
      </c>
      <c r="N196" s="10" t="n">
        <v>333.62</v>
      </c>
      <c r="O196" s="10">
        <f>IFERROR(VLOOKUP(A196,Flete!$A:$J,10,0),"")</f>
        <v/>
      </c>
      <c r="P196" s="8" t="inlineStr">
        <is>
          <t>TN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900005467</v>
      </c>
      <c r="D197" s="7">
        <f>IFERROR(VLOOKUP(C197,TRAOPE!$G:$H,2,0),"")</f>
        <v/>
      </c>
      <c r="E197" s="8" t="inlineStr">
        <is>
          <t>DW75</t>
        </is>
      </c>
      <c r="F197" s="8" t="inlineStr">
        <is>
          <t>D278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10000716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20240726</t>
        </is>
      </c>
      <c r="M197" s="8" t="inlineStr">
        <is>
          <t>20241023</t>
        </is>
      </c>
      <c r="N197" s="10" t="n">
        <v>260.58</v>
      </c>
      <c r="O197" s="10">
        <f>IFERROR(VLOOKUP(A197,Flete!$A:$J,10,0),"")</f>
        <v/>
      </c>
      <c r="P197" s="8" t="inlineStr">
        <is>
          <t>TN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900005467</v>
      </c>
      <c r="D198" s="7">
        <f>IFERROR(VLOOKUP(C198,TRAOPE!$G:$H,2,0),"")</f>
        <v/>
      </c>
      <c r="E198" s="8" t="inlineStr">
        <is>
          <t>DW75</t>
        </is>
      </c>
      <c r="F198" s="8" t="inlineStr">
        <is>
          <t>D278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10147933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20240726</t>
        </is>
      </c>
      <c r="M198" s="8" t="inlineStr">
        <is>
          <t>20241023</t>
        </is>
      </c>
      <c r="N198" s="10" t="n">
        <v>239.83</v>
      </c>
      <c r="O198" s="10">
        <f>IFERROR(VLOOKUP(A198,Flete!$A:$J,10,0),"")</f>
        <v/>
      </c>
      <c r="P198" s="8" t="inlineStr">
        <is>
          <t>TN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900005467</v>
      </c>
      <c r="D199" s="7">
        <f>IFERROR(VLOOKUP(C199,TRAOPE!$G:$H,2,0),"")</f>
        <v/>
      </c>
      <c r="E199" s="8" t="inlineStr">
        <is>
          <t>DW75</t>
        </is>
      </c>
      <c r="F199" s="8" t="inlineStr">
        <is>
          <t>D278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10149958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20240726</t>
        </is>
      </c>
      <c r="M199" s="8" t="inlineStr">
        <is>
          <t>20241023</t>
        </is>
      </c>
      <c r="N199" s="10" t="n">
        <v>240</v>
      </c>
      <c r="O199" s="10">
        <f>IFERROR(VLOOKUP(A199,Flete!$A:$J,10,0),"")</f>
        <v/>
      </c>
      <c r="P199" s="8" t="inlineStr">
        <is>
          <t>TN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900005467</v>
      </c>
      <c r="D200" s="7">
        <f>IFERROR(VLOOKUP(C200,TRAOPE!$G:$H,2,0),"")</f>
        <v/>
      </c>
      <c r="E200" s="8" t="inlineStr">
        <is>
          <t>DW75</t>
        </is>
      </c>
      <c r="F200" s="8" t="inlineStr">
        <is>
          <t>D278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10150617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20240726</t>
        </is>
      </c>
      <c r="M200" s="8" t="inlineStr">
        <is>
          <t>20241023</t>
        </is>
      </c>
      <c r="N200" s="10" t="n">
        <v>276.98</v>
      </c>
      <c r="O200" s="10">
        <f>IFERROR(VLOOKUP(A200,Flete!$A:$J,10,0),"")</f>
        <v/>
      </c>
      <c r="P200" s="8" t="inlineStr">
        <is>
          <t>TN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900005467</v>
      </c>
      <c r="D201" s="7">
        <f>IFERROR(VLOOKUP(C201,TRAOPE!$G:$H,2,0),"")</f>
        <v/>
      </c>
      <c r="E201" s="8" t="inlineStr">
        <is>
          <t>DW75</t>
        </is>
      </c>
      <c r="F201" s="8" t="inlineStr">
        <is>
          <t>D278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10151192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20240726</t>
        </is>
      </c>
      <c r="M201" s="8" t="inlineStr">
        <is>
          <t>20241023</t>
        </is>
      </c>
      <c r="N201" s="10" t="n">
        <v>263.47</v>
      </c>
      <c r="O201" s="10">
        <f>IFERROR(VLOOKUP(A201,Flete!$A:$J,10,0),"")</f>
        <v/>
      </c>
      <c r="P201" s="8" t="inlineStr">
        <is>
          <t>TN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900005467</v>
      </c>
      <c r="D202" s="7">
        <f>IFERROR(VLOOKUP(C202,TRAOPE!$G:$H,2,0),"")</f>
        <v/>
      </c>
      <c r="E202" s="8" t="inlineStr">
        <is>
          <t>DW75</t>
        </is>
      </c>
      <c r="F202" s="8" t="inlineStr">
        <is>
          <t>D312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10000716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20240726</t>
        </is>
      </c>
      <c r="M202" s="8" t="inlineStr">
        <is>
          <t>20241023</t>
        </is>
      </c>
      <c r="N202" s="10" t="n">
        <v>260.58</v>
      </c>
      <c r="O202" s="10">
        <f>IFERROR(VLOOKUP(A202,Flete!$A:$J,10,0),"")</f>
        <v/>
      </c>
      <c r="P202" s="8" t="inlineStr">
        <is>
          <t>TN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900005467</v>
      </c>
      <c r="D203" s="7">
        <f>IFERROR(VLOOKUP(C203,TRAOPE!$G:$H,2,0),"")</f>
        <v/>
      </c>
      <c r="E203" s="8" t="inlineStr">
        <is>
          <t>DW75</t>
        </is>
      </c>
      <c r="F203" s="8" t="inlineStr">
        <is>
          <t>D312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10147933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20240726</t>
        </is>
      </c>
      <c r="M203" s="8" t="inlineStr">
        <is>
          <t>20241023</t>
        </is>
      </c>
      <c r="N203" s="10" t="n">
        <v>239.83</v>
      </c>
      <c r="O203" s="10">
        <f>IFERROR(VLOOKUP(A203,Flete!$A:$J,10,0),"")</f>
        <v/>
      </c>
      <c r="P203" s="8" t="inlineStr">
        <is>
          <t>TN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900005467</v>
      </c>
      <c r="D204" s="7">
        <f>IFERROR(VLOOKUP(C204,TRAOPE!$G:$H,2,0),"")</f>
        <v/>
      </c>
      <c r="E204" s="8" t="inlineStr">
        <is>
          <t>DW75</t>
        </is>
      </c>
      <c r="F204" s="8" t="inlineStr">
        <is>
          <t>D312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10149958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20240726</t>
        </is>
      </c>
      <c r="M204" s="8" t="inlineStr">
        <is>
          <t>20241023</t>
        </is>
      </c>
      <c r="N204" s="10" t="n">
        <v>240</v>
      </c>
      <c r="O204" s="10">
        <f>IFERROR(VLOOKUP(A204,Flete!$A:$J,10,0),"")</f>
        <v/>
      </c>
      <c r="P204" s="8" t="inlineStr">
        <is>
          <t>TN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900005467</v>
      </c>
      <c r="D205" s="7">
        <f>IFERROR(VLOOKUP(C205,TRAOPE!$G:$H,2,0),"")</f>
        <v/>
      </c>
      <c r="E205" s="8" t="inlineStr">
        <is>
          <t>DW75</t>
        </is>
      </c>
      <c r="F205" s="8" t="inlineStr">
        <is>
          <t>D312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10150617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20240726</t>
        </is>
      </c>
      <c r="M205" s="8" t="inlineStr">
        <is>
          <t>20241023</t>
        </is>
      </c>
      <c r="N205" s="10" t="n">
        <v>276.98</v>
      </c>
      <c r="O205" s="10">
        <f>IFERROR(VLOOKUP(A205,Flete!$A:$J,10,0),"")</f>
        <v/>
      </c>
      <c r="P205" s="8" t="inlineStr">
        <is>
          <t>TN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900005467</v>
      </c>
      <c r="D206" s="7">
        <f>IFERROR(VLOOKUP(C206,TRAOPE!$G:$H,2,0),"")</f>
        <v/>
      </c>
      <c r="E206" s="8" t="inlineStr">
        <is>
          <t>DW75</t>
        </is>
      </c>
      <c r="F206" s="8" t="inlineStr">
        <is>
          <t>D312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10151192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20240726</t>
        </is>
      </c>
      <c r="M206" s="8" t="inlineStr">
        <is>
          <t>20241023</t>
        </is>
      </c>
      <c r="N206" s="10" t="n">
        <v>263.47</v>
      </c>
      <c r="O206" s="10">
        <f>IFERROR(VLOOKUP(A206,Flete!$A:$J,10,0),"")</f>
        <v/>
      </c>
      <c r="P206" s="8" t="inlineStr">
        <is>
          <t>TN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900005467</v>
      </c>
      <c r="D207" s="7">
        <f>IFERROR(VLOOKUP(C207,TRAOPE!$G:$H,2,0),"")</f>
        <v/>
      </c>
      <c r="E207" s="8" t="inlineStr">
        <is>
          <t>DW75</t>
        </is>
      </c>
      <c r="F207" s="8" t="inlineStr">
        <is>
          <t>D315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10000716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20240726</t>
        </is>
      </c>
      <c r="M207" s="8" t="inlineStr">
        <is>
          <t>20241023</t>
        </is>
      </c>
      <c r="N207" s="10" t="n">
        <v>236.89</v>
      </c>
      <c r="O207" s="10">
        <f>IFERROR(VLOOKUP(A207,Flete!$A:$J,10,0),"")</f>
        <v/>
      </c>
      <c r="P207" s="8" t="inlineStr">
        <is>
          <t>TN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900005467</v>
      </c>
      <c r="D208" s="7">
        <f>IFERROR(VLOOKUP(C208,TRAOPE!$G:$H,2,0),"")</f>
        <v/>
      </c>
      <c r="E208" s="8" t="inlineStr">
        <is>
          <t>DW75</t>
        </is>
      </c>
      <c r="F208" s="8" t="inlineStr">
        <is>
          <t>D315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10147933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20240726</t>
        </is>
      </c>
      <c r="M208" s="8" t="inlineStr">
        <is>
          <t>20241023</t>
        </is>
      </c>
      <c r="N208" s="10" t="n">
        <v>218.02</v>
      </c>
      <c r="O208" s="10">
        <f>IFERROR(VLOOKUP(A208,Flete!$A:$J,10,0),"")</f>
        <v/>
      </c>
      <c r="P208" s="8" t="inlineStr">
        <is>
          <t>TN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900005467</v>
      </c>
      <c r="D209" s="7">
        <f>IFERROR(VLOOKUP(C209,TRAOPE!$G:$H,2,0),"")</f>
        <v/>
      </c>
      <c r="E209" s="8" t="inlineStr">
        <is>
          <t>DW75</t>
        </is>
      </c>
      <c r="F209" s="8" t="inlineStr">
        <is>
          <t>D315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10149958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20240726</t>
        </is>
      </c>
      <c r="M209" s="8" t="inlineStr">
        <is>
          <t>20241023</t>
        </is>
      </c>
      <c r="N209" s="10" t="n">
        <v>218.18</v>
      </c>
      <c r="O209" s="10">
        <f>IFERROR(VLOOKUP(A209,Flete!$A:$J,10,0),"")</f>
        <v/>
      </c>
      <c r="P209" s="8" t="inlineStr">
        <is>
          <t>TN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900005467</v>
      </c>
      <c r="D210" s="7">
        <f>IFERROR(VLOOKUP(C210,TRAOPE!$G:$H,2,0),"")</f>
        <v/>
      </c>
      <c r="E210" s="8" t="inlineStr">
        <is>
          <t>DW75</t>
        </is>
      </c>
      <c r="F210" s="8" t="inlineStr">
        <is>
          <t>D315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10150617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20240726</t>
        </is>
      </c>
      <c r="M210" s="8" t="inlineStr">
        <is>
          <t>20241023</t>
        </is>
      </c>
      <c r="N210" s="10" t="n">
        <v>251.8</v>
      </c>
      <c r="O210" s="10">
        <f>IFERROR(VLOOKUP(A210,Flete!$A:$J,10,0),"")</f>
        <v/>
      </c>
      <c r="P210" s="8" t="inlineStr">
        <is>
          <t>TN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900005467</v>
      </c>
      <c r="D211" s="7">
        <f>IFERROR(VLOOKUP(C211,TRAOPE!$G:$H,2,0),"")</f>
        <v/>
      </c>
      <c r="E211" s="8" t="inlineStr">
        <is>
          <t>DW75</t>
        </is>
      </c>
      <c r="F211" s="8" t="inlineStr">
        <is>
          <t>D315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10151192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20240726</t>
        </is>
      </c>
      <c r="M211" s="8" t="inlineStr">
        <is>
          <t>20241023</t>
        </is>
      </c>
      <c r="N211" s="10" t="n">
        <v>239.52</v>
      </c>
      <c r="O211" s="10">
        <f>IFERROR(VLOOKUP(A211,Flete!$A:$J,10,0),"")</f>
        <v/>
      </c>
      <c r="P211" s="8" t="inlineStr">
        <is>
          <t>TN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900005467</v>
      </c>
      <c r="D212" s="7">
        <f>IFERROR(VLOOKUP(C212,TRAOPE!$G:$H,2,0),"")</f>
        <v/>
      </c>
      <c r="E212" s="8" t="inlineStr">
        <is>
          <t>DW75</t>
        </is>
      </c>
      <c r="F212" s="8" t="inlineStr">
        <is>
          <t>D327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10000716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20240726</t>
        </is>
      </c>
      <c r="M212" s="8" t="inlineStr">
        <is>
          <t>20241023</t>
        </is>
      </c>
      <c r="N212" s="10" t="n">
        <v>260.58</v>
      </c>
      <c r="O212" s="10">
        <f>IFERROR(VLOOKUP(A212,Flete!$A:$J,10,0),"")</f>
        <v/>
      </c>
      <c r="P212" s="8" t="inlineStr">
        <is>
          <t>TN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900005467</v>
      </c>
      <c r="D213" s="7">
        <f>IFERROR(VLOOKUP(C213,TRAOPE!$G:$H,2,0),"")</f>
        <v/>
      </c>
      <c r="E213" s="8" t="inlineStr">
        <is>
          <t>DW75</t>
        </is>
      </c>
      <c r="F213" s="8" t="inlineStr">
        <is>
          <t>D327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10147933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20240726</t>
        </is>
      </c>
      <c r="M213" s="8" t="inlineStr">
        <is>
          <t>20241023</t>
        </is>
      </c>
      <c r="N213" s="10" t="n">
        <v>239.83</v>
      </c>
      <c r="O213" s="10">
        <f>IFERROR(VLOOKUP(A213,Flete!$A:$J,10,0),"")</f>
        <v/>
      </c>
      <c r="P213" s="8" t="inlineStr">
        <is>
          <t>TN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900005467</v>
      </c>
      <c r="D214" s="7">
        <f>IFERROR(VLOOKUP(C214,TRAOPE!$G:$H,2,0),"")</f>
        <v/>
      </c>
      <c r="E214" s="8" t="inlineStr">
        <is>
          <t>DW75</t>
        </is>
      </c>
      <c r="F214" s="8" t="inlineStr">
        <is>
          <t>D327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10149958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20240726</t>
        </is>
      </c>
      <c r="M214" s="8" t="inlineStr">
        <is>
          <t>20241023</t>
        </is>
      </c>
      <c r="N214" s="10" t="n">
        <v>240</v>
      </c>
      <c r="O214" s="10">
        <f>IFERROR(VLOOKUP(A214,Flete!$A:$J,10,0),"")</f>
        <v/>
      </c>
      <c r="P214" s="8" t="inlineStr">
        <is>
          <t>TN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900005467</v>
      </c>
      <c r="D215" s="7">
        <f>IFERROR(VLOOKUP(C215,TRAOPE!$G:$H,2,0),"")</f>
        <v/>
      </c>
      <c r="E215" s="8" t="inlineStr">
        <is>
          <t>DW75</t>
        </is>
      </c>
      <c r="F215" s="8" t="inlineStr">
        <is>
          <t>D327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10150617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20240726</t>
        </is>
      </c>
      <c r="M215" s="8" t="inlineStr">
        <is>
          <t>20241023</t>
        </is>
      </c>
      <c r="N215" s="10" t="n">
        <v>276.98</v>
      </c>
      <c r="O215" s="10">
        <f>IFERROR(VLOOKUP(A215,Flete!$A:$J,10,0),"")</f>
        <v/>
      </c>
      <c r="P215" s="8" t="inlineStr">
        <is>
          <t>TN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900005467</v>
      </c>
      <c r="D216" s="7">
        <f>IFERROR(VLOOKUP(C216,TRAOPE!$G:$H,2,0),"")</f>
        <v/>
      </c>
      <c r="E216" s="8" t="inlineStr">
        <is>
          <t>DW75</t>
        </is>
      </c>
      <c r="F216" s="8" t="inlineStr">
        <is>
          <t>D327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10151192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20240726</t>
        </is>
      </c>
      <c r="M216" s="8" t="inlineStr">
        <is>
          <t>20241023</t>
        </is>
      </c>
      <c r="N216" s="10" t="n">
        <v>263.47</v>
      </c>
      <c r="O216" s="10">
        <f>IFERROR(VLOOKUP(A216,Flete!$A:$J,10,0),"")</f>
        <v/>
      </c>
      <c r="P216" s="8" t="inlineStr">
        <is>
          <t>TN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900005467</v>
      </c>
      <c r="D217" s="7">
        <f>IFERROR(VLOOKUP(C217,TRAOPE!$G:$H,2,0),"")</f>
        <v/>
      </c>
      <c r="E217" s="8" t="inlineStr">
        <is>
          <t>DW75</t>
        </is>
      </c>
      <c r="F217" s="8" t="inlineStr">
        <is>
          <t>D331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10000587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20240726</t>
        </is>
      </c>
      <c r="M217" s="8" t="inlineStr">
        <is>
          <t>20241023</t>
        </is>
      </c>
      <c r="N217" s="10" t="n">
        <v>73.33</v>
      </c>
      <c r="O217" s="10">
        <f>IFERROR(VLOOKUP(A217,Flete!$A:$J,10,0),"")</f>
        <v/>
      </c>
      <c r="P217" s="8" t="inlineStr">
        <is>
          <t>TN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900005467</v>
      </c>
      <c r="D218" s="7">
        <f>IFERROR(VLOOKUP(C218,TRAOPE!$G:$H,2,0),"")</f>
        <v/>
      </c>
      <c r="E218" s="8" t="inlineStr">
        <is>
          <t>DW75</t>
        </is>
      </c>
      <c r="F218" s="8" t="inlineStr">
        <is>
          <t>D331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10000716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20220516</t>
        </is>
      </c>
      <c r="M218" s="8" t="inlineStr">
        <is>
          <t>20241216</t>
        </is>
      </c>
      <c r="N218" s="10" t="n">
        <v>176.73</v>
      </c>
      <c r="O218" s="10">
        <f>IFERROR(VLOOKUP(A218,Flete!$A:$J,10,0),"")</f>
        <v/>
      </c>
      <c r="P218" s="8" t="inlineStr">
        <is>
          <t>TN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900005467</v>
      </c>
      <c r="D219" s="7">
        <f>IFERROR(VLOOKUP(C219,TRAOPE!$G:$H,2,0),"")</f>
        <v/>
      </c>
      <c r="E219" s="8" t="inlineStr">
        <is>
          <t>DW75</t>
        </is>
      </c>
      <c r="F219" s="8" t="inlineStr">
        <is>
          <t>D331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10147933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20220516</t>
        </is>
      </c>
      <c r="M219" s="8" t="inlineStr">
        <is>
          <t>20241216</t>
        </is>
      </c>
      <c r="N219" s="10" t="n">
        <v>156.03</v>
      </c>
      <c r="O219" s="10">
        <f>IFERROR(VLOOKUP(A219,Flete!$A:$J,10,0),"")</f>
        <v/>
      </c>
      <c r="P219" s="8" t="inlineStr">
        <is>
          <t>TN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900005467</v>
      </c>
      <c r="D220" s="7">
        <f>IFERROR(VLOOKUP(C220,TRAOPE!$G:$H,2,0),"")</f>
        <v/>
      </c>
      <c r="E220" s="8" t="inlineStr">
        <is>
          <t>DW75</t>
        </is>
      </c>
      <c r="F220" s="8" t="inlineStr">
        <is>
          <t>D331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10149958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20220516</t>
        </is>
      </c>
      <c r="M220" s="8" t="inlineStr">
        <is>
          <t>20241216</t>
        </is>
      </c>
      <c r="N220" s="10" t="n">
        <v>156.14</v>
      </c>
      <c r="O220" s="10">
        <f>IFERROR(VLOOKUP(A220,Flete!$A:$J,10,0),"")</f>
        <v/>
      </c>
      <c r="P220" s="8" t="inlineStr">
        <is>
          <t>TN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900005467</v>
      </c>
      <c r="D221" s="7">
        <f>IFERROR(VLOOKUP(C221,TRAOPE!$G:$H,2,0),"")</f>
        <v/>
      </c>
      <c r="E221" s="8" t="inlineStr">
        <is>
          <t>DW75</t>
        </is>
      </c>
      <c r="F221" s="8" t="inlineStr">
        <is>
          <t>D331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10150617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20220516</t>
        </is>
      </c>
      <c r="M221" s="8" t="inlineStr">
        <is>
          <t>20241216</t>
        </is>
      </c>
      <c r="N221" s="10" t="n">
        <v>187.85</v>
      </c>
      <c r="O221" s="10">
        <f>IFERROR(VLOOKUP(A221,Flete!$A:$J,10,0),"")</f>
        <v/>
      </c>
      <c r="P221" s="8" t="inlineStr">
        <is>
          <t>TN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900005467</v>
      </c>
      <c r="D222" s="7">
        <f>IFERROR(VLOOKUP(C222,TRAOPE!$G:$H,2,0),"")</f>
        <v/>
      </c>
      <c r="E222" s="8" t="inlineStr">
        <is>
          <t>DW75</t>
        </is>
      </c>
      <c r="F222" s="8" t="inlineStr">
        <is>
          <t>D331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10151192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20220516</t>
        </is>
      </c>
      <c r="M222" s="8" t="inlineStr">
        <is>
          <t>20241216</t>
        </is>
      </c>
      <c r="N222" s="10" t="n">
        <v>178.7</v>
      </c>
      <c r="O222" s="10">
        <f>IFERROR(VLOOKUP(A222,Flete!$A:$J,10,0),"")</f>
        <v/>
      </c>
      <c r="P222" s="8" t="inlineStr">
        <is>
          <t>TN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900005467</v>
      </c>
      <c r="D223" s="7">
        <f>IFERROR(VLOOKUP(C223,TRAOPE!$G:$H,2,0),"")</f>
        <v/>
      </c>
      <c r="E223" s="8" t="inlineStr">
        <is>
          <t>DW75</t>
        </is>
      </c>
      <c r="F223" s="8" t="inlineStr">
        <is>
          <t>D343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10000716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20240726</t>
        </is>
      </c>
      <c r="M223" s="8" t="inlineStr">
        <is>
          <t>20241023</t>
        </is>
      </c>
      <c r="N223" s="10" t="n">
        <v>260.58</v>
      </c>
      <c r="O223" s="10">
        <f>IFERROR(VLOOKUP(A223,Flete!$A:$J,10,0),"")</f>
        <v/>
      </c>
      <c r="P223" s="8" t="inlineStr">
        <is>
          <t>TN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900005467</v>
      </c>
      <c r="D224" s="7">
        <f>IFERROR(VLOOKUP(C224,TRAOPE!$G:$H,2,0),"")</f>
        <v/>
      </c>
      <c r="E224" s="8" t="inlineStr">
        <is>
          <t>DW75</t>
        </is>
      </c>
      <c r="F224" s="8" t="inlineStr">
        <is>
          <t>D343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10147933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20240726</t>
        </is>
      </c>
      <c r="M224" s="8" t="inlineStr">
        <is>
          <t>20241023</t>
        </is>
      </c>
      <c r="N224" s="10" t="n">
        <v>239.83</v>
      </c>
      <c r="O224" s="10">
        <f>IFERROR(VLOOKUP(A224,Flete!$A:$J,10,0),"")</f>
        <v/>
      </c>
      <c r="P224" s="8" t="inlineStr">
        <is>
          <t>TN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900005467</v>
      </c>
      <c r="D225" s="7">
        <f>IFERROR(VLOOKUP(C225,TRAOPE!$G:$H,2,0),"")</f>
        <v/>
      </c>
      <c r="E225" s="8" t="inlineStr">
        <is>
          <t>DW75</t>
        </is>
      </c>
      <c r="F225" s="8" t="inlineStr">
        <is>
          <t>D343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10149958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20240726</t>
        </is>
      </c>
      <c r="M225" s="8" t="inlineStr">
        <is>
          <t>20241023</t>
        </is>
      </c>
      <c r="N225" s="10" t="n">
        <v>240</v>
      </c>
      <c r="O225" s="10">
        <f>IFERROR(VLOOKUP(A225,Flete!$A:$J,10,0),"")</f>
        <v/>
      </c>
      <c r="P225" s="8" t="inlineStr">
        <is>
          <t>TN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900005467</v>
      </c>
      <c r="D226" s="7">
        <f>IFERROR(VLOOKUP(C226,TRAOPE!$G:$H,2,0),"")</f>
        <v/>
      </c>
      <c r="E226" s="8" t="inlineStr">
        <is>
          <t>DW75</t>
        </is>
      </c>
      <c r="F226" s="8" t="inlineStr">
        <is>
          <t>D343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10150617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20240726</t>
        </is>
      </c>
      <c r="M226" s="8" t="inlineStr">
        <is>
          <t>20241023</t>
        </is>
      </c>
      <c r="N226" s="10" t="n">
        <v>276.98</v>
      </c>
      <c r="O226" s="10">
        <f>IFERROR(VLOOKUP(A226,Flete!$A:$J,10,0),"")</f>
        <v/>
      </c>
      <c r="P226" s="8" t="inlineStr">
        <is>
          <t>TN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900005467</v>
      </c>
      <c r="D227" s="7">
        <f>IFERROR(VLOOKUP(C227,TRAOPE!$G:$H,2,0),"")</f>
        <v/>
      </c>
      <c r="E227" s="8" t="inlineStr">
        <is>
          <t>DW75</t>
        </is>
      </c>
      <c r="F227" s="8" t="inlineStr">
        <is>
          <t>D343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10151192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20240726</t>
        </is>
      </c>
      <c r="M227" s="8" t="inlineStr">
        <is>
          <t>20241023</t>
        </is>
      </c>
      <c r="N227" s="10" t="n">
        <v>263.47</v>
      </c>
      <c r="O227" s="10">
        <f>IFERROR(VLOOKUP(A227,Flete!$A:$J,10,0),"")</f>
        <v/>
      </c>
      <c r="P227" s="8" t="inlineStr">
        <is>
          <t>TN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900005467</v>
      </c>
      <c r="D228" s="7">
        <f>IFERROR(VLOOKUP(C228,TRAOPE!$G:$H,2,0),"")</f>
        <v/>
      </c>
      <c r="E228" s="8" t="inlineStr">
        <is>
          <t>DW75</t>
        </is>
      </c>
      <c r="F228" s="8" t="inlineStr">
        <is>
          <t>D349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10000716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20240726</t>
        </is>
      </c>
      <c r="M228" s="8" t="inlineStr">
        <is>
          <t>20241023</t>
        </is>
      </c>
      <c r="N228" s="10" t="n">
        <v>260.58</v>
      </c>
      <c r="O228" s="10">
        <f>IFERROR(VLOOKUP(A228,Flete!$A:$J,10,0),"")</f>
        <v/>
      </c>
      <c r="P228" s="8" t="inlineStr">
        <is>
          <t>TN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900005467</v>
      </c>
      <c r="D229" s="7">
        <f>IFERROR(VLOOKUP(C229,TRAOPE!$G:$H,2,0),"")</f>
        <v/>
      </c>
      <c r="E229" s="8" t="inlineStr">
        <is>
          <t>DW75</t>
        </is>
      </c>
      <c r="F229" s="8" t="inlineStr">
        <is>
          <t>D349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10147933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20240726</t>
        </is>
      </c>
      <c r="M229" s="8" t="inlineStr">
        <is>
          <t>20241023</t>
        </is>
      </c>
      <c r="N229" s="10" t="n">
        <v>239.83</v>
      </c>
      <c r="O229" s="10">
        <f>IFERROR(VLOOKUP(A229,Flete!$A:$J,10,0),"")</f>
        <v/>
      </c>
      <c r="P229" s="8" t="inlineStr">
        <is>
          <t>TN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900005467</v>
      </c>
      <c r="D230" s="7">
        <f>IFERROR(VLOOKUP(C230,TRAOPE!$G:$H,2,0),"")</f>
        <v/>
      </c>
      <c r="E230" s="8" t="inlineStr">
        <is>
          <t>DW75</t>
        </is>
      </c>
      <c r="F230" s="8" t="inlineStr">
        <is>
          <t>D349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10149958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20240726</t>
        </is>
      </c>
      <c r="M230" s="8" t="inlineStr">
        <is>
          <t>20241023</t>
        </is>
      </c>
      <c r="N230" s="10" t="n">
        <v>240</v>
      </c>
      <c r="O230" s="10">
        <f>IFERROR(VLOOKUP(A230,Flete!$A:$J,10,0),"")</f>
        <v/>
      </c>
      <c r="P230" s="8" t="inlineStr">
        <is>
          <t>TN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900005467</v>
      </c>
      <c r="D231" s="7">
        <f>IFERROR(VLOOKUP(C231,TRAOPE!$G:$H,2,0),"")</f>
        <v/>
      </c>
      <c r="E231" s="8" t="inlineStr">
        <is>
          <t>DW75</t>
        </is>
      </c>
      <c r="F231" s="8" t="inlineStr">
        <is>
          <t>D349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10150617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20240726</t>
        </is>
      </c>
      <c r="M231" s="8" t="inlineStr">
        <is>
          <t>20241023</t>
        </is>
      </c>
      <c r="N231" s="10" t="n">
        <v>276.98</v>
      </c>
      <c r="O231" s="10">
        <f>IFERROR(VLOOKUP(A231,Flete!$A:$J,10,0),"")</f>
        <v/>
      </c>
      <c r="P231" s="8" t="inlineStr">
        <is>
          <t>TN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900005467</v>
      </c>
      <c r="D232" s="7">
        <f>IFERROR(VLOOKUP(C232,TRAOPE!$G:$H,2,0),"")</f>
        <v/>
      </c>
      <c r="E232" s="8" t="inlineStr">
        <is>
          <t>DW75</t>
        </is>
      </c>
      <c r="F232" s="8" t="inlineStr">
        <is>
          <t>D349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10151192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20240726</t>
        </is>
      </c>
      <c r="M232" s="8" t="inlineStr">
        <is>
          <t>20241023</t>
        </is>
      </c>
      <c r="N232" s="10" t="n">
        <v>263.47</v>
      </c>
      <c r="O232" s="10">
        <f>IFERROR(VLOOKUP(A232,Flete!$A:$J,10,0),"")</f>
        <v/>
      </c>
      <c r="P232" s="8" t="inlineStr">
        <is>
          <t>TN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900005822</v>
      </c>
      <c r="D233" s="7">
        <f>IFERROR(VLOOKUP(C233,TRAOPE!$G:$H,2,0),"")</f>
        <v/>
      </c>
      <c r="E233" s="8" t="inlineStr">
        <is>
          <t>DW75</t>
        </is>
      </c>
      <c r="F233" s="8" t="inlineStr">
        <is>
          <t>D278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10159865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20240726</t>
        </is>
      </c>
      <c r="M233" s="8" t="inlineStr">
        <is>
          <t>20241023</t>
        </is>
      </c>
      <c r="N233" s="10" t="n">
        <v>232.56</v>
      </c>
      <c r="O233" s="10">
        <f>IFERROR(VLOOKUP(A233,Flete!$A:$J,10,0),"")</f>
        <v/>
      </c>
      <c r="P233" s="8" t="inlineStr">
        <is>
          <t>TN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900005822</v>
      </c>
      <c r="D234" s="7">
        <f>IFERROR(VLOOKUP(C234,TRAOPE!$G:$H,2,0),"")</f>
        <v/>
      </c>
      <c r="E234" s="8" t="inlineStr">
        <is>
          <t>DW75</t>
        </is>
      </c>
      <c r="F234" s="8" t="inlineStr">
        <is>
          <t>D312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10159865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20240726</t>
        </is>
      </c>
      <c r="M234" s="8" t="inlineStr">
        <is>
          <t>20241023</t>
        </is>
      </c>
      <c r="N234" s="10" t="n">
        <v>232.56</v>
      </c>
      <c r="O234" s="10">
        <f>IFERROR(VLOOKUP(A234,Flete!$A:$J,10,0),"")</f>
        <v/>
      </c>
      <c r="P234" s="8" t="inlineStr">
        <is>
          <t>TN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900005822</v>
      </c>
      <c r="D235" s="7">
        <f>IFERROR(VLOOKUP(C235,TRAOPE!$G:$H,2,0),"")</f>
        <v/>
      </c>
      <c r="E235" s="8" t="inlineStr">
        <is>
          <t>DW75</t>
        </is>
      </c>
      <c r="F235" s="8" t="inlineStr">
        <is>
          <t>D327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10159865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20240726</t>
        </is>
      </c>
      <c r="M235" s="8" t="inlineStr">
        <is>
          <t>20241023</t>
        </is>
      </c>
      <c r="N235" s="10" t="n">
        <v>232.56</v>
      </c>
      <c r="O235" s="10">
        <f>IFERROR(VLOOKUP(A235,Flete!$A:$J,10,0),"")</f>
        <v/>
      </c>
      <c r="P235" s="8" t="inlineStr">
        <is>
          <t>TN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900005822</v>
      </c>
      <c r="D236" s="7">
        <f>IFERROR(VLOOKUP(C236,TRAOPE!$G:$H,2,0),"")</f>
        <v/>
      </c>
      <c r="E236" s="8" t="inlineStr">
        <is>
          <t>DW75</t>
        </is>
      </c>
      <c r="F236" s="8" t="inlineStr">
        <is>
          <t>D343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10159865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20240726</t>
        </is>
      </c>
      <c r="M236" s="8" t="inlineStr">
        <is>
          <t>20241023</t>
        </is>
      </c>
      <c r="N236" s="10" t="n">
        <v>232.56</v>
      </c>
      <c r="O236" s="10">
        <f>IFERROR(VLOOKUP(A236,Flete!$A:$J,10,0),"")</f>
        <v/>
      </c>
      <c r="P236" s="8" t="inlineStr">
        <is>
          <t>TN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900005822</v>
      </c>
      <c r="D237" s="7">
        <f>IFERROR(VLOOKUP(C237,TRAOPE!$G:$H,2,0),"")</f>
        <v/>
      </c>
      <c r="E237" s="8" t="inlineStr">
        <is>
          <t>DW75</t>
        </is>
      </c>
      <c r="F237" s="8" t="inlineStr">
        <is>
          <t>D349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10043601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20260603</t>
        </is>
      </c>
      <c r="M237" s="8" t="inlineStr">
        <is>
          <t>99991231</t>
        </is>
      </c>
      <c r="N237" s="10" t="n">
        <v>297.87</v>
      </c>
      <c r="O237" s="10">
        <f>IFERROR(VLOOKUP(A237,Flete!$A:$J,10,0),"")</f>
        <v/>
      </c>
      <c r="P237" s="8" t="inlineStr">
        <is>
          <t>TN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900005845</v>
      </c>
      <c r="D238" s="7">
        <f>IFERROR(VLOOKUP(C238,TRAOPE!$G:$H,2,0),"")</f>
        <v/>
      </c>
      <c r="E238" s="8" t="inlineStr">
        <is>
          <t>DW75</t>
        </is>
      </c>
      <c r="F238" s="8" t="inlineStr">
        <is>
          <t>EQ86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10266819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20251009</t>
        </is>
      </c>
      <c r="M238" s="8" t="inlineStr">
        <is>
          <t>99991231</t>
        </is>
      </c>
      <c r="N238" s="10" t="n">
        <v>305.01</v>
      </c>
      <c r="O238" s="10">
        <f>IFERROR(VLOOKUP(A238,Flete!$A:$J,10,0),"")</f>
        <v/>
      </c>
      <c r="P238" s="8" t="inlineStr">
        <is>
          <t>TN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900006058</v>
      </c>
      <c r="D239" s="7">
        <f>IFERROR(VLOOKUP(C239,TRAOPE!$G:$H,2,0),"")</f>
        <v/>
      </c>
      <c r="E239" s="8" t="inlineStr">
        <is>
          <t>DW75</t>
        </is>
      </c>
      <c r="F239" s="8" t="inlineStr">
        <is>
          <t>D315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10032115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20240726</t>
        </is>
      </c>
      <c r="M239" s="8" t="inlineStr">
        <is>
          <t>20241023</t>
        </is>
      </c>
      <c r="N239" s="10" t="n">
        <v>153.6</v>
      </c>
      <c r="O239" s="10">
        <f>IFERROR(VLOOKUP(A239,Flete!$A:$J,10,0),"")</f>
        <v/>
      </c>
      <c r="P239" s="8" t="inlineStr">
        <is>
          <t>TN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900006058</v>
      </c>
      <c r="D240" s="7">
        <f>IFERROR(VLOOKUP(C240,TRAOPE!$G:$H,2,0),"")</f>
        <v/>
      </c>
      <c r="E240" s="8" t="inlineStr">
        <is>
          <t>DW75</t>
        </is>
      </c>
      <c r="F240" s="8" t="inlineStr">
        <is>
          <t>D327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10032115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20240726</t>
        </is>
      </c>
      <c r="M240" s="8" t="inlineStr">
        <is>
          <t>20241023</t>
        </is>
      </c>
      <c r="N240" s="10" t="n">
        <v>153.6</v>
      </c>
      <c r="O240" s="10">
        <f>IFERROR(VLOOKUP(A240,Flete!$A:$J,10,0),"")</f>
        <v/>
      </c>
      <c r="P240" s="8" t="inlineStr">
        <is>
          <t>TN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900006058</v>
      </c>
      <c r="D241" s="7">
        <f>IFERROR(VLOOKUP(C241,TRAOPE!$G:$H,2,0),"")</f>
        <v/>
      </c>
      <c r="E241" s="8" t="inlineStr">
        <is>
          <t>DW75</t>
        </is>
      </c>
      <c r="F241" s="8" t="inlineStr">
        <is>
          <t>D349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10000742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20240726</t>
        </is>
      </c>
      <c r="M241" s="8" t="inlineStr">
        <is>
          <t>20241023</t>
        </is>
      </c>
      <c r="N241" s="10" t="n">
        <v>200.73</v>
      </c>
      <c r="O241" s="10">
        <f>IFERROR(VLOOKUP(A241,Flete!$A:$J,10,0),"")</f>
        <v/>
      </c>
      <c r="P241" s="8" t="inlineStr">
        <is>
          <t>TN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900006058</v>
      </c>
      <c r="D242" s="7">
        <f>IFERROR(VLOOKUP(C242,TRAOPE!$G:$H,2,0),"")</f>
        <v/>
      </c>
      <c r="E242" s="8" t="inlineStr">
        <is>
          <t>DW75</t>
        </is>
      </c>
      <c r="F242" s="8" t="inlineStr">
        <is>
          <t>D349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10009436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20240726</t>
        </is>
      </c>
      <c r="M242" s="8" t="inlineStr">
        <is>
          <t>20241023</t>
        </is>
      </c>
      <c r="N242" s="10" t="n">
        <v>205.68</v>
      </c>
      <c r="O242" s="10">
        <f>IFERROR(VLOOKUP(A242,Flete!$A:$J,10,0),"")</f>
        <v/>
      </c>
      <c r="P242" s="8" t="inlineStr">
        <is>
          <t>TN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900006058</v>
      </c>
      <c r="D243" s="7">
        <f>IFERROR(VLOOKUP(C243,TRAOPE!$G:$H,2,0),"")</f>
        <v/>
      </c>
      <c r="E243" s="8" t="inlineStr">
        <is>
          <t>DW75</t>
        </is>
      </c>
      <c r="F243" s="8" t="inlineStr">
        <is>
          <t>D349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10032115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20240726</t>
        </is>
      </c>
      <c r="M243" s="8" t="inlineStr">
        <is>
          <t>20241023</t>
        </is>
      </c>
      <c r="N243" s="10" t="n">
        <v>173.56</v>
      </c>
      <c r="O243" s="10">
        <f>IFERROR(VLOOKUP(A243,Flete!$A:$J,10,0),"")</f>
        <v/>
      </c>
      <c r="P243" s="8" t="inlineStr">
        <is>
          <t>TN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900006058</v>
      </c>
      <c r="D244" s="7">
        <f>IFERROR(VLOOKUP(C244,TRAOPE!$G:$H,2,0),"")</f>
        <v/>
      </c>
      <c r="E244" s="8" t="inlineStr">
        <is>
          <t>DW75</t>
        </is>
      </c>
      <c r="F244" s="8" t="inlineStr">
        <is>
          <t>D349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10161246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20240726</t>
        </is>
      </c>
      <c r="M244" s="8" t="inlineStr">
        <is>
          <t>20241023</t>
        </is>
      </c>
      <c r="N244" s="10" t="n">
        <v>174.46</v>
      </c>
      <c r="O244" s="10">
        <f>IFERROR(VLOOKUP(A244,Flete!$A:$J,10,0),"")</f>
        <v/>
      </c>
      <c r="P244" s="8" t="inlineStr">
        <is>
          <t>TN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900006554</v>
      </c>
      <c r="D245" s="7">
        <f>IFERROR(VLOOKUP(C245,TRAOPE!$G:$H,2,0),"")</f>
        <v/>
      </c>
      <c r="E245" s="8" t="inlineStr">
        <is>
          <t>DW75</t>
        </is>
      </c>
      <c r="F245" s="8" t="inlineStr">
        <is>
          <t>D278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10000364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20220516</t>
        </is>
      </c>
      <c r="M245" s="8" t="inlineStr">
        <is>
          <t>20241216</t>
        </is>
      </c>
      <c r="N245" s="10" t="n">
        <v>146.13</v>
      </c>
      <c r="O245" s="10">
        <f>IFERROR(VLOOKUP(A245,Flete!$A:$J,10,0),"")</f>
        <v/>
      </c>
      <c r="P245" s="8" t="inlineStr">
        <is>
          <t>TN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900006554</v>
      </c>
      <c r="D246" s="7">
        <f>IFERROR(VLOOKUP(C246,TRAOPE!$G:$H,2,0),"")</f>
        <v/>
      </c>
      <c r="E246" s="8" t="inlineStr">
        <is>
          <t>DW75</t>
        </is>
      </c>
      <c r="F246" s="8" t="inlineStr">
        <is>
          <t>D278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10043600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20250301</t>
        </is>
      </c>
      <c r="M246" s="8" t="inlineStr">
        <is>
          <t>99991231</t>
        </is>
      </c>
      <c r="N246" s="10" t="n">
        <v>248.31</v>
      </c>
      <c r="O246" s="10">
        <f>IFERROR(VLOOKUP(A246,Flete!$A:$J,10,0),"")</f>
        <v/>
      </c>
      <c r="P246" s="8" t="inlineStr">
        <is>
          <t>TN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900006554</v>
      </c>
      <c r="D247" s="7">
        <f>IFERROR(VLOOKUP(C247,TRAOPE!$G:$H,2,0),"")</f>
        <v/>
      </c>
      <c r="E247" s="8" t="inlineStr">
        <is>
          <t>DW75</t>
        </is>
      </c>
      <c r="F247" s="8" t="inlineStr">
        <is>
          <t>D278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10043601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20250301</t>
        </is>
      </c>
      <c r="M247" s="8" t="inlineStr">
        <is>
          <t>99991231</t>
        </is>
      </c>
      <c r="N247" s="10" t="n">
        <v>248.73</v>
      </c>
      <c r="O247" s="10">
        <f>IFERROR(VLOOKUP(A247,Flete!$A:$J,10,0),"")</f>
        <v/>
      </c>
      <c r="P247" s="8" t="inlineStr">
        <is>
          <t>TN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900006554</v>
      </c>
      <c r="D248" s="7">
        <f>IFERROR(VLOOKUP(C248,TRAOPE!$G:$H,2,0),"")</f>
        <v/>
      </c>
      <c r="E248" s="8" t="inlineStr">
        <is>
          <t>DW75</t>
        </is>
      </c>
      <c r="F248" s="8" t="inlineStr">
        <is>
          <t>D278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10045642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20250301</t>
        </is>
      </c>
      <c r="M248" s="8" t="inlineStr">
        <is>
          <t>99991231</t>
        </is>
      </c>
      <c r="N248" s="10" t="n">
        <v>237.12</v>
      </c>
      <c r="O248" s="10">
        <f>IFERROR(VLOOKUP(A248,Flete!$A:$J,10,0),"")</f>
        <v/>
      </c>
      <c r="P248" s="8" t="inlineStr">
        <is>
          <t>TN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900006554</v>
      </c>
      <c r="D249" s="7">
        <f>IFERROR(VLOOKUP(C249,TRAOPE!$G:$H,2,0),"")</f>
        <v/>
      </c>
      <c r="E249" s="8" t="inlineStr">
        <is>
          <t>DW75</t>
        </is>
      </c>
      <c r="F249" s="8" t="inlineStr">
        <is>
          <t>D278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10147933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20250301</t>
        </is>
      </c>
      <c r="M249" s="8" t="inlineStr">
        <is>
          <t>20260215</t>
        </is>
      </c>
      <c r="N249" s="10" t="n">
        <v>253.49</v>
      </c>
      <c r="O249" s="10">
        <f>IFERROR(VLOOKUP(A249,Flete!$A:$J,10,0),"")</f>
        <v/>
      </c>
      <c r="P249" s="8" t="inlineStr">
        <is>
          <t>TN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900006554</v>
      </c>
      <c r="D250" s="7">
        <f>IFERROR(VLOOKUP(C250,TRAOPE!$G:$H,2,0),"")</f>
        <v/>
      </c>
      <c r="E250" s="8" t="inlineStr">
        <is>
          <t>DW75</t>
        </is>
      </c>
      <c r="F250" s="8" t="inlineStr">
        <is>
          <t>D278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10151191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20250301</t>
        </is>
      </c>
      <c r="M250" s="8" t="inlineStr">
        <is>
          <t>20260215</t>
        </is>
      </c>
      <c r="N250" s="10" t="n">
        <v>227.09</v>
      </c>
      <c r="O250" s="10">
        <f>IFERROR(VLOOKUP(A250,Flete!$A:$J,10,0),"")</f>
        <v/>
      </c>
      <c r="P250" s="8" t="inlineStr">
        <is>
          <t>TN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900006554</v>
      </c>
      <c r="D251" s="7">
        <f>IFERROR(VLOOKUP(C251,TRAOPE!$G:$H,2,0),"")</f>
        <v/>
      </c>
      <c r="E251" s="8" t="inlineStr">
        <is>
          <t>DW75</t>
        </is>
      </c>
      <c r="F251" s="8" t="inlineStr">
        <is>
          <t>D278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10189747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20250301</t>
        </is>
      </c>
      <c r="M251" s="8" t="inlineStr">
        <is>
          <t>20260215</t>
        </is>
      </c>
      <c r="N251" s="10" t="n">
        <v>247.26</v>
      </c>
      <c r="O251" s="10">
        <f>IFERROR(VLOOKUP(A251,Flete!$A:$J,10,0),"")</f>
        <v/>
      </c>
      <c r="P251" s="8" t="inlineStr">
        <is>
          <t>TN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900006554</v>
      </c>
      <c r="D252" s="7">
        <f>IFERROR(VLOOKUP(C252,TRAOPE!$G:$H,2,0),"")</f>
        <v/>
      </c>
      <c r="E252" s="8" t="inlineStr">
        <is>
          <t>DW75</t>
        </is>
      </c>
      <c r="F252" s="8" t="inlineStr">
        <is>
          <t>D312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10000364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20220516</t>
        </is>
      </c>
      <c r="M252" s="8" t="inlineStr">
        <is>
          <t>20241216</t>
        </is>
      </c>
      <c r="N252" s="10" t="n">
        <v>146.13</v>
      </c>
      <c r="O252" s="10">
        <f>IFERROR(VLOOKUP(A252,Flete!$A:$J,10,0),"")</f>
        <v/>
      </c>
      <c r="P252" s="8" t="inlineStr">
        <is>
          <t>TN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900006554</v>
      </c>
      <c r="D253" s="7">
        <f>IFERROR(VLOOKUP(C253,TRAOPE!$G:$H,2,0),"")</f>
        <v/>
      </c>
      <c r="E253" s="8" t="inlineStr">
        <is>
          <t>DW75</t>
        </is>
      </c>
      <c r="F253" s="8" t="inlineStr">
        <is>
          <t>D312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10043600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20220516</t>
        </is>
      </c>
      <c r="M253" s="8" t="inlineStr">
        <is>
          <t>20241216</t>
        </is>
      </c>
      <c r="N253" s="10" t="n">
        <v>218.84</v>
      </c>
      <c r="O253" s="10">
        <f>IFERROR(VLOOKUP(A253,Flete!$A:$J,10,0),"")</f>
        <v/>
      </c>
      <c r="P253" s="8" t="inlineStr">
        <is>
          <t>TN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900006554</v>
      </c>
      <c r="D254" s="7">
        <f>IFERROR(VLOOKUP(C254,TRAOPE!$G:$H,2,0),"")</f>
        <v/>
      </c>
      <c r="E254" s="8" t="inlineStr">
        <is>
          <t>DW75</t>
        </is>
      </c>
      <c r="F254" s="8" t="inlineStr">
        <is>
          <t>D312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10043601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20220516</t>
        </is>
      </c>
      <c r="M254" s="8" t="inlineStr">
        <is>
          <t>20241216</t>
        </is>
      </c>
      <c r="N254" s="10" t="n">
        <v>219.21</v>
      </c>
      <c r="O254" s="10">
        <f>IFERROR(VLOOKUP(A254,Flete!$A:$J,10,0),"")</f>
        <v/>
      </c>
      <c r="P254" s="8" t="inlineStr">
        <is>
          <t>TN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900006554</v>
      </c>
      <c r="D255" s="7">
        <f>IFERROR(VLOOKUP(C255,TRAOPE!$G:$H,2,0),"")</f>
        <v/>
      </c>
      <c r="E255" s="8" t="inlineStr">
        <is>
          <t>DW75</t>
        </is>
      </c>
      <c r="F255" s="8" t="inlineStr">
        <is>
          <t>D312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10045642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20220516</t>
        </is>
      </c>
      <c r="M255" s="8" t="inlineStr">
        <is>
          <t>20241216</t>
        </is>
      </c>
      <c r="N255" s="10" t="n">
        <v>190.92</v>
      </c>
      <c r="O255" s="10">
        <f>IFERROR(VLOOKUP(A255,Flete!$A:$J,10,0),"")</f>
        <v/>
      </c>
      <c r="P255" s="8" t="inlineStr">
        <is>
          <t>TN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900006554</v>
      </c>
      <c r="D256" s="7">
        <f>IFERROR(VLOOKUP(C256,TRAOPE!$G:$H,2,0),"")</f>
        <v/>
      </c>
      <c r="E256" s="8" t="inlineStr">
        <is>
          <t>DW75</t>
        </is>
      </c>
      <c r="F256" s="8" t="inlineStr">
        <is>
          <t>D312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10147933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20220516</t>
        </is>
      </c>
      <c r="M256" s="8" t="inlineStr">
        <is>
          <t>20241216</t>
        </is>
      </c>
      <c r="N256" s="10" t="n">
        <v>204.1</v>
      </c>
      <c r="O256" s="10">
        <f>IFERROR(VLOOKUP(A256,Flete!$A:$J,10,0),"")</f>
        <v/>
      </c>
      <c r="P256" s="8" t="inlineStr">
        <is>
          <t>TN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900006554</v>
      </c>
      <c r="D257" s="7">
        <f>IFERROR(VLOOKUP(C257,TRAOPE!$G:$H,2,0),"")</f>
        <v/>
      </c>
      <c r="E257" s="8" t="inlineStr">
        <is>
          <t>DW75</t>
        </is>
      </c>
      <c r="F257" s="8" t="inlineStr">
        <is>
          <t>D312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10151191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20220516</t>
        </is>
      </c>
      <c r="M257" s="8" t="inlineStr">
        <is>
          <t>20241216</t>
        </is>
      </c>
      <c r="N257" s="10" t="n">
        <v>200.13</v>
      </c>
      <c r="O257" s="10">
        <f>IFERROR(VLOOKUP(A257,Flete!$A:$J,10,0),"")</f>
        <v/>
      </c>
      <c r="P257" s="8" t="inlineStr">
        <is>
          <t>TN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900006554</v>
      </c>
      <c r="D258" s="7">
        <f>IFERROR(VLOOKUP(C258,TRAOPE!$G:$H,2,0),"")</f>
        <v/>
      </c>
      <c r="E258" s="8" t="inlineStr">
        <is>
          <t>DW75</t>
        </is>
      </c>
      <c r="F258" s="8" t="inlineStr">
        <is>
          <t>D312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10189747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20220516</t>
        </is>
      </c>
      <c r="M258" s="8" t="inlineStr">
        <is>
          <t>20241216</t>
        </is>
      </c>
      <c r="N258" s="10" t="n">
        <v>217.91</v>
      </c>
      <c r="O258" s="10">
        <f>IFERROR(VLOOKUP(A258,Flete!$A:$J,10,0),"")</f>
        <v/>
      </c>
      <c r="P258" s="8" t="inlineStr">
        <is>
          <t>TN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900006554</v>
      </c>
      <c r="D259" s="7">
        <f>IFERROR(VLOOKUP(C259,TRAOPE!$G:$H,2,0),"")</f>
        <v/>
      </c>
      <c r="E259" s="8" t="inlineStr">
        <is>
          <t>DW75</t>
        </is>
      </c>
      <c r="F259" s="8" t="inlineStr">
        <is>
          <t>D315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10043600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20220516</t>
        </is>
      </c>
      <c r="M259" s="8" t="inlineStr">
        <is>
          <t>20241216</t>
        </is>
      </c>
      <c r="N259" s="10" t="n">
        <v>192.47</v>
      </c>
      <c r="O259" s="10">
        <f>IFERROR(VLOOKUP(A259,Flete!$A:$J,10,0),"")</f>
        <v/>
      </c>
      <c r="P259" s="8" t="inlineStr">
        <is>
          <t>TN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900006554</v>
      </c>
      <c r="D260" s="7">
        <f>IFERROR(VLOOKUP(C260,TRAOPE!$G:$H,2,0),"")</f>
        <v/>
      </c>
      <c r="E260" s="8" t="inlineStr">
        <is>
          <t>DW75</t>
        </is>
      </c>
      <c r="F260" s="8" t="inlineStr">
        <is>
          <t>D315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10043601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20220516</t>
        </is>
      </c>
      <c r="M260" s="8" t="inlineStr">
        <is>
          <t>20241216</t>
        </is>
      </c>
      <c r="N260" s="10" t="n">
        <v>192.8</v>
      </c>
      <c r="O260" s="10">
        <f>IFERROR(VLOOKUP(A260,Flete!$A:$J,10,0),"")</f>
        <v/>
      </c>
      <c r="P260" s="8" t="inlineStr">
        <is>
          <t>TN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900006554</v>
      </c>
      <c r="D261" s="7">
        <f>IFERROR(VLOOKUP(C261,TRAOPE!$G:$H,2,0),"")</f>
        <v/>
      </c>
      <c r="E261" s="8" t="inlineStr">
        <is>
          <t>DW75</t>
        </is>
      </c>
      <c r="F261" s="8" t="inlineStr">
        <is>
          <t>D315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10045642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20220516</t>
        </is>
      </c>
      <c r="M261" s="8" t="inlineStr">
        <is>
          <t>20241216</t>
        </is>
      </c>
      <c r="N261" s="10" t="n">
        <v>167.91</v>
      </c>
      <c r="O261" s="10">
        <f>IFERROR(VLOOKUP(A261,Flete!$A:$J,10,0),"")</f>
        <v/>
      </c>
      <c r="P261" s="8" t="inlineStr">
        <is>
          <t>TN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900006554</v>
      </c>
      <c r="D262" s="7">
        <f>IFERROR(VLOOKUP(C262,TRAOPE!$G:$H,2,0),"")</f>
        <v/>
      </c>
      <c r="E262" s="8" t="inlineStr">
        <is>
          <t>DW75</t>
        </is>
      </c>
      <c r="F262" s="8" t="inlineStr">
        <is>
          <t>D315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10147933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20220516</t>
        </is>
      </c>
      <c r="M262" s="8" t="inlineStr">
        <is>
          <t>20241216</t>
        </is>
      </c>
      <c r="N262" s="10" t="n">
        <v>179.51</v>
      </c>
      <c r="O262" s="10">
        <f>IFERROR(VLOOKUP(A262,Flete!$A:$J,10,0),"")</f>
        <v/>
      </c>
      <c r="P262" s="8" t="inlineStr">
        <is>
          <t>TN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900006554</v>
      </c>
      <c r="D263" s="7">
        <f>IFERROR(VLOOKUP(C263,TRAOPE!$G:$H,2,0),"")</f>
        <v/>
      </c>
      <c r="E263" s="8" t="inlineStr">
        <is>
          <t>DW75</t>
        </is>
      </c>
      <c r="F263" s="8" t="inlineStr">
        <is>
          <t>D315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10151191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20220516</t>
        </is>
      </c>
      <c r="M263" s="8" t="inlineStr">
        <is>
          <t>20241216</t>
        </is>
      </c>
      <c r="N263" s="10" t="n">
        <v>176.02</v>
      </c>
      <c r="O263" s="10">
        <f>IFERROR(VLOOKUP(A263,Flete!$A:$J,10,0),"")</f>
        <v/>
      </c>
      <c r="P263" s="8" t="inlineStr">
        <is>
          <t>TN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900006554</v>
      </c>
      <c r="D264" s="7">
        <f>IFERROR(VLOOKUP(C264,TRAOPE!$G:$H,2,0),"")</f>
        <v/>
      </c>
      <c r="E264" s="8" t="inlineStr">
        <is>
          <t>DW75</t>
        </is>
      </c>
      <c r="F264" s="8" t="inlineStr">
        <is>
          <t>D315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10189747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20220516</t>
        </is>
      </c>
      <c r="M264" s="8" t="inlineStr">
        <is>
          <t>20241216</t>
        </is>
      </c>
      <c r="N264" s="10" t="n">
        <v>191.66</v>
      </c>
      <c r="O264" s="10">
        <f>IFERROR(VLOOKUP(A264,Flete!$A:$J,10,0),"")</f>
        <v/>
      </c>
      <c r="P264" s="8" t="inlineStr">
        <is>
          <t>TN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900006554</v>
      </c>
      <c r="D265" s="7">
        <f>IFERROR(VLOOKUP(C265,TRAOPE!$G:$H,2,0),"")</f>
        <v/>
      </c>
      <c r="E265" s="8" t="inlineStr">
        <is>
          <t>DW75</t>
        </is>
      </c>
      <c r="F265" s="8" t="inlineStr">
        <is>
          <t>D327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10000364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20220516</t>
        </is>
      </c>
      <c r="M265" s="8" t="inlineStr">
        <is>
          <t>20241216</t>
        </is>
      </c>
      <c r="N265" s="10" t="n">
        <v>146.13</v>
      </c>
      <c r="O265" s="10">
        <f>IFERROR(VLOOKUP(A265,Flete!$A:$J,10,0),"")</f>
        <v/>
      </c>
      <c r="P265" s="8" t="inlineStr">
        <is>
          <t>TN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900006554</v>
      </c>
      <c r="D266" s="7">
        <f>IFERROR(VLOOKUP(C266,TRAOPE!$G:$H,2,0),"")</f>
        <v/>
      </c>
      <c r="E266" s="8" t="inlineStr">
        <is>
          <t>DW75</t>
        </is>
      </c>
      <c r="F266" s="8" t="inlineStr">
        <is>
          <t>D327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10043600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20220516</t>
        </is>
      </c>
      <c r="M266" s="8" t="inlineStr">
        <is>
          <t>20241216</t>
        </is>
      </c>
      <c r="N266" s="10" t="n">
        <v>218.84</v>
      </c>
      <c r="O266" s="10">
        <f>IFERROR(VLOOKUP(A266,Flete!$A:$J,10,0),"")</f>
        <v/>
      </c>
      <c r="P266" s="8" t="inlineStr">
        <is>
          <t>TN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900006554</v>
      </c>
      <c r="D267" s="7">
        <f>IFERROR(VLOOKUP(C267,TRAOPE!$G:$H,2,0),"")</f>
        <v/>
      </c>
      <c r="E267" s="8" t="inlineStr">
        <is>
          <t>DW75</t>
        </is>
      </c>
      <c r="F267" s="8" t="inlineStr">
        <is>
          <t>D327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10043601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20220516</t>
        </is>
      </c>
      <c r="M267" s="8" t="inlineStr">
        <is>
          <t>20241216</t>
        </is>
      </c>
      <c r="N267" s="10" t="n">
        <v>219.21</v>
      </c>
      <c r="O267" s="10">
        <f>IFERROR(VLOOKUP(A267,Flete!$A:$J,10,0),"")</f>
        <v/>
      </c>
      <c r="P267" s="8" t="inlineStr">
        <is>
          <t>TN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900006554</v>
      </c>
      <c r="D268" s="7">
        <f>IFERROR(VLOOKUP(C268,TRAOPE!$G:$H,2,0),"")</f>
        <v/>
      </c>
      <c r="E268" s="8" t="inlineStr">
        <is>
          <t>DW75</t>
        </is>
      </c>
      <c r="F268" s="8" t="inlineStr">
        <is>
          <t>D327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10045642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20220516</t>
        </is>
      </c>
      <c r="M268" s="8" t="inlineStr">
        <is>
          <t>20241216</t>
        </is>
      </c>
      <c r="N268" s="10" t="n">
        <v>190.92</v>
      </c>
      <c r="O268" s="10">
        <f>IFERROR(VLOOKUP(A268,Flete!$A:$J,10,0),"")</f>
        <v/>
      </c>
      <c r="P268" s="8" t="inlineStr">
        <is>
          <t>TN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900006554</v>
      </c>
      <c r="D269" s="7">
        <f>IFERROR(VLOOKUP(C269,TRAOPE!$G:$H,2,0),"")</f>
        <v/>
      </c>
      <c r="E269" s="8" t="inlineStr">
        <is>
          <t>DW75</t>
        </is>
      </c>
      <c r="F269" s="8" t="inlineStr">
        <is>
          <t>D327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10147933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20220516</t>
        </is>
      </c>
      <c r="M269" s="8" t="inlineStr">
        <is>
          <t>20241216</t>
        </is>
      </c>
      <c r="N269" s="10" t="n">
        <v>204.1</v>
      </c>
      <c r="O269" s="10">
        <f>IFERROR(VLOOKUP(A269,Flete!$A:$J,10,0),"")</f>
        <v/>
      </c>
      <c r="P269" s="8" t="inlineStr">
        <is>
          <t>TN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900006554</v>
      </c>
      <c r="D270" s="7">
        <f>IFERROR(VLOOKUP(C270,TRAOPE!$G:$H,2,0),"")</f>
        <v/>
      </c>
      <c r="E270" s="8" t="inlineStr">
        <is>
          <t>DW75</t>
        </is>
      </c>
      <c r="F270" s="8" t="inlineStr">
        <is>
          <t>D327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10151191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20220516</t>
        </is>
      </c>
      <c r="M270" s="8" t="inlineStr">
        <is>
          <t>20241216</t>
        </is>
      </c>
      <c r="N270" s="10" t="n">
        <v>200.13</v>
      </c>
      <c r="O270" s="10">
        <f>IFERROR(VLOOKUP(A270,Flete!$A:$J,10,0),"")</f>
        <v/>
      </c>
      <c r="P270" s="8" t="inlineStr">
        <is>
          <t>TN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900006554</v>
      </c>
      <c r="D271" s="7">
        <f>IFERROR(VLOOKUP(C271,TRAOPE!$G:$H,2,0),"")</f>
        <v/>
      </c>
      <c r="E271" s="8" t="inlineStr">
        <is>
          <t>DW75</t>
        </is>
      </c>
      <c r="F271" s="8" t="inlineStr">
        <is>
          <t>D327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10189747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20220516</t>
        </is>
      </c>
      <c r="M271" s="8" t="inlineStr">
        <is>
          <t>20241216</t>
        </is>
      </c>
      <c r="N271" s="10" t="n">
        <v>217.91</v>
      </c>
      <c r="O271" s="10">
        <f>IFERROR(VLOOKUP(A271,Flete!$A:$J,10,0),"")</f>
        <v/>
      </c>
      <c r="P271" s="8" t="inlineStr">
        <is>
          <t>TN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900006554</v>
      </c>
      <c r="D272" s="7">
        <f>IFERROR(VLOOKUP(C272,TRAOPE!$G:$H,2,0),"")</f>
        <v/>
      </c>
      <c r="E272" s="8" t="inlineStr">
        <is>
          <t>DW75</t>
        </is>
      </c>
      <c r="F272" s="8" t="inlineStr">
        <is>
          <t>D331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10043600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20220516</t>
        </is>
      </c>
      <c r="M272" s="8" t="inlineStr">
        <is>
          <t>20241216</t>
        </is>
      </c>
      <c r="N272" s="10" t="n">
        <v>157.24</v>
      </c>
      <c r="O272" s="10">
        <f>IFERROR(VLOOKUP(A272,Flete!$A:$J,10,0),"")</f>
        <v/>
      </c>
      <c r="P272" s="8" t="inlineStr">
        <is>
          <t>TN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900006554</v>
      </c>
      <c r="D273" s="7">
        <f>IFERROR(VLOOKUP(C273,TRAOPE!$G:$H,2,0),"")</f>
        <v/>
      </c>
      <c r="E273" s="8" t="inlineStr">
        <is>
          <t>DW75</t>
        </is>
      </c>
      <c r="F273" s="8" t="inlineStr">
        <is>
          <t>D331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10043601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20220516</t>
        </is>
      </c>
      <c r="M273" s="8" t="inlineStr">
        <is>
          <t>20241216</t>
        </is>
      </c>
      <c r="N273" s="10" t="n">
        <v>157.51</v>
      </c>
      <c r="O273" s="10">
        <f>IFERROR(VLOOKUP(A273,Flete!$A:$J,10,0),"")</f>
        <v/>
      </c>
      <c r="P273" s="8" t="inlineStr">
        <is>
          <t>TN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900006554</v>
      </c>
      <c r="D274" s="7">
        <f>IFERROR(VLOOKUP(C274,TRAOPE!$G:$H,2,0),"")</f>
        <v/>
      </c>
      <c r="E274" s="8" t="inlineStr">
        <is>
          <t>DW75</t>
        </is>
      </c>
      <c r="F274" s="8" t="inlineStr">
        <is>
          <t>D331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10045642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20220516</t>
        </is>
      </c>
      <c r="M274" s="8" t="inlineStr">
        <is>
          <t>20241216</t>
        </is>
      </c>
      <c r="N274" s="10" t="n">
        <v>137.18</v>
      </c>
      <c r="O274" s="10">
        <f>IFERROR(VLOOKUP(A274,Flete!$A:$J,10,0),"")</f>
        <v/>
      </c>
      <c r="P274" s="8" t="inlineStr">
        <is>
          <t>TN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900006554</v>
      </c>
      <c r="D275" s="7">
        <f>IFERROR(VLOOKUP(C275,TRAOPE!$G:$H,2,0),"")</f>
        <v/>
      </c>
      <c r="E275" s="8" t="inlineStr">
        <is>
          <t>DW75</t>
        </is>
      </c>
      <c r="F275" s="8" t="inlineStr">
        <is>
          <t>D331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10147933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20220516</t>
        </is>
      </c>
      <c r="M275" s="8" t="inlineStr">
        <is>
          <t>20241216</t>
        </is>
      </c>
      <c r="N275" s="10" t="n">
        <v>146.65</v>
      </c>
      <c r="O275" s="10">
        <f>IFERROR(VLOOKUP(A275,Flete!$A:$J,10,0),"")</f>
        <v/>
      </c>
      <c r="P275" s="8" t="inlineStr">
        <is>
          <t>TN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900006554</v>
      </c>
      <c r="D276" s="7">
        <f>IFERROR(VLOOKUP(C276,TRAOPE!$G:$H,2,0),"")</f>
        <v/>
      </c>
      <c r="E276" s="8" t="inlineStr">
        <is>
          <t>DW75</t>
        </is>
      </c>
      <c r="F276" s="8" t="inlineStr">
        <is>
          <t>D343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10000364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20220516</t>
        </is>
      </c>
      <c r="M276" s="8" t="inlineStr">
        <is>
          <t>20241216</t>
        </is>
      </c>
      <c r="N276" s="10" t="n">
        <v>146.13</v>
      </c>
      <c r="O276" s="10">
        <f>IFERROR(VLOOKUP(A276,Flete!$A:$J,10,0),"")</f>
        <v/>
      </c>
      <c r="P276" s="8" t="inlineStr">
        <is>
          <t>TN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900006554</v>
      </c>
      <c r="D277" s="7">
        <f>IFERROR(VLOOKUP(C277,TRAOPE!$G:$H,2,0),"")</f>
        <v/>
      </c>
      <c r="E277" s="8" t="inlineStr">
        <is>
          <t>DW75</t>
        </is>
      </c>
      <c r="F277" s="8" t="inlineStr">
        <is>
          <t>D343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10043600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20250301</t>
        </is>
      </c>
      <c r="M277" s="8" t="inlineStr">
        <is>
          <t>99991231</t>
        </is>
      </c>
      <c r="N277" s="10" t="n">
        <v>248.31</v>
      </c>
      <c r="O277" s="10">
        <f>IFERROR(VLOOKUP(A277,Flete!$A:$J,10,0),"")</f>
        <v/>
      </c>
      <c r="P277" s="8" t="inlineStr">
        <is>
          <t>TN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900006554</v>
      </c>
      <c r="D278" s="7">
        <f>IFERROR(VLOOKUP(C278,TRAOPE!$G:$H,2,0),"")</f>
        <v/>
      </c>
      <c r="E278" s="8" t="inlineStr">
        <is>
          <t>DW75</t>
        </is>
      </c>
      <c r="F278" s="8" t="inlineStr">
        <is>
          <t>D343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10043601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20250301</t>
        </is>
      </c>
      <c r="M278" s="8" t="inlineStr">
        <is>
          <t>99991231</t>
        </is>
      </c>
      <c r="N278" s="10" t="n">
        <v>248.73</v>
      </c>
      <c r="O278" s="10">
        <f>IFERROR(VLOOKUP(A278,Flete!$A:$J,10,0),"")</f>
        <v/>
      </c>
      <c r="P278" s="8" t="inlineStr">
        <is>
          <t>TN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900006554</v>
      </c>
      <c r="D279" s="7">
        <f>IFERROR(VLOOKUP(C279,TRAOPE!$G:$H,2,0),"")</f>
        <v/>
      </c>
      <c r="E279" s="8" t="inlineStr">
        <is>
          <t>DW75</t>
        </is>
      </c>
      <c r="F279" s="8" t="inlineStr">
        <is>
          <t>D343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10045642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20250301</t>
        </is>
      </c>
      <c r="M279" s="8" t="inlineStr">
        <is>
          <t>20260215</t>
        </is>
      </c>
      <c r="N279" s="10" t="n">
        <v>237.12</v>
      </c>
      <c r="O279" s="10">
        <f>IFERROR(VLOOKUP(A279,Flete!$A:$J,10,0),"")</f>
        <v/>
      </c>
      <c r="P279" s="8" t="inlineStr">
        <is>
          <t>TN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900006554</v>
      </c>
      <c r="D280" s="7">
        <f>IFERROR(VLOOKUP(C280,TRAOPE!$G:$H,2,0),"")</f>
        <v/>
      </c>
      <c r="E280" s="8" t="inlineStr">
        <is>
          <t>DW75</t>
        </is>
      </c>
      <c r="F280" s="8" t="inlineStr">
        <is>
          <t>D343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10147933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20250301</t>
        </is>
      </c>
      <c r="M280" s="8" t="inlineStr">
        <is>
          <t>20260215</t>
        </is>
      </c>
      <c r="N280" s="10" t="n">
        <v>253.49</v>
      </c>
      <c r="O280" s="10">
        <f>IFERROR(VLOOKUP(A280,Flete!$A:$J,10,0),"")</f>
        <v/>
      </c>
      <c r="P280" s="8" t="inlineStr">
        <is>
          <t>TN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900006554</v>
      </c>
      <c r="D281" s="7">
        <f>IFERROR(VLOOKUP(C281,TRAOPE!$G:$H,2,0),"")</f>
        <v/>
      </c>
      <c r="E281" s="8" t="inlineStr">
        <is>
          <t>DW75</t>
        </is>
      </c>
      <c r="F281" s="8" t="inlineStr">
        <is>
          <t>D343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10151191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20250301</t>
        </is>
      </c>
      <c r="M281" s="8" t="inlineStr">
        <is>
          <t>99991231</t>
        </is>
      </c>
      <c r="N281" s="10" t="n">
        <v>227.09</v>
      </c>
      <c r="O281" s="10">
        <f>IFERROR(VLOOKUP(A281,Flete!$A:$J,10,0),"")</f>
        <v/>
      </c>
      <c r="P281" s="8" t="inlineStr">
        <is>
          <t>TN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900006554</v>
      </c>
      <c r="D282" s="7">
        <f>IFERROR(VLOOKUP(C282,TRAOPE!$G:$H,2,0),"")</f>
        <v/>
      </c>
      <c r="E282" s="8" t="inlineStr">
        <is>
          <t>DW75</t>
        </is>
      </c>
      <c r="F282" s="8" t="inlineStr">
        <is>
          <t>D343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10189747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20250301</t>
        </is>
      </c>
      <c r="M282" s="8" t="inlineStr">
        <is>
          <t>20260215</t>
        </is>
      </c>
      <c r="N282" s="10" t="n">
        <v>247.26</v>
      </c>
      <c r="O282" s="10">
        <f>IFERROR(VLOOKUP(A282,Flete!$A:$J,10,0),"")</f>
        <v/>
      </c>
      <c r="P282" s="8" t="inlineStr">
        <is>
          <t>TN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900006554</v>
      </c>
      <c r="D283" s="7">
        <f>IFERROR(VLOOKUP(C283,TRAOPE!$G:$H,2,0),"")</f>
        <v/>
      </c>
      <c r="E283" s="8" t="inlineStr">
        <is>
          <t>DW75</t>
        </is>
      </c>
      <c r="F283" s="8" t="inlineStr">
        <is>
          <t>D349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10000364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20220516</t>
        </is>
      </c>
      <c r="M283" s="8" t="inlineStr">
        <is>
          <t>20241216</t>
        </is>
      </c>
      <c r="N283" s="10" t="n">
        <v>146.13</v>
      </c>
      <c r="O283" s="10">
        <f>IFERROR(VLOOKUP(A283,Flete!$A:$J,10,0),"")</f>
        <v/>
      </c>
      <c r="P283" s="8" t="inlineStr">
        <is>
          <t>TN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900006554</v>
      </c>
      <c r="D284" s="7">
        <f>IFERROR(VLOOKUP(C284,TRAOPE!$G:$H,2,0),"")</f>
        <v/>
      </c>
      <c r="E284" s="8" t="inlineStr">
        <is>
          <t>DW75</t>
        </is>
      </c>
      <c r="F284" s="8" t="inlineStr">
        <is>
          <t>D349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10043600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20250301</t>
        </is>
      </c>
      <c r="M284" s="8" t="inlineStr">
        <is>
          <t>99991231</t>
        </is>
      </c>
      <c r="N284" s="10" t="n">
        <v>248.31</v>
      </c>
      <c r="O284" s="10">
        <f>IFERROR(VLOOKUP(A284,Flete!$A:$J,10,0),"")</f>
        <v/>
      </c>
      <c r="P284" s="8" t="inlineStr">
        <is>
          <t>TN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900006554</v>
      </c>
      <c r="D285" s="7">
        <f>IFERROR(VLOOKUP(C285,TRAOPE!$G:$H,2,0),"")</f>
        <v/>
      </c>
      <c r="E285" s="8" t="inlineStr">
        <is>
          <t>DW75</t>
        </is>
      </c>
      <c r="F285" s="8" t="inlineStr">
        <is>
          <t>D349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10043601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20250301</t>
        </is>
      </c>
      <c r="M285" s="8" t="inlineStr">
        <is>
          <t>20260215</t>
        </is>
      </c>
      <c r="N285" s="10" t="n">
        <v>248.73</v>
      </c>
      <c r="O285" s="10">
        <f>IFERROR(VLOOKUP(A285,Flete!$A:$J,10,0),"")</f>
        <v/>
      </c>
      <c r="P285" s="8" t="inlineStr">
        <is>
          <t>TN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900006554</v>
      </c>
      <c r="D286" s="7">
        <f>IFERROR(VLOOKUP(C286,TRAOPE!$G:$H,2,0),"")</f>
        <v/>
      </c>
      <c r="E286" s="8" t="inlineStr">
        <is>
          <t>DW75</t>
        </is>
      </c>
      <c r="F286" s="8" t="inlineStr">
        <is>
          <t>D349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10045642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20250301</t>
        </is>
      </c>
      <c r="M286" s="8" t="inlineStr">
        <is>
          <t>20260215</t>
        </is>
      </c>
      <c r="N286" s="10" t="n">
        <v>237.12</v>
      </c>
      <c r="O286" s="10">
        <f>IFERROR(VLOOKUP(A286,Flete!$A:$J,10,0),"")</f>
        <v/>
      </c>
      <c r="P286" s="8" t="inlineStr">
        <is>
          <t>TN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900006554</v>
      </c>
      <c r="D287" s="7">
        <f>IFERROR(VLOOKUP(C287,TRAOPE!$G:$H,2,0),"")</f>
        <v/>
      </c>
      <c r="E287" s="8" t="inlineStr">
        <is>
          <t>DW75</t>
        </is>
      </c>
      <c r="F287" s="8" t="inlineStr">
        <is>
          <t>D349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10147933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20250301</t>
        </is>
      </c>
      <c r="M287" s="8" t="inlineStr">
        <is>
          <t>20260215</t>
        </is>
      </c>
      <c r="N287" s="10" t="n">
        <v>253.49</v>
      </c>
      <c r="O287" s="10">
        <f>IFERROR(VLOOKUP(A287,Flete!$A:$J,10,0),"")</f>
        <v/>
      </c>
      <c r="P287" s="8" t="inlineStr">
        <is>
          <t>TN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900006554</v>
      </c>
      <c r="D288" s="7">
        <f>IFERROR(VLOOKUP(C288,TRAOPE!$G:$H,2,0),"")</f>
        <v/>
      </c>
      <c r="E288" s="8" t="inlineStr">
        <is>
          <t>DW75</t>
        </is>
      </c>
      <c r="F288" s="8" t="inlineStr">
        <is>
          <t>D349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10151191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20250301</t>
        </is>
      </c>
      <c r="M288" s="8" t="inlineStr">
        <is>
          <t>20260215</t>
        </is>
      </c>
      <c r="N288" s="10" t="n">
        <v>227.09</v>
      </c>
      <c r="O288" s="10">
        <f>IFERROR(VLOOKUP(A288,Flete!$A:$J,10,0),"")</f>
        <v/>
      </c>
      <c r="P288" s="8" t="inlineStr">
        <is>
          <t>TN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900006554</v>
      </c>
      <c r="D289" s="7">
        <f>IFERROR(VLOOKUP(C289,TRAOPE!$G:$H,2,0),"")</f>
        <v/>
      </c>
      <c r="E289" s="8" t="inlineStr">
        <is>
          <t>DW75</t>
        </is>
      </c>
      <c r="F289" s="8" t="inlineStr">
        <is>
          <t>D349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10189747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20250301</t>
        </is>
      </c>
      <c r="M289" s="8" t="inlineStr">
        <is>
          <t>20260215</t>
        </is>
      </c>
      <c r="N289" s="10" t="n">
        <v>247.26</v>
      </c>
      <c r="O289" s="10">
        <f>IFERROR(VLOOKUP(A289,Flete!$A:$J,10,0),"")</f>
        <v/>
      </c>
      <c r="P289" s="8" t="inlineStr">
        <is>
          <t>TN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900006554</v>
      </c>
      <c r="D290" s="7">
        <f>IFERROR(VLOOKUP(C290,TRAOPE!$G:$H,2,0),"")</f>
        <v/>
      </c>
      <c r="E290" s="8" t="inlineStr">
        <is>
          <t>DW75</t>
        </is>
      </c>
      <c r="F290" s="8" t="inlineStr">
        <is>
          <t>D358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10043601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20250807</t>
        </is>
      </c>
      <c r="M290" s="8" t="inlineStr">
        <is>
          <t>99991231</t>
        </is>
      </c>
      <c r="N290" s="10" t="n">
        <v>242.74</v>
      </c>
      <c r="O290" s="10">
        <f>IFERROR(VLOOKUP(A290,Flete!$A:$J,10,0),"")</f>
        <v/>
      </c>
      <c r="P290" s="8" t="inlineStr">
        <is>
          <t>TN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900006554</v>
      </c>
      <c r="D291" s="7">
        <f>IFERROR(VLOOKUP(C291,TRAOPE!$G:$H,2,0),"")</f>
        <v/>
      </c>
      <c r="E291" s="8" t="inlineStr">
        <is>
          <t>DW75</t>
        </is>
      </c>
      <c r="F291" s="8" t="inlineStr">
        <is>
          <t>D358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10151191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20260603</t>
        </is>
      </c>
      <c r="M291" s="8" t="inlineStr">
        <is>
          <t>99991231</t>
        </is>
      </c>
      <c r="N291" s="10" t="n">
        <v>227.09</v>
      </c>
      <c r="O291" s="10">
        <f>IFERROR(VLOOKUP(A291,Flete!$A:$J,10,0),"")</f>
        <v/>
      </c>
      <c r="P291" s="8" t="inlineStr">
        <is>
          <t>TN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900007058</v>
      </c>
      <c r="D292" s="7">
        <f>IFERROR(VLOOKUP(C292,TRAOPE!$G:$H,2,0),"")</f>
        <v/>
      </c>
      <c r="E292" s="8" t="inlineStr">
        <is>
          <t>DW75</t>
        </is>
      </c>
      <c r="F292" s="8" t="inlineStr">
        <is>
          <t>D063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10232465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20240206</t>
        </is>
      </c>
      <c r="M292" s="8" t="inlineStr">
        <is>
          <t>20241105</t>
        </is>
      </c>
      <c r="N292" s="10" t="n">
        <v>381.74</v>
      </c>
      <c r="O292" s="10">
        <f>IFERROR(VLOOKUP(A292,Flete!$A:$J,10,0),"")</f>
        <v/>
      </c>
      <c r="P292" s="8" t="inlineStr">
        <is>
          <t>TN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900007058</v>
      </c>
      <c r="D293" s="7">
        <f>IFERROR(VLOOKUP(C293,TRAOPE!$G:$H,2,0),"")</f>
        <v/>
      </c>
      <c r="E293" s="8" t="inlineStr">
        <is>
          <t>DW75</t>
        </is>
      </c>
      <c r="F293" s="8" t="inlineStr">
        <is>
          <t>D278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10000328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20220516</t>
        </is>
      </c>
      <c r="M293" s="8" t="inlineStr">
        <is>
          <t>20241216</t>
        </is>
      </c>
      <c r="N293" s="10" t="n">
        <v>162.89</v>
      </c>
      <c r="O293" s="10">
        <f>IFERROR(VLOOKUP(A293,Flete!$A:$J,10,0),"")</f>
        <v/>
      </c>
      <c r="P293" s="8" t="inlineStr">
        <is>
          <t>TN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900007058</v>
      </c>
      <c r="D294" s="7">
        <f>IFERROR(VLOOKUP(C294,TRAOPE!$G:$H,2,0),"")</f>
        <v/>
      </c>
      <c r="E294" s="8" t="inlineStr">
        <is>
          <t>DW75</t>
        </is>
      </c>
      <c r="F294" s="8" t="inlineStr">
        <is>
          <t>D278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10000364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20250301</t>
        </is>
      </c>
      <c r="M294" s="8" t="inlineStr">
        <is>
          <t>20251031</t>
        </is>
      </c>
      <c r="N294" s="10" t="n">
        <v>331.24</v>
      </c>
      <c r="O294" s="10">
        <f>IFERROR(VLOOKUP(A294,Flete!$A:$J,10,0),"")</f>
        <v/>
      </c>
      <c r="P294" s="8" t="inlineStr">
        <is>
          <t>TN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900007058</v>
      </c>
      <c r="D295" s="7">
        <f>IFERROR(VLOOKUP(C295,TRAOPE!$G:$H,2,0),"")</f>
        <v/>
      </c>
      <c r="E295" s="8" t="inlineStr">
        <is>
          <t>DW75</t>
        </is>
      </c>
      <c r="F295" s="8" t="inlineStr">
        <is>
          <t>D278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10000365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20250301</t>
        </is>
      </c>
      <c r="M295" s="8" t="inlineStr">
        <is>
          <t>20251031</t>
        </is>
      </c>
      <c r="N295" s="10" t="n">
        <v>342.69</v>
      </c>
      <c r="O295" s="10">
        <f>IFERROR(VLOOKUP(A295,Flete!$A:$J,10,0),"")</f>
        <v/>
      </c>
      <c r="P295" s="8" t="inlineStr">
        <is>
          <t>TN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900007058</v>
      </c>
      <c r="D296" s="7">
        <f>IFERROR(VLOOKUP(C296,TRAOPE!$G:$H,2,0),"")</f>
        <v/>
      </c>
      <c r="E296" s="8" t="inlineStr">
        <is>
          <t>DW75</t>
        </is>
      </c>
      <c r="F296" s="8" t="inlineStr">
        <is>
          <t>D278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10232465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20250301</t>
        </is>
      </c>
      <c r="M296" s="8" t="inlineStr">
        <is>
          <t>20251031</t>
        </is>
      </c>
      <c r="N296" s="10" t="n">
        <v>381.74</v>
      </c>
      <c r="O296" s="10">
        <f>IFERROR(VLOOKUP(A296,Flete!$A:$J,10,0),"")</f>
        <v/>
      </c>
      <c r="P296" s="8" t="inlineStr">
        <is>
          <t>TN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900007058</v>
      </c>
      <c r="D297" s="7">
        <f>IFERROR(VLOOKUP(C297,TRAOPE!$G:$H,2,0),"")</f>
        <v/>
      </c>
      <c r="E297" s="8" t="inlineStr">
        <is>
          <t>DW75</t>
        </is>
      </c>
      <c r="F297" s="8" t="inlineStr">
        <is>
          <t>D285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10000364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20250301</t>
        </is>
      </c>
      <c r="M297" s="8" t="inlineStr">
        <is>
          <t>20251031</t>
        </is>
      </c>
      <c r="N297" s="10" t="n">
        <v>408.34</v>
      </c>
      <c r="O297" s="10">
        <f>IFERROR(VLOOKUP(A297,Flete!$A:$J,10,0),"")</f>
        <v/>
      </c>
      <c r="P297" s="8" t="inlineStr">
        <is>
          <t>TN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900007058</v>
      </c>
      <c r="D298" s="7">
        <f>IFERROR(VLOOKUP(C298,TRAOPE!$G:$H,2,0),"")</f>
        <v/>
      </c>
      <c r="E298" s="8" t="inlineStr">
        <is>
          <t>DW75</t>
        </is>
      </c>
      <c r="F298" s="8" t="inlineStr">
        <is>
          <t>D285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10000365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20250301</t>
        </is>
      </c>
      <c r="M298" s="8" t="inlineStr">
        <is>
          <t>20251031</t>
        </is>
      </c>
      <c r="N298" s="10" t="n">
        <v>434.62</v>
      </c>
      <c r="O298" s="10">
        <f>IFERROR(VLOOKUP(A298,Flete!$A:$J,10,0),"")</f>
        <v/>
      </c>
      <c r="P298" s="8" t="inlineStr">
        <is>
          <t>TN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900007058</v>
      </c>
      <c r="D299" s="7">
        <f>IFERROR(VLOOKUP(C299,TRAOPE!$G:$H,2,0),"")</f>
        <v/>
      </c>
      <c r="E299" s="8" t="inlineStr">
        <is>
          <t>DW75</t>
        </is>
      </c>
      <c r="F299" s="8" t="inlineStr">
        <is>
          <t>D315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10000328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20220516</t>
        </is>
      </c>
      <c r="M299" s="8" t="inlineStr">
        <is>
          <t>20241216</t>
        </is>
      </c>
      <c r="N299" s="10" t="n">
        <v>162.89</v>
      </c>
      <c r="O299" s="10">
        <f>IFERROR(VLOOKUP(A299,Flete!$A:$J,10,0),"")</f>
        <v/>
      </c>
      <c r="P299" s="8" t="inlineStr">
        <is>
          <t>TN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900007058</v>
      </c>
      <c r="D300" s="7">
        <f>IFERROR(VLOOKUP(C300,TRAOPE!$G:$H,2,0),"")</f>
        <v/>
      </c>
      <c r="E300" s="8" t="inlineStr">
        <is>
          <t>DW75</t>
        </is>
      </c>
      <c r="F300" s="8" t="inlineStr">
        <is>
          <t>D327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10000328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20220516</t>
        </is>
      </c>
      <c r="M300" s="8" t="inlineStr">
        <is>
          <t>20241216</t>
        </is>
      </c>
      <c r="N300" s="10" t="n">
        <v>162.89</v>
      </c>
      <c r="O300" s="10">
        <f>IFERROR(VLOOKUP(A300,Flete!$A:$J,10,0),"")</f>
        <v/>
      </c>
      <c r="P300" s="8" t="inlineStr">
        <is>
          <t>TN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900007058</v>
      </c>
      <c r="D301" s="7">
        <f>IFERROR(VLOOKUP(C301,TRAOPE!$G:$H,2,0),"")</f>
        <v/>
      </c>
      <c r="E301" s="8" t="inlineStr">
        <is>
          <t>DW75</t>
        </is>
      </c>
      <c r="F301" s="8" t="inlineStr">
        <is>
          <t>D343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10000364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20250301</t>
        </is>
      </c>
      <c r="M301" s="8" t="inlineStr">
        <is>
          <t>20251031</t>
        </is>
      </c>
      <c r="N301" s="10" t="n">
        <v>331.24</v>
      </c>
      <c r="O301" s="10">
        <f>IFERROR(VLOOKUP(A301,Flete!$A:$J,10,0),"")</f>
        <v/>
      </c>
      <c r="P301" s="8" t="inlineStr">
        <is>
          <t>TN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900007058</v>
      </c>
      <c r="D302" s="7">
        <f>IFERROR(VLOOKUP(C302,TRAOPE!$G:$H,2,0),"")</f>
        <v/>
      </c>
      <c r="E302" s="8" t="inlineStr">
        <is>
          <t>DW75</t>
        </is>
      </c>
      <c r="F302" s="8" t="inlineStr">
        <is>
          <t>D343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10000365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20250301</t>
        </is>
      </c>
      <c r="M302" s="8" t="inlineStr">
        <is>
          <t>20251031</t>
        </is>
      </c>
      <c r="N302" s="10" t="n">
        <v>342.69</v>
      </c>
      <c r="O302" s="10">
        <f>IFERROR(VLOOKUP(A302,Flete!$A:$J,10,0),"")</f>
        <v/>
      </c>
      <c r="P302" s="8" t="inlineStr">
        <is>
          <t>TN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900007058</v>
      </c>
      <c r="D303" s="7">
        <f>IFERROR(VLOOKUP(C303,TRAOPE!$G:$H,2,0),"")</f>
        <v/>
      </c>
      <c r="E303" s="8" t="inlineStr">
        <is>
          <t>DW75</t>
        </is>
      </c>
      <c r="F303" s="8" t="inlineStr">
        <is>
          <t>D343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10232465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20250301</t>
        </is>
      </c>
      <c r="M303" s="8" t="inlineStr">
        <is>
          <t>20251031</t>
        </is>
      </c>
      <c r="N303" s="10" t="n">
        <v>381.74</v>
      </c>
      <c r="O303" s="10">
        <f>IFERROR(VLOOKUP(A303,Flete!$A:$J,10,0),"")</f>
        <v/>
      </c>
      <c r="P303" s="8" t="inlineStr">
        <is>
          <t>TN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900007058</v>
      </c>
      <c r="D304" s="7">
        <f>IFERROR(VLOOKUP(C304,TRAOPE!$G:$H,2,0),"")</f>
        <v/>
      </c>
      <c r="E304" s="8" t="inlineStr">
        <is>
          <t>DW75</t>
        </is>
      </c>
      <c r="F304" s="8" t="inlineStr">
        <is>
          <t>D349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10000328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20220516</t>
        </is>
      </c>
      <c r="M304" s="8" t="inlineStr">
        <is>
          <t>20241216</t>
        </is>
      </c>
      <c r="N304" s="10" t="n">
        <v>162.89</v>
      </c>
      <c r="O304" s="10">
        <f>IFERROR(VLOOKUP(A304,Flete!$A:$J,10,0),"")</f>
        <v/>
      </c>
      <c r="P304" s="8" t="inlineStr">
        <is>
          <t>TN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900007058</v>
      </c>
      <c r="D305" s="7">
        <f>IFERROR(VLOOKUP(C305,TRAOPE!$G:$H,2,0),"")</f>
        <v/>
      </c>
      <c r="E305" s="8" t="inlineStr">
        <is>
          <t>DW75</t>
        </is>
      </c>
      <c r="F305" s="8" t="inlineStr">
        <is>
          <t>D349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10000364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20250301</t>
        </is>
      </c>
      <c r="M305" s="8" t="inlineStr">
        <is>
          <t>20251031</t>
        </is>
      </c>
      <c r="N305" s="10" t="n">
        <v>331.24</v>
      </c>
      <c r="O305" s="10">
        <f>IFERROR(VLOOKUP(A305,Flete!$A:$J,10,0),"")</f>
        <v/>
      </c>
      <c r="P305" s="8" t="inlineStr">
        <is>
          <t>TN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900007058</v>
      </c>
      <c r="D306" s="7">
        <f>IFERROR(VLOOKUP(C306,TRAOPE!$G:$H,2,0),"")</f>
        <v/>
      </c>
      <c r="E306" s="8" t="inlineStr">
        <is>
          <t>DW75</t>
        </is>
      </c>
      <c r="F306" s="8" t="inlineStr">
        <is>
          <t>D349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10000365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20250301</t>
        </is>
      </c>
      <c r="M306" s="8" t="inlineStr">
        <is>
          <t>20251031</t>
        </is>
      </c>
      <c r="N306" s="10" t="n">
        <v>342.69</v>
      </c>
      <c r="O306" s="10">
        <f>IFERROR(VLOOKUP(A306,Flete!$A:$J,10,0),"")</f>
        <v/>
      </c>
      <c r="P306" s="8" t="inlineStr">
        <is>
          <t>TN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900007058</v>
      </c>
      <c r="D307" s="7">
        <f>IFERROR(VLOOKUP(C307,TRAOPE!$G:$H,2,0),"")</f>
        <v/>
      </c>
      <c r="E307" s="8" t="inlineStr">
        <is>
          <t>DW75</t>
        </is>
      </c>
      <c r="F307" s="8" t="inlineStr">
        <is>
          <t>D349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10232465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20250301</t>
        </is>
      </c>
      <c r="M307" s="8" t="inlineStr">
        <is>
          <t>20251031</t>
        </is>
      </c>
      <c r="N307" s="10" t="n">
        <v>381.74</v>
      </c>
      <c r="O307" s="10">
        <f>IFERROR(VLOOKUP(A307,Flete!$A:$J,10,0),"")</f>
        <v/>
      </c>
      <c r="P307" s="8" t="inlineStr">
        <is>
          <t>TN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900007058</v>
      </c>
      <c r="D308" s="7">
        <f>IFERROR(VLOOKUP(C308,TRAOPE!$G:$H,2,0),"")</f>
        <v/>
      </c>
      <c r="E308" s="8" t="inlineStr">
        <is>
          <t>DW75</t>
        </is>
      </c>
      <c r="F308" s="8" t="inlineStr">
        <is>
          <t>E674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10232465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20250301</t>
        </is>
      </c>
      <c r="M308" s="8" t="inlineStr">
        <is>
          <t>20251031</t>
        </is>
      </c>
      <c r="N308" s="10" t="n">
        <v>381.74</v>
      </c>
      <c r="O308" s="10">
        <f>IFERROR(VLOOKUP(A308,Flete!$A:$J,10,0),"")</f>
        <v/>
      </c>
      <c r="P308" s="8" t="inlineStr">
        <is>
          <t>TN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900007101</v>
      </c>
      <c r="D309" s="7">
        <f>IFERROR(VLOOKUP(C309,TRAOPE!$G:$H,2,0),"")</f>
        <v/>
      </c>
      <c r="E309" s="8" t="inlineStr">
        <is>
          <t>DW75</t>
        </is>
      </c>
      <c r="F309" s="8" t="inlineStr">
        <is>
          <t>D278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10196470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20220516</t>
        </is>
      </c>
      <c r="M309" s="8" t="inlineStr">
        <is>
          <t>20240822</t>
        </is>
      </c>
      <c r="N309" s="10" t="n">
        <v>182.01</v>
      </c>
      <c r="O309" s="10">
        <f>IFERROR(VLOOKUP(A309,Flete!$A:$J,10,0),"")</f>
        <v/>
      </c>
      <c r="P309" s="8" t="inlineStr">
        <is>
          <t>TN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900007101</v>
      </c>
      <c r="D310" s="7">
        <f>IFERROR(VLOOKUP(C310,TRAOPE!$G:$H,2,0),"")</f>
        <v/>
      </c>
      <c r="E310" s="8" t="inlineStr">
        <is>
          <t>DW75</t>
        </is>
      </c>
      <c r="F310" s="8" t="inlineStr">
        <is>
          <t>D312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10196470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20220516</t>
        </is>
      </c>
      <c r="M310" s="8" t="inlineStr">
        <is>
          <t>20240822</t>
        </is>
      </c>
      <c r="N310" s="10" t="n">
        <v>182.01</v>
      </c>
      <c r="O310" s="10">
        <f>IFERROR(VLOOKUP(A310,Flete!$A:$J,10,0),"")</f>
        <v/>
      </c>
      <c r="P310" s="8" t="inlineStr">
        <is>
          <t>TN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900007101</v>
      </c>
      <c r="D311" s="7">
        <f>IFERROR(VLOOKUP(C311,TRAOPE!$G:$H,2,0),"")</f>
        <v/>
      </c>
      <c r="E311" s="8" t="inlineStr">
        <is>
          <t>DW75</t>
        </is>
      </c>
      <c r="F311" s="8" t="inlineStr">
        <is>
          <t>D327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10196470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20220516</t>
        </is>
      </c>
      <c r="M311" s="8" t="inlineStr">
        <is>
          <t>20240822</t>
        </is>
      </c>
      <c r="N311" s="10" t="n">
        <v>182.01</v>
      </c>
      <c r="O311" s="10">
        <f>IFERROR(VLOOKUP(A311,Flete!$A:$J,10,0),"")</f>
        <v/>
      </c>
      <c r="P311" s="8" t="inlineStr">
        <is>
          <t>TN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900007101</v>
      </c>
      <c r="D312" s="7">
        <f>IFERROR(VLOOKUP(C312,TRAOPE!$G:$H,2,0),"")</f>
        <v/>
      </c>
      <c r="E312" s="8" t="inlineStr">
        <is>
          <t>DW75</t>
        </is>
      </c>
      <c r="F312" s="8" t="inlineStr">
        <is>
          <t>D331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10196470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20220516</t>
        </is>
      </c>
      <c r="M312" s="8" t="inlineStr">
        <is>
          <t>20240822</t>
        </is>
      </c>
      <c r="N312" s="10" t="n">
        <v>173.84</v>
      </c>
      <c r="O312" s="10">
        <f>IFERROR(VLOOKUP(A312,Flete!$A:$J,10,0),"")</f>
        <v/>
      </c>
      <c r="P312" s="8" t="inlineStr">
        <is>
          <t>TN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900007101</v>
      </c>
      <c r="D313" s="7">
        <f>IFERROR(VLOOKUP(C313,TRAOPE!$G:$H,2,0),"")</f>
        <v/>
      </c>
      <c r="E313" s="8" t="inlineStr">
        <is>
          <t>DW75</t>
        </is>
      </c>
      <c r="F313" s="8" t="inlineStr">
        <is>
          <t>D343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10196470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20220516</t>
        </is>
      </c>
      <c r="M313" s="8" t="inlineStr">
        <is>
          <t>20240822</t>
        </is>
      </c>
      <c r="N313" s="10" t="n">
        <v>182.01</v>
      </c>
      <c r="O313" s="10">
        <f>IFERROR(VLOOKUP(A313,Flete!$A:$J,10,0),"")</f>
        <v/>
      </c>
      <c r="P313" s="8" t="inlineStr">
        <is>
          <t>TN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900007101</v>
      </c>
      <c r="D314" s="7">
        <f>IFERROR(VLOOKUP(C314,TRAOPE!$G:$H,2,0),"")</f>
        <v/>
      </c>
      <c r="E314" s="8" t="inlineStr">
        <is>
          <t>DW75</t>
        </is>
      </c>
      <c r="F314" s="8" t="inlineStr">
        <is>
          <t>D349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10196470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20220516</t>
        </is>
      </c>
      <c r="M314" s="8" t="inlineStr">
        <is>
          <t>20240822</t>
        </is>
      </c>
      <c r="N314" s="10" t="n">
        <v>182.01</v>
      </c>
      <c r="O314" s="10">
        <f>IFERROR(VLOOKUP(A314,Flete!$A:$J,10,0),"")</f>
        <v/>
      </c>
      <c r="P314" s="8" t="inlineStr">
        <is>
          <t>TN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900007121</v>
      </c>
      <c r="D315" s="7">
        <f>IFERROR(VLOOKUP(C315,TRAOPE!$G:$H,2,0),"")</f>
        <v/>
      </c>
      <c r="E315" s="8" t="inlineStr">
        <is>
          <t>DW75</t>
        </is>
      </c>
      <c r="F315" s="8" t="inlineStr">
        <is>
          <t>D278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10200686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20240726</t>
        </is>
      </c>
      <c r="M315" s="8" t="inlineStr">
        <is>
          <t>20241023</t>
        </is>
      </c>
      <c r="N315" s="10" t="n">
        <v>164.23</v>
      </c>
      <c r="O315" s="10">
        <f>IFERROR(VLOOKUP(A315,Flete!$A:$J,10,0),"")</f>
        <v/>
      </c>
      <c r="P315" s="8" t="inlineStr">
        <is>
          <t>TN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900007121</v>
      </c>
      <c r="D316" s="7">
        <f>IFERROR(VLOOKUP(C316,TRAOPE!$G:$H,2,0),"")</f>
        <v/>
      </c>
      <c r="E316" s="8" t="inlineStr">
        <is>
          <t>DW75</t>
        </is>
      </c>
      <c r="F316" s="8" t="inlineStr">
        <is>
          <t>D327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10200686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20240726</t>
        </is>
      </c>
      <c r="M316" s="8" t="inlineStr">
        <is>
          <t>20241023</t>
        </is>
      </c>
      <c r="N316" s="10" t="n">
        <v>164.23</v>
      </c>
      <c r="O316" s="10">
        <f>IFERROR(VLOOKUP(A316,Flete!$A:$J,10,0),"")</f>
        <v/>
      </c>
      <c r="P316" s="8" t="inlineStr">
        <is>
          <t>TN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900007121</v>
      </c>
      <c r="D317" s="7">
        <f>IFERROR(VLOOKUP(C317,TRAOPE!$G:$H,2,0),"")</f>
        <v/>
      </c>
      <c r="E317" s="8" t="inlineStr">
        <is>
          <t>DW75</t>
        </is>
      </c>
      <c r="F317" s="8" t="inlineStr">
        <is>
          <t>D343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10200686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20240726</t>
        </is>
      </c>
      <c r="M317" s="8" t="inlineStr">
        <is>
          <t>20241023</t>
        </is>
      </c>
      <c r="N317" s="10" t="n">
        <v>164.23</v>
      </c>
      <c r="O317" s="10">
        <f>IFERROR(VLOOKUP(A317,Flete!$A:$J,10,0),"")</f>
        <v/>
      </c>
      <c r="P317" s="8" t="inlineStr">
        <is>
          <t>TN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900007121</v>
      </c>
      <c r="D318" s="7">
        <f>IFERROR(VLOOKUP(C318,TRAOPE!$G:$H,2,0),"")</f>
        <v/>
      </c>
      <c r="E318" s="8" t="inlineStr">
        <is>
          <t>DW75</t>
        </is>
      </c>
      <c r="F318" s="8" t="inlineStr">
        <is>
          <t>E674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10200686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20240726</t>
        </is>
      </c>
      <c r="M318" s="8" t="inlineStr">
        <is>
          <t>20241023</t>
        </is>
      </c>
      <c r="N318" s="10" t="n">
        <v>164.23</v>
      </c>
      <c r="O318" s="10">
        <f>IFERROR(VLOOKUP(A318,Flete!$A:$J,10,0),"")</f>
        <v/>
      </c>
      <c r="P318" s="8" t="inlineStr">
        <is>
          <t>TN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900007598</v>
      </c>
      <c r="D319" s="7">
        <f>IFERROR(VLOOKUP(C319,TRAOPE!$G:$H,2,0),"")</f>
        <v/>
      </c>
      <c r="E319" s="8" t="inlineStr">
        <is>
          <t>DW75</t>
        </is>
      </c>
      <c r="F319" s="8" t="inlineStr">
        <is>
          <t>D278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10215847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20220707</t>
        </is>
      </c>
      <c r="M319" s="8" t="inlineStr">
        <is>
          <t>20231127</t>
        </is>
      </c>
      <c r="N319" s="10" t="n">
        <v>207.02</v>
      </c>
      <c r="O319" s="10">
        <f>IFERROR(VLOOKUP(A319,Flete!$A:$J,10,0),"")</f>
        <v/>
      </c>
      <c r="P319" s="8" t="inlineStr">
        <is>
          <t>TN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900007598</v>
      </c>
      <c r="D320" s="7">
        <f>IFERROR(VLOOKUP(C320,TRAOPE!$G:$H,2,0),"")</f>
        <v/>
      </c>
      <c r="E320" s="8" t="inlineStr">
        <is>
          <t>DW75</t>
        </is>
      </c>
      <c r="F320" s="8" t="inlineStr">
        <is>
          <t>D312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10215847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20220707</t>
        </is>
      </c>
      <c r="M320" s="8" t="inlineStr">
        <is>
          <t>20231127</t>
        </is>
      </c>
      <c r="N320" s="10" t="n">
        <v>207.02</v>
      </c>
      <c r="O320" s="10">
        <f>IFERROR(VLOOKUP(A320,Flete!$A:$J,10,0),"")</f>
        <v/>
      </c>
      <c r="P320" s="8" t="inlineStr">
        <is>
          <t>TN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  <row r="321">
      <c r="A321" s="7">
        <f>CONCATENATE(C321,E321,F321,I321)</f>
        <v/>
      </c>
      <c r="B321" s="7">
        <f>CONCATENATE(C321,E321,I321)</f>
        <v/>
      </c>
      <c r="C321" s="8" t="n">
        <v>900007598</v>
      </c>
      <c r="D321" s="7">
        <f>IFERROR(VLOOKUP(C321,TRAOPE!$G:$H,2,0),"")</f>
        <v/>
      </c>
      <c r="E321" s="8" t="inlineStr">
        <is>
          <t>DW75</t>
        </is>
      </c>
      <c r="F321" s="8" t="inlineStr">
        <is>
          <t>D315</t>
        </is>
      </c>
      <c r="G321" s="8">
        <f>IFERROR(VLOOKUP(A321,Flete!$A:$E,5,0),"")</f>
        <v/>
      </c>
      <c r="H321" s="7">
        <f>IFERROR(VLOOKUP(F321,TRAOPE!$AA:$AB,2,0),"")</f>
        <v/>
      </c>
      <c r="I321" s="7" t="n">
        <v>10215847</v>
      </c>
      <c r="J321" s="7">
        <f>IFERROR(VLOOKUP(I321,Materiales!$A:$H,8,0),"")</f>
        <v/>
      </c>
      <c r="K321" s="9">
        <f>IFERROR(VLOOKUP(I321,Materiales!$A:$G,7,0),"")</f>
        <v/>
      </c>
      <c r="L321" s="8" t="inlineStr">
        <is>
          <t>20220707</t>
        </is>
      </c>
      <c r="M321" s="8" t="inlineStr">
        <is>
          <t>20231127</t>
        </is>
      </c>
      <c r="N321" s="10" t="n">
        <v>207.02</v>
      </c>
      <c r="O321" s="10">
        <f>IFERROR(VLOOKUP(A321,Flete!$A:$J,10,0),"")</f>
        <v/>
      </c>
      <c r="P321" s="8" t="inlineStr">
        <is>
          <t>TN</t>
        </is>
      </c>
      <c r="Q321" s="10">
        <f>IFERROR(IFERROR(VLOOKUP(A321,TRAOPE!$A:$U,21,0),VLOOKUP(B321,TRAOPE!$A:$U,21,0)),"")</f>
        <v/>
      </c>
      <c r="R321" s="8">
        <f>IFERROR(IFERROR(VLOOKUP(A321,TRAOPE!$A:$W,23,0),VLOOKUP(B321,TRAOPE!$A:$W,23,0)),"")</f>
        <v/>
      </c>
      <c r="S321" s="10">
        <f>IF(AND(P321="TN",R321="TN"),N321+N(O321),IF(G321&amp;""="1",N(K321)*N321,(N321+N(O321))*N(K321)))</f>
        <v/>
      </c>
      <c r="T321" s="10">
        <f>IF(Q321="","",Q321-S321)</f>
        <v/>
      </c>
    </row>
    <row r="322">
      <c r="A322" s="7">
        <f>CONCATENATE(C322,E322,F322,I322)</f>
        <v/>
      </c>
      <c r="B322" s="7">
        <f>CONCATENATE(C322,E322,I322)</f>
        <v/>
      </c>
      <c r="C322" s="8" t="n">
        <v>900007598</v>
      </c>
      <c r="D322" s="7">
        <f>IFERROR(VLOOKUP(C322,TRAOPE!$G:$H,2,0),"")</f>
        <v/>
      </c>
      <c r="E322" s="8" t="inlineStr">
        <is>
          <t>DW75</t>
        </is>
      </c>
      <c r="F322" s="8" t="inlineStr">
        <is>
          <t>D327</t>
        </is>
      </c>
      <c r="G322" s="8">
        <f>IFERROR(VLOOKUP(A322,Flete!$A:$E,5,0),"")</f>
        <v/>
      </c>
      <c r="H322" s="7">
        <f>IFERROR(VLOOKUP(F322,TRAOPE!$AA:$AB,2,0),"")</f>
        <v/>
      </c>
      <c r="I322" s="7" t="n">
        <v>10215847</v>
      </c>
      <c r="J322" s="7">
        <f>IFERROR(VLOOKUP(I322,Materiales!$A:$H,8,0),"")</f>
        <v/>
      </c>
      <c r="K322" s="9">
        <f>IFERROR(VLOOKUP(I322,Materiales!$A:$G,7,0),"")</f>
        <v/>
      </c>
      <c r="L322" s="8" t="inlineStr">
        <is>
          <t>20220707</t>
        </is>
      </c>
      <c r="M322" s="8" t="inlineStr">
        <is>
          <t>20231127</t>
        </is>
      </c>
      <c r="N322" s="10" t="n">
        <v>207.02</v>
      </c>
      <c r="O322" s="10">
        <f>IFERROR(VLOOKUP(A322,Flete!$A:$J,10,0),"")</f>
        <v/>
      </c>
      <c r="P322" s="8" t="inlineStr">
        <is>
          <t>TN</t>
        </is>
      </c>
      <c r="Q322" s="10">
        <f>IFERROR(IFERROR(VLOOKUP(A322,TRAOPE!$A:$U,21,0),VLOOKUP(B322,TRAOPE!$A:$U,21,0)),"")</f>
        <v/>
      </c>
      <c r="R322" s="8">
        <f>IFERROR(IFERROR(VLOOKUP(A322,TRAOPE!$A:$W,23,0),VLOOKUP(B322,TRAOPE!$A:$W,23,0)),"")</f>
        <v/>
      </c>
      <c r="S322" s="10">
        <f>IF(AND(P322="TN",R322="TN"),N322+N(O322),IF(G322&amp;""="1",N(K322)*N322,(N322+N(O322))*N(K322)))</f>
        <v/>
      </c>
      <c r="T322" s="10">
        <f>IF(Q322="","",Q322-S322)</f>
        <v/>
      </c>
    </row>
    <row r="323">
      <c r="A323" s="7">
        <f>CONCATENATE(C323,E323,F323,I323)</f>
        <v/>
      </c>
      <c r="B323" s="7">
        <f>CONCATENATE(C323,E323,I323)</f>
        <v/>
      </c>
      <c r="C323" s="8" t="n">
        <v>900007598</v>
      </c>
      <c r="D323" s="7">
        <f>IFERROR(VLOOKUP(C323,TRAOPE!$G:$H,2,0),"")</f>
        <v/>
      </c>
      <c r="E323" s="8" t="inlineStr">
        <is>
          <t>DW75</t>
        </is>
      </c>
      <c r="F323" s="8" t="inlineStr">
        <is>
          <t>D343</t>
        </is>
      </c>
      <c r="G323" s="8">
        <f>IFERROR(VLOOKUP(A323,Flete!$A:$E,5,0),"")</f>
        <v/>
      </c>
      <c r="H323" s="7">
        <f>IFERROR(VLOOKUP(F323,TRAOPE!$AA:$AB,2,0),"")</f>
        <v/>
      </c>
      <c r="I323" s="7" t="n">
        <v>10215847</v>
      </c>
      <c r="J323" s="7">
        <f>IFERROR(VLOOKUP(I323,Materiales!$A:$H,8,0),"")</f>
        <v/>
      </c>
      <c r="K323" s="9">
        <f>IFERROR(VLOOKUP(I323,Materiales!$A:$G,7,0),"")</f>
        <v/>
      </c>
      <c r="L323" s="8" t="inlineStr">
        <is>
          <t>20220707</t>
        </is>
      </c>
      <c r="M323" s="8" t="inlineStr">
        <is>
          <t>20231127</t>
        </is>
      </c>
      <c r="N323" s="10" t="n">
        <v>207.02</v>
      </c>
      <c r="O323" s="10">
        <f>IFERROR(VLOOKUP(A323,Flete!$A:$J,10,0),"")</f>
        <v/>
      </c>
      <c r="P323" s="8" t="inlineStr">
        <is>
          <t>TN</t>
        </is>
      </c>
      <c r="Q323" s="10">
        <f>IFERROR(IFERROR(VLOOKUP(A323,TRAOPE!$A:$U,21,0),VLOOKUP(B323,TRAOPE!$A:$U,21,0)),"")</f>
        <v/>
      </c>
      <c r="R323" s="8">
        <f>IFERROR(IFERROR(VLOOKUP(A323,TRAOPE!$A:$W,23,0),VLOOKUP(B323,TRAOPE!$A:$W,23,0)),"")</f>
        <v/>
      </c>
      <c r="S323" s="10">
        <f>IF(AND(P323="TN",R323="TN"),N323+N(O323),IF(G323&amp;""="1",N(K323)*N323,(N323+N(O323))*N(K323)))</f>
        <v/>
      </c>
      <c r="T323" s="10">
        <f>IF(Q323="","",Q323-S323)</f>
        <v/>
      </c>
    </row>
    <row r="324">
      <c r="A324" s="7">
        <f>CONCATENATE(C324,E324,F324,I324)</f>
        <v/>
      </c>
      <c r="B324" s="7">
        <f>CONCATENATE(C324,E324,I324)</f>
        <v/>
      </c>
      <c r="C324" s="8" t="n">
        <v>900007598</v>
      </c>
      <c r="D324" s="7">
        <f>IFERROR(VLOOKUP(C324,TRAOPE!$G:$H,2,0),"")</f>
        <v/>
      </c>
      <c r="E324" s="8" t="inlineStr">
        <is>
          <t>DW75</t>
        </is>
      </c>
      <c r="F324" s="8" t="inlineStr">
        <is>
          <t>D343</t>
        </is>
      </c>
      <c r="G324" s="8">
        <f>IFERROR(VLOOKUP(A324,Flete!$A:$E,5,0),"")</f>
        <v/>
      </c>
      <c r="H324" s="7">
        <f>IFERROR(VLOOKUP(F324,TRAOPE!$AA:$AB,2,0),"")</f>
        <v/>
      </c>
      <c r="I324" s="7" t="n">
        <v>10248791</v>
      </c>
      <c r="J324" s="7">
        <f>IFERROR(VLOOKUP(I324,Materiales!$A:$H,8,0),"")</f>
        <v/>
      </c>
      <c r="K324" s="9">
        <f>IFERROR(VLOOKUP(I324,Materiales!$A:$G,7,0),"")</f>
        <v/>
      </c>
      <c r="L324" s="8" t="inlineStr">
        <is>
          <t>20250301</t>
        </is>
      </c>
      <c r="M324" s="8" t="inlineStr">
        <is>
          <t>20251031</t>
        </is>
      </c>
      <c r="N324" s="10" t="n">
        <v>266.09</v>
      </c>
      <c r="O324" s="10">
        <f>IFERROR(VLOOKUP(A324,Flete!$A:$J,10,0),"")</f>
        <v/>
      </c>
      <c r="P324" s="8" t="inlineStr">
        <is>
          <t>TN</t>
        </is>
      </c>
      <c r="Q324" s="10">
        <f>IFERROR(IFERROR(VLOOKUP(A324,TRAOPE!$A:$U,21,0),VLOOKUP(B324,TRAOPE!$A:$U,21,0)),"")</f>
        <v/>
      </c>
      <c r="R324" s="8">
        <f>IFERROR(IFERROR(VLOOKUP(A324,TRAOPE!$A:$W,23,0),VLOOKUP(B324,TRAOPE!$A:$W,23,0)),"")</f>
        <v/>
      </c>
      <c r="S324" s="10">
        <f>IF(AND(P324="TN",R324="TN"),N324+N(O324),IF(G324&amp;""="1",N(K324)*N324,(N324+N(O324))*N(K324)))</f>
        <v/>
      </c>
      <c r="T324" s="10">
        <f>IF(Q324="","",Q324-S324)</f>
        <v/>
      </c>
    </row>
    <row r="325">
      <c r="A325" s="7">
        <f>CONCATENATE(C325,E325,F325,I325)</f>
        <v/>
      </c>
      <c r="B325" s="7">
        <f>CONCATENATE(C325,E325,I325)</f>
        <v/>
      </c>
      <c r="C325" s="8" t="n">
        <v>900007598</v>
      </c>
      <c r="D325" s="7">
        <f>IFERROR(VLOOKUP(C325,TRAOPE!$G:$H,2,0),"")</f>
        <v/>
      </c>
      <c r="E325" s="8" t="inlineStr">
        <is>
          <t>DW75</t>
        </is>
      </c>
      <c r="F325" s="8" t="inlineStr">
        <is>
          <t>D343</t>
        </is>
      </c>
      <c r="G325" s="8">
        <f>IFERROR(VLOOKUP(A325,Flete!$A:$E,5,0),"")</f>
        <v/>
      </c>
      <c r="H325" s="7">
        <f>IFERROR(VLOOKUP(F325,TRAOPE!$AA:$AB,2,0),"")</f>
        <v/>
      </c>
      <c r="I325" s="7" t="n">
        <v>10251421</v>
      </c>
      <c r="J325" s="7">
        <f>IFERROR(VLOOKUP(I325,Materiales!$A:$H,8,0),"")</f>
        <v/>
      </c>
      <c r="K325" s="9">
        <f>IFERROR(VLOOKUP(I325,Materiales!$A:$G,7,0),"")</f>
        <v/>
      </c>
      <c r="L325" s="8" t="inlineStr">
        <is>
          <t>20250301</t>
        </is>
      </c>
      <c r="M325" s="8" t="inlineStr">
        <is>
          <t>20251031</t>
        </is>
      </c>
      <c r="N325" s="10" t="n">
        <v>325.02</v>
      </c>
      <c r="O325" s="10">
        <f>IFERROR(VLOOKUP(A325,Flete!$A:$J,10,0),"")</f>
        <v/>
      </c>
      <c r="P325" s="8" t="inlineStr">
        <is>
          <t>TN</t>
        </is>
      </c>
      <c r="Q325" s="10">
        <f>IFERROR(IFERROR(VLOOKUP(A325,TRAOPE!$A:$U,21,0),VLOOKUP(B325,TRAOPE!$A:$U,21,0)),"")</f>
        <v/>
      </c>
      <c r="R325" s="8">
        <f>IFERROR(IFERROR(VLOOKUP(A325,TRAOPE!$A:$W,23,0),VLOOKUP(B325,TRAOPE!$A:$W,23,0)),"")</f>
        <v/>
      </c>
      <c r="S325" s="10">
        <f>IF(AND(P325="TN",R325="TN"),N325+N(O325),IF(G325&amp;""="1",N(K325)*N325,(N325+N(O325))*N(K325)))</f>
        <v/>
      </c>
      <c r="T325" s="10">
        <f>IF(Q325="","",Q325-S325)</f>
        <v/>
      </c>
    </row>
    <row r="326">
      <c r="A326" s="7">
        <f>CONCATENATE(C326,E326,F326,I326)</f>
        <v/>
      </c>
      <c r="B326" s="7">
        <f>CONCATENATE(C326,E326,I326)</f>
        <v/>
      </c>
      <c r="C326" s="8" t="n">
        <v>900007598</v>
      </c>
      <c r="D326" s="7">
        <f>IFERROR(VLOOKUP(C326,TRAOPE!$G:$H,2,0),"")</f>
        <v/>
      </c>
      <c r="E326" s="8" t="inlineStr">
        <is>
          <t>DW75</t>
        </is>
      </c>
      <c r="F326" s="8" t="inlineStr">
        <is>
          <t>D349</t>
        </is>
      </c>
      <c r="G326" s="8">
        <f>IFERROR(VLOOKUP(A326,Flete!$A:$E,5,0),"")</f>
        <v/>
      </c>
      <c r="H326" s="7">
        <f>IFERROR(VLOOKUP(F326,TRAOPE!$AA:$AB,2,0),"")</f>
        <v/>
      </c>
      <c r="I326" s="7" t="n">
        <v>10215847</v>
      </c>
      <c r="J326" s="7">
        <f>IFERROR(VLOOKUP(I326,Materiales!$A:$H,8,0),"")</f>
        <v/>
      </c>
      <c r="K326" s="9">
        <f>IFERROR(VLOOKUP(I326,Materiales!$A:$G,7,0),"")</f>
        <v/>
      </c>
      <c r="L326" s="8" t="inlineStr">
        <is>
          <t>20220707</t>
        </is>
      </c>
      <c r="M326" s="8" t="inlineStr">
        <is>
          <t>20231127</t>
        </is>
      </c>
      <c r="N326" s="10" t="n">
        <v>207.02</v>
      </c>
      <c r="O326" s="10">
        <f>IFERROR(VLOOKUP(A326,Flete!$A:$J,10,0),"")</f>
        <v/>
      </c>
      <c r="P326" s="8" t="inlineStr">
        <is>
          <t>TN</t>
        </is>
      </c>
      <c r="Q326" s="10">
        <f>IFERROR(IFERROR(VLOOKUP(A326,TRAOPE!$A:$U,21,0),VLOOKUP(B326,TRAOPE!$A:$U,21,0)),"")</f>
        <v/>
      </c>
      <c r="R326" s="8">
        <f>IFERROR(IFERROR(VLOOKUP(A326,TRAOPE!$A:$W,23,0),VLOOKUP(B326,TRAOPE!$A:$W,23,0)),"")</f>
        <v/>
      </c>
      <c r="S326" s="10">
        <f>IF(AND(P326="TN",R326="TN"),N326+N(O326),IF(G326&amp;""="1",N(K326)*N326,(N326+N(O326))*N(K326)))</f>
        <v/>
      </c>
      <c r="T326" s="10">
        <f>IF(Q326="","",Q326-S326)</f>
        <v/>
      </c>
    </row>
    <row r="327">
      <c r="A327" s="7">
        <f>CONCATENATE(C327,E327,F327,I327)</f>
        <v/>
      </c>
      <c r="B327" s="7">
        <f>CONCATENATE(C327,E327,I327)</f>
        <v/>
      </c>
      <c r="C327" s="8" t="n">
        <v>900007598</v>
      </c>
      <c r="D327" s="7">
        <f>IFERROR(VLOOKUP(C327,TRAOPE!$G:$H,2,0),"")</f>
        <v/>
      </c>
      <c r="E327" s="8" t="inlineStr">
        <is>
          <t>DW75</t>
        </is>
      </c>
      <c r="F327" s="8" t="inlineStr">
        <is>
          <t>D349</t>
        </is>
      </c>
      <c r="G327" s="8">
        <f>IFERROR(VLOOKUP(A327,Flete!$A:$E,5,0),"")</f>
        <v/>
      </c>
      <c r="H327" s="7">
        <f>IFERROR(VLOOKUP(F327,TRAOPE!$AA:$AB,2,0),"")</f>
        <v/>
      </c>
      <c r="I327" s="7" t="n">
        <v>10248791</v>
      </c>
      <c r="J327" s="7">
        <f>IFERROR(VLOOKUP(I327,Materiales!$A:$H,8,0),"")</f>
        <v/>
      </c>
      <c r="K327" s="9">
        <f>IFERROR(VLOOKUP(I327,Materiales!$A:$G,7,0),"")</f>
        <v/>
      </c>
      <c r="L327" s="8" t="inlineStr">
        <is>
          <t>20250901</t>
        </is>
      </c>
      <c r="M327" s="8" t="inlineStr">
        <is>
          <t>20260215</t>
        </is>
      </c>
      <c r="N327" s="10" t="n">
        <v>266.09</v>
      </c>
      <c r="O327" s="10">
        <f>IFERROR(VLOOKUP(A327,Flete!$A:$J,10,0),"")</f>
        <v/>
      </c>
      <c r="P327" s="8" t="inlineStr">
        <is>
          <t>TN</t>
        </is>
      </c>
      <c r="Q327" s="10">
        <f>IFERROR(IFERROR(VLOOKUP(A327,TRAOPE!$A:$U,21,0),VLOOKUP(B327,TRAOPE!$A:$U,21,0)),"")</f>
        <v/>
      </c>
      <c r="R327" s="8">
        <f>IFERROR(IFERROR(VLOOKUP(A327,TRAOPE!$A:$W,23,0),VLOOKUP(B327,TRAOPE!$A:$W,23,0)),"")</f>
        <v/>
      </c>
      <c r="S327" s="10">
        <f>IF(AND(P327="TN",R327="TN"),N327+N(O327),IF(G327&amp;""="1",N(K327)*N327,(N327+N(O327))*N(K327)))</f>
        <v/>
      </c>
      <c r="T327" s="10">
        <f>IF(Q327="","",Q327-S327)</f>
        <v/>
      </c>
    </row>
    <row r="328">
      <c r="A328" s="7">
        <f>CONCATENATE(C328,E328,F328,I328)</f>
        <v/>
      </c>
      <c r="B328" s="7">
        <f>CONCATENATE(C328,E328,I328)</f>
        <v/>
      </c>
      <c r="C328" s="8" t="n">
        <v>900007598</v>
      </c>
      <c r="D328" s="7">
        <f>IFERROR(VLOOKUP(C328,TRAOPE!$G:$H,2,0),"")</f>
        <v/>
      </c>
      <c r="E328" s="8" t="inlineStr">
        <is>
          <t>DW75</t>
        </is>
      </c>
      <c r="F328" s="8" t="inlineStr">
        <is>
          <t>D349</t>
        </is>
      </c>
      <c r="G328" s="8">
        <f>IFERROR(VLOOKUP(A328,Flete!$A:$E,5,0),"")</f>
        <v/>
      </c>
      <c r="H328" s="7">
        <f>IFERROR(VLOOKUP(F328,TRAOPE!$AA:$AB,2,0),"")</f>
        <v/>
      </c>
      <c r="I328" s="7" t="n">
        <v>10251421</v>
      </c>
      <c r="J328" s="7">
        <f>IFERROR(VLOOKUP(I328,Materiales!$A:$H,8,0),"")</f>
        <v/>
      </c>
      <c r="K328" s="9">
        <f>IFERROR(VLOOKUP(I328,Materiales!$A:$G,7,0),"")</f>
        <v/>
      </c>
      <c r="L328" s="8" t="inlineStr">
        <is>
          <t>20241004</t>
        </is>
      </c>
      <c r="M328" s="8" t="inlineStr">
        <is>
          <t>20260215</t>
        </is>
      </c>
      <c r="N328" s="10" t="n">
        <v>325.02</v>
      </c>
      <c r="O328" s="10">
        <f>IFERROR(VLOOKUP(A328,Flete!$A:$J,10,0),"")</f>
        <v/>
      </c>
      <c r="P328" s="8" t="inlineStr">
        <is>
          <t>TN</t>
        </is>
      </c>
      <c r="Q328" s="10">
        <f>IFERROR(IFERROR(VLOOKUP(A328,TRAOPE!$A:$U,21,0),VLOOKUP(B328,TRAOPE!$A:$U,21,0)),"")</f>
        <v/>
      </c>
      <c r="R328" s="8">
        <f>IFERROR(IFERROR(VLOOKUP(A328,TRAOPE!$A:$W,23,0),VLOOKUP(B328,TRAOPE!$A:$W,23,0)),"")</f>
        <v/>
      </c>
      <c r="S328" s="10">
        <f>IF(AND(P328="TN",R328="TN"),N328+N(O328),IF(G328&amp;""="1",N(K328)*N328,(N328+N(O328))*N(K328)))</f>
        <v/>
      </c>
      <c r="T328" s="10">
        <f>IF(Q328="","",Q328-S328)</f>
        <v/>
      </c>
    </row>
    <row r="329">
      <c r="A329" s="7">
        <f>CONCATENATE(C329,E329,F329,I329)</f>
        <v/>
      </c>
      <c r="B329" s="7">
        <f>CONCATENATE(C329,E329,I329)</f>
        <v/>
      </c>
      <c r="C329" s="8" t="n">
        <v>900007598</v>
      </c>
      <c r="D329" s="7">
        <f>IFERROR(VLOOKUP(C329,TRAOPE!$G:$H,2,0),"")</f>
        <v/>
      </c>
      <c r="E329" s="8" t="inlineStr">
        <is>
          <t>DW75</t>
        </is>
      </c>
      <c r="F329" s="8" t="inlineStr">
        <is>
          <t>ER00</t>
        </is>
      </c>
      <c r="G329" s="8">
        <f>IFERROR(VLOOKUP(A329,Flete!$A:$E,5,0),"")</f>
        <v/>
      </c>
      <c r="H329" s="7">
        <f>IFERROR(VLOOKUP(F329,TRAOPE!$AA:$AB,2,0),"")</f>
        <v/>
      </c>
      <c r="I329" s="7" t="n">
        <v>10248791</v>
      </c>
      <c r="J329" s="7">
        <f>IFERROR(VLOOKUP(I329,Materiales!$A:$H,8,0),"")</f>
        <v/>
      </c>
      <c r="K329" s="9">
        <f>IFERROR(VLOOKUP(I329,Materiales!$A:$G,7,0),"")</f>
        <v/>
      </c>
      <c r="L329" s="8" t="inlineStr">
        <is>
          <t>20231121</t>
        </is>
      </c>
      <c r="M329" s="8" t="inlineStr">
        <is>
          <t>20231126</t>
        </is>
      </c>
      <c r="N329" s="10" t="n">
        <v>266.09</v>
      </c>
      <c r="O329" s="10">
        <f>IFERROR(VLOOKUP(A329,Flete!$A:$J,10,0),"")</f>
        <v/>
      </c>
      <c r="P329" s="8" t="inlineStr">
        <is>
          <t>TN</t>
        </is>
      </c>
      <c r="Q329" s="10">
        <f>IFERROR(IFERROR(VLOOKUP(A329,TRAOPE!$A:$U,21,0),VLOOKUP(B329,TRAOPE!$A:$U,21,0)),"")</f>
        <v/>
      </c>
      <c r="R329" s="8">
        <f>IFERROR(IFERROR(VLOOKUP(A329,TRAOPE!$A:$W,23,0),VLOOKUP(B329,TRAOPE!$A:$W,23,0)),"")</f>
        <v/>
      </c>
      <c r="S329" s="10">
        <f>IF(AND(P329="TN",R329="TN"),N329+N(O329),IF(G329&amp;""="1",N(K329)*N329,(N329+N(O329))*N(K329)))</f>
        <v/>
      </c>
      <c r="T329" s="10">
        <f>IF(Q329="","",Q329-S329)</f>
        <v/>
      </c>
    </row>
    <row r="330">
      <c r="A330" s="7">
        <f>CONCATENATE(C330,E330,F330,I330)</f>
        <v/>
      </c>
      <c r="B330" s="7">
        <f>CONCATENATE(C330,E330,I330)</f>
        <v/>
      </c>
      <c r="C330" s="8" t="n">
        <v>900007756</v>
      </c>
      <c r="D330" s="7">
        <f>IFERROR(VLOOKUP(C330,TRAOPE!$G:$H,2,0),"")</f>
        <v/>
      </c>
      <c r="E330" s="8" t="inlineStr">
        <is>
          <t>DW75</t>
        </is>
      </c>
      <c r="F330" s="8" t="inlineStr">
        <is>
          <t>D063</t>
        </is>
      </c>
      <c r="G330" s="8">
        <f>IFERROR(VLOOKUP(A330,Flete!$A:$E,5,0),"")</f>
        <v/>
      </c>
      <c r="H330" s="7">
        <f>IFERROR(VLOOKUP(F330,TRAOPE!$AA:$AB,2,0),"")</f>
        <v/>
      </c>
      <c r="I330" s="7" t="n">
        <v>10221763</v>
      </c>
      <c r="J330" s="7">
        <f>IFERROR(VLOOKUP(I330,Materiales!$A:$H,8,0),"")</f>
        <v/>
      </c>
      <c r="K330" s="9">
        <f>IFERROR(VLOOKUP(I330,Materiales!$A:$G,7,0),"")</f>
        <v/>
      </c>
      <c r="L330" s="8" t="inlineStr">
        <is>
          <t>20250301</t>
        </is>
      </c>
      <c r="M330" s="8" t="inlineStr">
        <is>
          <t>20251031</t>
        </is>
      </c>
      <c r="N330" s="10" t="n">
        <v>386.93</v>
      </c>
      <c r="O330" s="10">
        <f>IFERROR(VLOOKUP(A330,Flete!$A:$J,10,0),"")</f>
        <v/>
      </c>
      <c r="P330" s="8" t="inlineStr">
        <is>
          <t>TN</t>
        </is>
      </c>
      <c r="Q330" s="10">
        <f>IFERROR(IFERROR(VLOOKUP(A330,TRAOPE!$A:$U,21,0),VLOOKUP(B330,TRAOPE!$A:$U,21,0)),"")</f>
        <v/>
      </c>
      <c r="R330" s="8">
        <f>IFERROR(IFERROR(VLOOKUP(A330,TRAOPE!$A:$W,23,0),VLOOKUP(B330,TRAOPE!$A:$W,23,0)),"")</f>
        <v/>
      </c>
      <c r="S330" s="10">
        <f>IF(AND(P330="TN",R330="TN"),N330+N(O330),IF(G330&amp;""="1",N(K330)*N330,(N330+N(O330))*N(K330)))</f>
        <v/>
      </c>
      <c r="T330" s="10">
        <f>IF(Q330="","",Q330-S330)</f>
        <v/>
      </c>
    </row>
    <row r="331">
      <c r="A331" s="7">
        <f>CONCATENATE(C331,E331,F331,I331)</f>
        <v/>
      </c>
      <c r="B331" s="7">
        <f>CONCATENATE(C331,E331,I331)</f>
        <v/>
      </c>
      <c r="C331" s="8" t="n">
        <v>900007756</v>
      </c>
      <c r="D331" s="7">
        <f>IFERROR(VLOOKUP(C331,TRAOPE!$G:$H,2,0),"")</f>
        <v/>
      </c>
      <c r="E331" s="8" t="inlineStr">
        <is>
          <t>DW75</t>
        </is>
      </c>
      <c r="F331" s="8" t="inlineStr">
        <is>
          <t>D112</t>
        </is>
      </c>
      <c r="G331" s="8">
        <f>IFERROR(VLOOKUP(A331,Flete!$A:$E,5,0),"")</f>
        <v/>
      </c>
      <c r="H331" s="7">
        <f>IFERROR(VLOOKUP(F331,TRAOPE!$AA:$AB,2,0),"")</f>
        <v/>
      </c>
      <c r="I331" s="7" t="n">
        <v>10221763</v>
      </c>
      <c r="J331" s="7">
        <f>IFERROR(VLOOKUP(I331,Materiales!$A:$H,8,0),"")</f>
        <v/>
      </c>
      <c r="K331" s="9">
        <f>IFERROR(VLOOKUP(I331,Materiales!$A:$G,7,0),"")</f>
        <v/>
      </c>
      <c r="L331" s="8" t="inlineStr">
        <is>
          <t>20250301</t>
        </is>
      </c>
      <c r="M331" s="8" t="inlineStr">
        <is>
          <t>20251031</t>
        </is>
      </c>
      <c r="N331" s="10" t="n">
        <v>386.93</v>
      </c>
      <c r="O331" s="10">
        <f>IFERROR(VLOOKUP(A331,Flete!$A:$J,10,0),"")</f>
        <v/>
      </c>
      <c r="P331" s="8" t="inlineStr">
        <is>
          <t>TN</t>
        </is>
      </c>
      <c r="Q331" s="10">
        <f>IFERROR(IFERROR(VLOOKUP(A331,TRAOPE!$A:$U,21,0),VLOOKUP(B331,TRAOPE!$A:$U,21,0)),"")</f>
        <v/>
      </c>
      <c r="R331" s="8">
        <f>IFERROR(IFERROR(VLOOKUP(A331,TRAOPE!$A:$W,23,0),VLOOKUP(B331,TRAOPE!$A:$W,23,0)),"")</f>
        <v/>
      </c>
      <c r="S331" s="10">
        <f>IF(AND(P331="TN",R331="TN"),N331+N(O331),IF(G331&amp;""="1",N(K331)*N331,(N331+N(O331))*N(K331)))</f>
        <v/>
      </c>
      <c r="T331" s="10">
        <f>IF(Q331="","",Q331-S331)</f>
        <v/>
      </c>
    </row>
    <row r="332">
      <c r="A332" s="7">
        <f>CONCATENATE(C332,E332,F332,I332)</f>
        <v/>
      </c>
      <c r="B332" s="7">
        <f>CONCATENATE(C332,E332,I332)</f>
        <v/>
      </c>
      <c r="C332" s="8" t="n">
        <v>900007756</v>
      </c>
      <c r="D332" s="7">
        <f>IFERROR(VLOOKUP(C332,TRAOPE!$G:$H,2,0),"")</f>
        <v/>
      </c>
      <c r="E332" s="8" t="inlineStr">
        <is>
          <t>DW75</t>
        </is>
      </c>
      <c r="F332" s="8" t="inlineStr">
        <is>
          <t>D278</t>
        </is>
      </c>
      <c r="G332" s="8">
        <f>IFERROR(VLOOKUP(A332,Flete!$A:$E,5,0),"")</f>
        <v/>
      </c>
      <c r="H332" s="7">
        <f>IFERROR(VLOOKUP(F332,TRAOPE!$AA:$AB,2,0),"")</f>
        <v/>
      </c>
      <c r="I332" s="7" t="n">
        <v>10221763</v>
      </c>
      <c r="J332" s="7">
        <f>IFERROR(VLOOKUP(I332,Materiales!$A:$H,8,0),"")</f>
        <v/>
      </c>
      <c r="K332" s="9">
        <f>IFERROR(VLOOKUP(I332,Materiales!$A:$G,7,0),"")</f>
        <v/>
      </c>
      <c r="L332" s="8" t="inlineStr">
        <is>
          <t>20220516</t>
        </is>
      </c>
      <c r="M332" s="8" t="inlineStr">
        <is>
          <t>20241216</t>
        </is>
      </c>
      <c r="N332" s="10" t="n">
        <v>386.93</v>
      </c>
      <c r="O332" s="10">
        <f>IFERROR(VLOOKUP(A332,Flete!$A:$J,10,0),"")</f>
        <v/>
      </c>
      <c r="P332" s="8" t="inlineStr">
        <is>
          <t>TN</t>
        </is>
      </c>
      <c r="Q332" s="10">
        <f>IFERROR(IFERROR(VLOOKUP(A332,TRAOPE!$A:$U,21,0),VLOOKUP(B332,TRAOPE!$A:$U,21,0)),"")</f>
        <v/>
      </c>
      <c r="R332" s="8">
        <f>IFERROR(IFERROR(VLOOKUP(A332,TRAOPE!$A:$W,23,0),VLOOKUP(B332,TRAOPE!$A:$W,23,0)),"")</f>
        <v/>
      </c>
      <c r="S332" s="10">
        <f>IF(AND(P332="TN",R332="TN"),N332+N(O332),IF(G332&amp;""="1",N(K332)*N332,(N332+N(O332))*N(K332)))</f>
        <v/>
      </c>
      <c r="T332" s="10">
        <f>IF(Q332="","",Q332-S332)</f>
        <v/>
      </c>
    </row>
    <row r="333">
      <c r="A333" s="7">
        <f>CONCATENATE(C333,E333,F333,I333)</f>
        <v/>
      </c>
      <c r="B333" s="7">
        <f>CONCATENATE(C333,E333,I333)</f>
        <v/>
      </c>
      <c r="C333" s="8" t="n">
        <v>900007756</v>
      </c>
      <c r="D333" s="7">
        <f>IFERROR(VLOOKUP(C333,TRAOPE!$G:$H,2,0),"")</f>
        <v/>
      </c>
      <c r="E333" s="8" t="inlineStr">
        <is>
          <t>DW75</t>
        </is>
      </c>
      <c r="F333" s="8" t="inlineStr">
        <is>
          <t>D312</t>
        </is>
      </c>
      <c r="G333" s="8">
        <f>IFERROR(VLOOKUP(A333,Flete!$A:$E,5,0),"")</f>
        <v/>
      </c>
      <c r="H333" s="7">
        <f>IFERROR(VLOOKUP(F333,TRAOPE!$AA:$AB,2,0),"")</f>
        <v/>
      </c>
      <c r="I333" s="7" t="n">
        <v>10221763</v>
      </c>
      <c r="J333" s="7">
        <f>IFERROR(VLOOKUP(I333,Materiales!$A:$H,8,0),"")</f>
        <v/>
      </c>
      <c r="K333" s="9">
        <f>IFERROR(VLOOKUP(I333,Materiales!$A:$G,7,0),"")</f>
        <v/>
      </c>
      <c r="L333" s="8" t="inlineStr">
        <is>
          <t>20220516</t>
        </is>
      </c>
      <c r="M333" s="8" t="inlineStr">
        <is>
          <t>20241216</t>
        </is>
      </c>
      <c r="N333" s="10" t="n">
        <v>345.6</v>
      </c>
      <c r="O333" s="10">
        <f>IFERROR(VLOOKUP(A333,Flete!$A:$J,10,0),"")</f>
        <v/>
      </c>
      <c r="P333" s="8" t="inlineStr">
        <is>
          <t>TN</t>
        </is>
      </c>
      <c r="Q333" s="10">
        <f>IFERROR(IFERROR(VLOOKUP(A333,TRAOPE!$A:$U,21,0),VLOOKUP(B333,TRAOPE!$A:$U,21,0)),"")</f>
        <v/>
      </c>
      <c r="R333" s="8">
        <f>IFERROR(IFERROR(VLOOKUP(A333,TRAOPE!$A:$W,23,0),VLOOKUP(B333,TRAOPE!$A:$W,23,0)),"")</f>
        <v/>
      </c>
      <c r="S333" s="10">
        <f>IF(AND(P333="TN",R333="TN"),N333+N(O333),IF(G333&amp;""="1",N(K333)*N333,(N333+N(O333))*N(K333)))</f>
        <v/>
      </c>
      <c r="T333" s="10">
        <f>IF(Q333="","",Q333-S333)</f>
        <v/>
      </c>
    </row>
    <row r="334">
      <c r="A334" s="7">
        <f>CONCATENATE(C334,E334,F334,I334)</f>
        <v/>
      </c>
      <c r="B334" s="7">
        <f>CONCATENATE(C334,E334,I334)</f>
        <v/>
      </c>
      <c r="C334" s="8" t="n">
        <v>900007756</v>
      </c>
      <c r="D334" s="7">
        <f>IFERROR(VLOOKUP(C334,TRAOPE!$G:$H,2,0),"")</f>
        <v/>
      </c>
      <c r="E334" s="8" t="inlineStr">
        <is>
          <t>DW75</t>
        </is>
      </c>
      <c r="F334" s="8" t="inlineStr">
        <is>
          <t>D327</t>
        </is>
      </c>
      <c r="G334" s="8">
        <f>IFERROR(VLOOKUP(A334,Flete!$A:$E,5,0),"")</f>
        <v/>
      </c>
      <c r="H334" s="7">
        <f>IFERROR(VLOOKUP(F334,TRAOPE!$AA:$AB,2,0),"")</f>
        <v/>
      </c>
      <c r="I334" s="7" t="n">
        <v>10221763</v>
      </c>
      <c r="J334" s="7">
        <f>IFERROR(VLOOKUP(I334,Materiales!$A:$H,8,0),"")</f>
        <v/>
      </c>
      <c r="K334" s="9">
        <f>IFERROR(VLOOKUP(I334,Materiales!$A:$G,7,0),"")</f>
        <v/>
      </c>
      <c r="L334" s="8" t="inlineStr">
        <is>
          <t>20220516</t>
        </is>
      </c>
      <c r="M334" s="8" t="inlineStr">
        <is>
          <t>20241216</t>
        </is>
      </c>
      <c r="N334" s="10" t="n">
        <v>345.6</v>
      </c>
      <c r="O334" s="10">
        <f>IFERROR(VLOOKUP(A334,Flete!$A:$J,10,0),"")</f>
        <v/>
      </c>
      <c r="P334" s="8" t="inlineStr">
        <is>
          <t>TN</t>
        </is>
      </c>
      <c r="Q334" s="10">
        <f>IFERROR(IFERROR(VLOOKUP(A334,TRAOPE!$A:$U,21,0),VLOOKUP(B334,TRAOPE!$A:$U,21,0)),"")</f>
        <v/>
      </c>
      <c r="R334" s="8">
        <f>IFERROR(IFERROR(VLOOKUP(A334,TRAOPE!$A:$W,23,0),VLOOKUP(B334,TRAOPE!$A:$W,23,0)),"")</f>
        <v/>
      </c>
      <c r="S334" s="10">
        <f>IF(AND(P334="TN",R334="TN"),N334+N(O334),IF(G334&amp;""="1",N(K334)*N334,(N334+N(O334))*N(K334)))</f>
        <v/>
      </c>
      <c r="T334" s="10">
        <f>IF(Q334="","",Q334-S334)</f>
        <v/>
      </c>
    </row>
    <row r="335">
      <c r="A335" s="7">
        <f>CONCATENATE(C335,E335,F335,I335)</f>
        <v/>
      </c>
      <c r="B335" s="7">
        <f>CONCATENATE(C335,E335,I335)</f>
        <v/>
      </c>
      <c r="C335" s="8" t="n">
        <v>900007756</v>
      </c>
      <c r="D335" s="7">
        <f>IFERROR(VLOOKUP(C335,TRAOPE!$G:$H,2,0),"")</f>
        <v/>
      </c>
      <c r="E335" s="8" t="inlineStr">
        <is>
          <t>DW75</t>
        </is>
      </c>
      <c r="F335" s="8" t="inlineStr">
        <is>
          <t>D343</t>
        </is>
      </c>
      <c r="G335" s="8">
        <f>IFERROR(VLOOKUP(A335,Flete!$A:$E,5,0),"")</f>
        <v/>
      </c>
      <c r="H335" s="7">
        <f>IFERROR(VLOOKUP(F335,TRAOPE!$AA:$AB,2,0),"")</f>
        <v/>
      </c>
      <c r="I335" s="7" t="n">
        <v>10221763</v>
      </c>
      <c r="J335" s="7">
        <f>IFERROR(VLOOKUP(I335,Materiales!$A:$H,8,0),"")</f>
        <v/>
      </c>
      <c r="K335" s="9">
        <f>IFERROR(VLOOKUP(I335,Materiales!$A:$G,7,0),"")</f>
        <v/>
      </c>
      <c r="L335" s="8" t="inlineStr">
        <is>
          <t>20240122</t>
        </is>
      </c>
      <c r="M335" s="8" t="inlineStr">
        <is>
          <t>20260215</t>
        </is>
      </c>
      <c r="N335" s="10" t="n">
        <v>386.93</v>
      </c>
      <c r="O335" s="10">
        <f>IFERROR(VLOOKUP(A335,Flete!$A:$J,10,0),"")</f>
        <v/>
      </c>
      <c r="P335" s="8" t="inlineStr">
        <is>
          <t>TN</t>
        </is>
      </c>
      <c r="Q335" s="10">
        <f>IFERROR(IFERROR(VLOOKUP(A335,TRAOPE!$A:$U,21,0),VLOOKUP(B335,TRAOPE!$A:$U,21,0)),"")</f>
        <v/>
      </c>
      <c r="R335" s="8">
        <f>IFERROR(IFERROR(VLOOKUP(A335,TRAOPE!$A:$W,23,0),VLOOKUP(B335,TRAOPE!$A:$W,23,0)),"")</f>
        <v/>
      </c>
      <c r="S335" s="10">
        <f>IF(AND(P335="TN",R335="TN"),N335+N(O335),IF(G335&amp;""="1",N(K335)*N335,(N335+N(O335))*N(K335)))</f>
        <v/>
      </c>
      <c r="T335" s="10">
        <f>IF(Q335="","",Q335-S335)</f>
        <v/>
      </c>
    </row>
    <row r="336">
      <c r="A336" s="7">
        <f>CONCATENATE(C336,E336,F336,I336)</f>
        <v/>
      </c>
      <c r="B336" s="7">
        <f>CONCATENATE(C336,E336,I336)</f>
        <v/>
      </c>
      <c r="C336" s="8" t="n">
        <v>900007756</v>
      </c>
      <c r="D336" s="7">
        <f>IFERROR(VLOOKUP(C336,TRAOPE!$G:$H,2,0),"")</f>
        <v/>
      </c>
      <c r="E336" s="8" t="inlineStr">
        <is>
          <t>DW75</t>
        </is>
      </c>
      <c r="F336" s="8" t="inlineStr">
        <is>
          <t>D349</t>
        </is>
      </c>
      <c r="G336" s="8">
        <f>IFERROR(VLOOKUP(A336,Flete!$A:$E,5,0),"")</f>
        <v/>
      </c>
      <c r="H336" s="7">
        <f>IFERROR(VLOOKUP(F336,TRAOPE!$AA:$AB,2,0),"")</f>
        <v/>
      </c>
      <c r="I336" s="7" t="n">
        <v>10221763</v>
      </c>
      <c r="J336" s="7">
        <f>IFERROR(VLOOKUP(I336,Materiales!$A:$H,8,0),"")</f>
        <v/>
      </c>
      <c r="K336" s="9">
        <f>IFERROR(VLOOKUP(I336,Materiales!$A:$G,7,0),"")</f>
        <v/>
      </c>
      <c r="L336" s="8" t="inlineStr">
        <is>
          <t>20240122</t>
        </is>
      </c>
      <c r="M336" s="8" t="inlineStr">
        <is>
          <t>20260215</t>
        </is>
      </c>
      <c r="N336" s="10" t="n">
        <v>386.93</v>
      </c>
      <c r="O336" s="10">
        <f>IFERROR(VLOOKUP(A336,Flete!$A:$J,10,0),"")</f>
        <v/>
      </c>
      <c r="P336" s="8" t="inlineStr">
        <is>
          <t>TN</t>
        </is>
      </c>
      <c r="Q336" s="10">
        <f>IFERROR(IFERROR(VLOOKUP(A336,TRAOPE!$A:$U,21,0),VLOOKUP(B336,TRAOPE!$A:$U,21,0)),"")</f>
        <v/>
      </c>
      <c r="R336" s="8">
        <f>IFERROR(IFERROR(VLOOKUP(A336,TRAOPE!$A:$W,23,0),VLOOKUP(B336,TRAOPE!$A:$W,23,0)),"")</f>
        <v/>
      </c>
      <c r="S336" s="10">
        <f>IF(AND(P336="TN",R336="TN"),N336+N(O336),IF(G336&amp;""="1",N(K336)*N336,(N336+N(O336))*N(K336)))</f>
        <v/>
      </c>
      <c r="T336" s="10">
        <f>IF(Q336="","",Q336-S336)</f>
        <v/>
      </c>
    </row>
    <row r="337">
      <c r="A337" s="7">
        <f>CONCATENATE(C337,E337,F337,I337)</f>
        <v/>
      </c>
      <c r="B337" s="7">
        <f>CONCATENATE(C337,E337,I337)</f>
        <v/>
      </c>
      <c r="C337" s="8" t="n">
        <v>900007756</v>
      </c>
      <c r="D337" s="7">
        <f>IFERROR(VLOOKUP(C337,TRAOPE!$G:$H,2,0),"")</f>
        <v/>
      </c>
      <c r="E337" s="8" t="inlineStr">
        <is>
          <t>DW75</t>
        </is>
      </c>
      <c r="F337" s="8" t="inlineStr">
        <is>
          <t>D358</t>
        </is>
      </c>
      <c r="G337" s="8">
        <f>IFERROR(VLOOKUP(A337,Flete!$A:$E,5,0),"")</f>
        <v/>
      </c>
      <c r="H337" s="7">
        <f>IFERROR(VLOOKUP(F337,TRAOPE!$AA:$AB,2,0),"")</f>
        <v/>
      </c>
      <c r="I337" s="7" t="n">
        <v>10221763</v>
      </c>
      <c r="J337" s="7">
        <f>IFERROR(VLOOKUP(I337,Materiales!$A:$H,8,0),"")</f>
        <v/>
      </c>
      <c r="K337" s="9">
        <f>IFERROR(VLOOKUP(I337,Materiales!$A:$G,7,0),"")</f>
        <v/>
      </c>
      <c r="L337" s="8" t="inlineStr">
        <is>
          <t>20250301</t>
        </is>
      </c>
      <c r="M337" s="8" t="inlineStr">
        <is>
          <t>20251031</t>
        </is>
      </c>
      <c r="N337" s="10" t="n">
        <v>386.93</v>
      </c>
      <c r="O337" s="10">
        <f>IFERROR(VLOOKUP(A337,Flete!$A:$J,10,0),"")</f>
        <v/>
      </c>
      <c r="P337" s="8" t="inlineStr">
        <is>
          <t>TN</t>
        </is>
      </c>
      <c r="Q337" s="10">
        <f>IFERROR(IFERROR(VLOOKUP(A337,TRAOPE!$A:$U,21,0),VLOOKUP(B337,TRAOPE!$A:$U,21,0)),"")</f>
        <v/>
      </c>
      <c r="R337" s="8">
        <f>IFERROR(IFERROR(VLOOKUP(A337,TRAOPE!$A:$W,23,0),VLOOKUP(B337,TRAOPE!$A:$W,23,0)),"")</f>
        <v/>
      </c>
      <c r="S337" s="10">
        <f>IF(AND(P337="TN",R337="TN"),N337+N(O337),IF(G337&amp;""="1",N(K337)*N337,(N337+N(O337))*N(K337)))</f>
        <v/>
      </c>
      <c r="T337" s="10">
        <f>IF(Q337="","",Q337-S337)</f>
        <v/>
      </c>
    </row>
    <row r="338">
      <c r="A338" s="7">
        <f>CONCATENATE(C338,E338,F338,I338)</f>
        <v/>
      </c>
      <c r="B338" s="7">
        <f>CONCATENATE(C338,E338,I338)</f>
        <v/>
      </c>
      <c r="C338" s="8" t="n">
        <v>900007756</v>
      </c>
      <c r="D338" s="7">
        <f>IFERROR(VLOOKUP(C338,TRAOPE!$G:$H,2,0),"")</f>
        <v/>
      </c>
      <c r="E338" s="8" t="inlineStr">
        <is>
          <t>DW75</t>
        </is>
      </c>
      <c r="F338" s="8" t="inlineStr">
        <is>
          <t>E674</t>
        </is>
      </c>
      <c r="G338" s="8">
        <f>IFERROR(VLOOKUP(A338,Flete!$A:$E,5,0),"")</f>
        <v/>
      </c>
      <c r="H338" s="7">
        <f>IFERROR(VLOOKUP(F338,TRAOPE!$AA:$AB,2,0),"")</f>
        <v/>
      </c>
      <c r="I338" s="7" t="n">
        <v>10221763</v>
      </c>
      <c r="J338" s="7">
        <f>IFERROR(VLOOKUP(I338,Materiales!$A:$H,8,0),"")</f>
        <v/>
      </c>
      <c r="K338" s="9">
        <f>IFERROR(VLOOKUP(I338,Materiales!$A:$G,7,0),"")</f>
        <v/>
      </c>
      <c r="L338" s="8" t="inlineStr">
        <is>
          <t>20230704</t>
        </is>
      </c>
      <c r="M338" s="8" t="inlineStr">
        <is>
          <t>20230912</t>
        </is>
      </c>
      <c r="N338" s="10" t="n">
        <v>308.04</v>
      </c>
      <c r="O338" s="10">
        <f>IFERROR(VLOOKUP(A338,Flete!$A:$J,10,0),"")</f>
        <v/>
      </c>
      <c r="P338" s="8" t="inlineStr">
        <is>
          <t>TN</t>
        </is>
      </c>
      <c r="Q338" s="10">
        <f>IFERROR(IFERROR(VLOOKUP(A338,TRAOPE!$A:$U,21,0),VLOOKUP(B338,TRAOPE!$A:$U,21,0)),"")</f>
        <v/>
      </c>
      <c r="R338" s="8">
        <f>IFERROR(IFERROR(VLOOKUP(A338,TRAOPE!$A:$W,23,0),VLOOKUP(B338,TRAOPE!$A:$W,23,0)),"")</f>
        <v/>
      </c>
      <c r="S338" s="10">
        <f>IF(AND(P338="TN",R338="TN"),N338+N(O338),IF(G338&amp;""="1",N(K338)*N338,(N338+N(O338))*N(K338)))</f>
        <v/>
      </c>
      <c r="T338" s="10">
        <f>IF(Q338="","",Q338-S338)</f>
        <v/>
      </c>
    </row>
    <row r="339">
      <c r="A339" s="7">
        <f>CONCATENATE(C339,E339,F339,I339)</f>
        <v/>
      </c>
      <c r="B339" s="7">
        <f>CONCATENATE(C339,E339,I339)</f>
        <v/>
      </c>
      <c r="C339" s="8" t="n">
        <v>900007756</v>
      </c>
      <c r="D339" s="7">
        <f>IFERROR(VLOOKUP(C339,TRAOPE!$G:$H,2,0),"")</f>
        <v/>
      </c>
      <c r="E339" s="8" t="inlineStr">
        <is>
          <t>DW75</t>
        </is>
      </c>
      <c r="F339" s="8" t="inlineStr">
        <is>
          <t>E674</t>
        </is>
      </c>
      <c r="G339" s="8">
        <f>IFERROR(VLOOKUP(A339,Flete!$A:$E,5,0),"")</f>
        <v/>
      </c>
      <c r="H339" s="7">
        <f>IFERROR(VLOOKUP(F339,TRAOPE!$AA:$AB,2,0),"")</f>
        <v/>
      </c>
      <c r="I339" s="7" t="n">
        <v>10246797</v>
      </c>
      <c r="J339" s="7">
        <f>IFERROR(VLOOKUP(I339,Materiales!$A:$H,8,0),"")</f>
        <v/>
      </c>
      <c r="K339" s="9">
        <f>IFERROR(VLOOKUP(I339,Materiales!$A:$G,7,0),"")</f>
        <v/>
      </c>
      <c r="L339" s="8" t="inlineStr">
        <is>
          <t>20250301</t>
        </is>
      </c>
      <c r="M339" s="8" t="inlineStr">
        <is>
          <t>20251031</t>
        </is>
      </c>
      <c r="N339" s="10" t="n">
        <v>363.64</v>
      </c>
      <c r="O339" s="10">
        <f>IFERROR(VLOOKUP(A339,Flete!$A:$J,10,0),"")</f>
        <v/>
      </c>
      <c r="P339" s="8" t="inlineStr">
        <is>
          <t>TN</t>
        </is>
      </c>
      <c r="Q339" s="10">
        <f>IFERROR(IFERROR(VLOOKUP(A339,TRAOPE!$A:$U,21,0),VLOOKUP(B339,TRAOPE!$A:$U,21,0)),"")</f>
        <v/>
      </c>
      <c r="R339" s="8">
        <f>IFERROR(IFERROR(VLOOKUP(A339,TRAOPE!$A:$W,23,0),VLOOKUP(B339,TRAOPE!$A:$W,23,0)),"")</f>
        <v/>
      </c>
      <c r="S339" s="10">
        <f>IF(AND(P339="TN",R339="TN"),N339+N(O339),IF(G339&amp;""="1",N(K339)*N339,(N339+N(O339))*N(K339)))</f>
        <v/>
      </c>
      <c r="T339" s="10">
        <f>IF(Q339="","",Q339-S339)</f>
        <v/>
      </c>
    </row>
    <row r="340">
      <c r="A340" s="7">
        <f>CONCATENATE(C340,E340,F340,I340)</f>
        <v/>
      </c>
      <c r="B340" s="7">
        <f>CONCATENATE(C340,E340,I340)</f>
        <v/>
      </c>
      <c r="C340" s="8" t="n">
        <v>900007757</v>
      </c>
      <c r="D340" s="7">
        <f>IFERROR(VLOOKUP(C340,TRAOPE!$G:$H,2,0),"")</f>
        <v/>
      </c>
      <c r="E340" s="8" t="inlineStr">
        <is>
          <t>DW75</t>
        </is>
      </c>
      <c r="F340" s="8" t="inlineStr">
        <is>
          <t>D063</t>
        </is>
      </c>
      <c r="G340" s="8">
        <f>IFERROR(VLOOKUP(A340,Flete!$A:$E,5,0),"")</f>
        <v/>
      </c>
      <c r="H340" s="7">
        <f>IFERROR(VLOOKUP(F340,TRAOPE!$AA:$AB,2,0),"")</f>
        <v/>
      </c>
      <c r="I340" s="7" t="n">
        <v>10221764</v>
      </c>
      <c r="J340" s="7">
        <f>IFERROR(VLOOKUP(I340,Materiales!$A:$H,8,0),"")</f>
        <v/>
      </c>
      <c r="K340" s="9">
        <f>IFERROR(VLOOKUP(I340,Materiales!$A:$G,7,0),"")</f>
        <v/>
      </c>
      <c r="L340" s="8" t="inlineStr">
        <is>
          <t>20220516</t>
        </is>
      </c>
      <c r="M340" s="8" t="inlineStr">
        <is>
          <t>20241216</t>
        </is>
      </c>
      <c r="N340" s="10" t="n">
        <v>364.21</v>
      </c>
      <c r="O340" s="10">
        <f>IFERROR(VLOOKUP(A340,Flete!$A:$J,10,0),"")</f>
        <v/>
      </c>
      <c r="P340" s="8" t="inlineStr">
        <is>
          <t>TN</t>
        </is>
      </c>
      <c r="Q340" s="10">
        <f>IFERROR(IFERROR(VLOOKUP(A340,TRAOPE!$A:$U,21,0),VLOOKUP(B340,TRAOPE!$A:$U,21,0)),"")</f>
        <v/>
      </c>
      <c r="R340" s="8">
        <f>IFERROR(IFERROR(VLOOKUP(A340,TRAOPE!$A:$W,23,0),VLOOKUP(B340,TRAOPE!$A:$W,23,0)),"")</f>
        <v/>
      </c>
      <c r="S340" s="10">
        <f>IF(AND(P340="TN",R340="TN"),N340+N(O340),IF(G340&amp;""="1",N(K340)*N340,(N340+N(O340))*N(K340)))</f>
        <v/>
      </c>
      <c r="T340" s="10">
        <f>IF(Q340="","",Q340-S340)</f>
        <v/>
      </c>
    </row>
    <row r="341">
      <c r="A341" s="7">
        <f>CONCATENATE(C341,E341,F341,I341)</f>
        <v/>
      </c>
      <c r="B341" s="7">
        <f>CONCATENATE(C341,E341,I341)</f>
        <v/>
      </c>
      <c r="C341" s="8" t="n">
        <v>900007757</v>
      </c>
      <c r="D341" s="7">
        <f>IFERROR(VLOOKUP(C341,TRAOPE!$G:$H,2,0),"")</f>
        <v/>
      </c>
      <c r="E341" s="8" t="inlineStr">
        <is>
          <t>DW75</t>
        </is>
      </c>
      <c r="F341" s="8" t="inlineStr">
        <is>
          <t>D112</t>
        </is>
      </c>
      <c r="G341" s="8">
        <f>IFERROR(VLOOKUP(A341,Flete!$A:$E,5,0),"")</f>
        <v/>
      </c>
      <c r="H341" s="7">
        <f>IFERROR(VLOOKUP(F341,TRAOPE!$AA:$AB,2,0),"")</f>
        <v/>
      </c>
      <c r="I341" s="7" t="n">
        <v>10221764</v>
      </c>
      <c r="J341" s="7">
        <f>IFERROR(VLOOKUP(I341,Materiales!$A:$H,8,0),"")</f>
        <v/>
      </c>
      <c r="K341" s="9">
        <f>IFERROR(VLOOKUP(I341,Materiales!$A:$G,7,0),"")</f>
        <v/>
      </c>
      <c r="L341" s="8" t="inlineStr">
        <is>
          <t>20220516</t>
        </is>
      </c>
      <c r="M341" s="8" t="inlineStr">
        <is>
          <t>20241216</t>
        </is>
      </c>
      <c r="N341" s="10" t="n">
        <v>364.21</v>
      </c>
      <c r="O341" s="10">
        <f>IFERROR(VLOOKUP(A341,Flete!$A:$J,10,0),"")</f>
        <v/>
      </c>
      <c r="P341" s="8" t="inlineStr">
        <is>
          <t>TN</t>
        </is>
      </c>
      <c r="Q341" s="10">
        <f>IFERROR(IFERROR(VLOOKUP(A341,TRAOPE!$A:$U,21,0),VLOOKUP(B341,TRAOPE!$A:$U,21,0)),"")</f>
        <v/>
      </c>
      <c r="R341" s="8">
        <f>IFERROR(IFERROR(VLOOKUP(A341,TRAOPE!$A:$W,23,0),VLOOKUP(B341,TRAOPE!$A:$W,23,0)),"")</f>
        <v/>
      </c>
      <c r="S341" s="10">
        <f>IF(AND(P341="TN",R341="TN"),N341+N(O341),IF(G341&amp;""="1",N(K341)*N341,(N341+N(O341))*N(K341)))</f>
        <v/>
      </c>
      <c r="T341" s="10">
        <f>IF(Q341="","",Q341-S341)</f>
        <v/>
      </c>
    </row>
    <row r="342">
      <c r="A342" s="7">
        <f>CONCATENATE(C342,E342,F342,I342)</f>
        <v/>
      </c>
      <c r="B342" s="7">
        <f>CONCATENATE(C342,E342,I342)</f>
        <v/>
      </c>
      <c r="C342" s="8" t="n">
        <v>900007757</v>
      </c>
      <c r="D342" s="7">
        <f>IFERROR(VLOOKUP(C342,TRAOPE!$G:$H,2,0),"")</f>
        <v/>
      </c>
      <c r="E342" s="8" t="inlineStr">
        <is>
          <t>DW75</t>
        </is>
      </c>
      <c r="F342" s="8" t="inlineStr">
        <is>
          <t>D278</t>
        </is>
      </c>
      <c r="G342" s="8">
        <f>IFERROR(VLOOKUP(A342,Flete!$A:$E,5,0),"")</f>
        <v/>
      </c>
      <c r="H342" s="7">
        <f>IFERROR(VLOOKUP(F342,TRAOPE!$AA:$AB,2,0),"")</f>
        <v/>
      </c>
      <c r="I342" s="7" t="n">
        <v>10221764</v>
      </c>
      <c r="J342" s="7">
        <f>IFERROR(VLOOKUP(I342,Materiales!$A:$H,8,0),"")</f>
        <v/>
      </c>
      <c r="K342" s="9">
        <f>IFERROR(VLOOKUP(I342,Materiales!$A:$G,7,0),"")</f>
        <v/>
      </c>
      <c r="L342" s="8" t="inlineStr">
        <is>
          <t>20250120</t>
        </is>
      </c>
      <c r="M342" s="8" t="inlineStr">
        <is>
          <t>20260215</t>
        </is>
      </c>
      <c r="N342" s="10" t="n">
        <v>318.25</v>
      </c>
      <c r="O342" s="10">
        <f>IFERROR(VLOOKUP(A342,Flete!$A:$J,10,0),"")</f>
        <v/>
      </c>
      <c r="P342" s="8" t="inlineStr">
        <is>
          <t>TN</t>
        </is>
      </c>
      <c r="Q342" s="10">
        <f>IFERROR(IFERROR(VLOOKUP(A342,TRAOPE!$A:$U,21,0),VLOOKUP(B342,TRAOPE!$A:$U,21,0)),"")</f>
        <v/>
      </c>
      <c r="R342" s="8">
        <f>IFERROR(IFERROR(VLOOKUP(A342,TRAOPE!$A:$W,23,0),VLOOKUP(B342,TRAOPE!$A:$W,23,0)),"")</f>
        <v/>
      </c>
      <c r="S342" s="10">
        <f>IF(AND(P342="TN",R342="TN"),N342+N(O342),IF(G342&amp;""="1",N(K342)*N342,(N342+N(O342))*N(K342)))</f>
        <v/>
      </c>
      <c r="T342" s="10">
        <f>IF(Q342="","",Q342-S342)</f>
        <v/>
      </c>
    </row>
    <row r="343">
      <c r="A343" s="7">
        <f>CONCATENATE(C343,E343,F343,I343)</f>
        <v/>
      </c>
      <c r="B343" s="7">
        <f>CONCATENATE(C343,E343,I343)</f>
        <v/>
      </c>
      <c r="C343" s="8" t="n">
        <v>900007757</v>
      </c>
      <c r="D343" s="7">
        <f>IFERROR(VLOOKUP(C343,TRAOPE!$G:$H,2,0),"")</f>
        <v/>
      </c>
      <c r="E343" s="8" t="inlineStr">
        <is>
          <t>DW75</t>
        </is>
      </c>
      <c r="F343" s="8" t="inlineStr">
        <is>
          <t>D312</t>
        </is>
      </c>
      <c r="G343" s="8">
        <f>IFERROR(VLOOKUP(A343,Flete!$A:$E,5,0),"")</f>
        <v/>
      </c>
      <c r="H343" s="7">
        <f>IFERROR(VLOOKUP(F343,TRAOPE!$AA:$AB,2,0),"")</f>
        <v/>
      </c>
      <c r="I343" s="7" t="n">
        <v>10221764</v>
      </c>
      <c r="J343" s="7">
        <f>IFERROR(VLOOKUP(I343,Materiales!$A:$H,8,0),"")</f>
        <v/>
      </c>
      <c r="K343" s="9">
        <f>IFERROR(VLOOKUP(I343,Materiales!$A:$G,7,0),"")</f>
        <v/>
      </c>
      <c r="L343" s="8" t="inlineStr">
        <is>
          <t>20220516</t>
        </is>
      </c>
      <c r="M343" s="8" t="inlineStr">
        <is>
          <t>20241216</t>
        </is>
      </c>
      <c r="N343" s="10" t="n">
        <v>325.32</v>
      </c>
      <c r="O343" s="10">
        <f>IFERROR(VLOOKUP(A343,Flete!$A:$J,10,0),"")</f>
        <v/>
      </c>
      <c r="P343" s="8" t="inlineStr">
        <is>
          <t>TN</t>
        </is>
      </c>
      <c r="Q343" s="10">
        <f>IFERROR(IFERROR(VLOOKUP(A343,TRAOPE!$A:$U,21,0),VLOOKUP(B343,TRAOPE!$A:$U,21,0)),"")</f>
        <v/>
      </c>
      <c r="R343" s="8">
        <f>IFERROR(IFERROR(VLOOKUP(A343,TRAOPE!$A:$W,23,0),VLOOKUP(B343,TRAOPE!$A:$W,23,0)),"")</f>
        <v/>
      </c>
      <c r="S343" s="10">
        <f>IF(AND(P343="TN",R343="TN"),N343+N(O343),IF(G343&amp;""="1",N(K343)*N343,(N343+N(O343))*N(K343)))</f>
        <v/>
      </c>
      <c r="T343" s="10">
        <f>IF(Q343="","",Q343-S343)</f>
        <v/>
      </c>
    </row>
    <row r="344">
      <c r="A344" s="7">
        <f>CONCATENATE(C344,E344,F344,I344)</f>
        <v/>
      </c>
      <c r="B344" s="7">
        <f>CONCATENATE(C344,E344,I344)</f>
        <v/>
      </c>
      <c r="C344" s="8" t="n">
        <v>900007757</v>
      </c>
      <c r="D344" s="7">
        <f>IFERROR(VLOOKUP(C344,TRAOPE!$G:$H,2,0),"")</f>
        <v/>
      </c>
      <c r="E344" s="8" t="inlineStr">
        <is>
          <t>DW75</t>
        </is>
      </c>
      <c r="F344" s="8" t="inlineStr">
        <is>
          <t>D327</t>
        </is>
      </c>
      <c r="G344" s="8">
        <f>IFERROR(VLOOKUP(A344,Flete!$A:$E,5,0),"")</f>
        <v/>
      </c>
      <c r="H344" s="7">
        <f>IFERROR(VLOOKUP(F344,TRAOPE!$AA:$AB,2,0),"")</f>
        <v/>
      </c>
      <c r="I344" s="7" t="n">
        <v>10221764</v>
      </c>
      <c r="J344" s="7">
        <f>IFERROR(VLOOKUP(I344,Materiales!$A:$H,8,0),"")</f>
        <v/>
      </c>
      <c r="K344" s="9">
        <f>IFERROR(VLOOKUP(I344,Materiales!$A:$G,7,0),"")</f>
        <v/>
      </c>
      <c r="L344" s="8" t="inlineStr">
        <is>
          <t>20220516</t>
        </is>
      </c>
      <c r="M344" s="8" t="inlineStr">
        <is>
          <t>20241216</t>
        </is>
      </c>
      <c r="N344" s="10" t="n">
        <v>325.32</v>
      </c>
      <c r="O344" s="10">
        <f>IFERROR(VLOOKUP(A344,Flete!$A:$J,10,0),"")</f>
        <v/>
      </c>
      <c r="P344" s="8" t="inlineStr">
        <is>
          <t>TN</t>
        </is>
      </c>
      <c r="Q344" s="10">
        <f>IFERROR(IFERROR(VLOOKUP(A344,TRAOPE!$A:$U,21,0),VLOOKUP(B344,TRAOPE!$A:$U,21,0)),"")</f>
        <v/>
      </c>
      <c r="R344" s="8">
        <f>IFERROR(IFERROR(VLOOKUP(A344,TRAOPE!$A:$W,23,0),VLOOKUP(B344,TRAOPE!$A:$W,23,0)),"")</f>
        <v/>
      </c>
      <c r="S344" s="10">
        <f>IF(AND(P344="TN",R344="TN"),N344+N(O344),IF(G344&amp;""="1",N(K344)*N344,(N344+N(O344))*N(K344)))</f>
        <v/>
      </c>
      <c r="T344" s="10">
        <f>IF(Q344="","",Q344-S344)</f>
        <v/>
      </c>
    </row>
    <row r="345">
      <c r="A345" s="7">
        <f>CONCATENATE(C345,E345,F345,I345)</f>
        <v/>
      </c>
      <c r="B345" s="7">
        <f>CONCATENATE(C345,E345,I345)</f>
        <v/>
      </c>
      <c r="C345" s="8" t="n">
        <v>900007757</v>
      </c>
      <c r="D345" s="7">
        <f>IFERROR(VLOOKUP(C345,TRAOPE!$G:$H,2,0),"")</f>
        <v/>
      </c>
      <c r="E345" s="8" t="inlineStr">
        <is>
          <t>DW75</t>
        </is>
      </c>
      <c r="F345" s="8" t="inlineStr">
        <is>
          <t>D343</t>
        </is>
      </c>
      <c r="G345" s="8">
        <f>IFERROR(VLOOKUP(A345,Flete!$A:$E,5,0),"")</f>
        <v/>
      </c>
      <c r="H345" s="7">
        <f>IFERROR(VLOOKUP(F345,TRAOPE!$AA:$AB,2,0),"")</f>
        <v/>
      </c>
      <c r="I345" s="7" t="n">
        <v>10221764</v>
      </c>
      <c r="J345" s="7">
        <f>IFERROR(VLOOKUP(I345,Materiales!$A:$H,8,0),"")</f>
        <v/>
      </c>
      <c r="K345" s="9">
        <f>IFERROR(VLOOKUP(I345,Materiales!$A:$G,7,0),"")</f>
        <v/>
      </c>
      <c r="L345" s="8" t="inlineStr">
        <is>
          <t>20260601</t>
        </is>
      </c>
      <c r="M345" s="8" t="inlineStr">
        <is>
          <t>99991231</t>
        </is>
      </c>
      <c r="N345" s="10" t="n">
        <v>303.23</v>
      </c>
      <c r="O345" s="10">
        <f>IFERROR(VLOOKUP(A345,Flete!$A:$J,10,0),"")</f>
        <v/>
      </c>
      <c r="P345" s="8" t="inlineStr">
        <is>
          <t>TN</t>
        </is>
      </c>
      <c r="Q345" s="10">
        <f>IFERROR(IFERROR(VLOOKUP(A345,TRAOPE!$A:$U,21,0),VLOOKUP(B345,TRAOPE!$A:$U,21,0)),"")</f>
        <v/>
      </c>
      <c r="R345" s="8">
        <f>IFERROR(IFERROR(VLOOKUP(A345,TRAOPE!$A:$W,23,0),VLOOKUP(B345,TRAOPE!$A:$W,23,0)),"")</f>
        <v/>
      </c>
      <c r="S345" s="10">
        <f>IF(AND(P345="TN",R345="TN"),N345+N(O345),IF(G345&amp;""="1",N(K345)*N345,(N345+N(O345))*N(K345)))</f>
        <v/>
      </c>
      <c r="T345" s="10">
        <f>IF(Q345="","",Q345-S345)</f>
        <v/>
      </c>
    </row>
    <row r="346">
      <c r="A346" s="7">
        <f>CONCATENATE(C346,E346,F346,I346)</f>
        <v/>
      </c>
      <c r="B346" s="7">
        <f>CONCATENATE(C346,E346,I346)</f>
        <v/>
      </c>
      <c r="C346" s="8" t="n">
        <v>900007757</v>
      </c>
      <c r="D346" s="7">
        <f>IFERROR(VLOOKUP(C346,TRAOPE!$G:$H,2,0),"")</f>
        <v/>
      </c>
      <c r="E346" s="8" t="inlineStr">
        <is>
          <t>DW75</t>
        </is>
      </c>
      <c r="F346" s="8" t="inlineStr">
        <is>
          <t>D349</t>
        </is>
      </c>
      <c r="G346" s="8">
        <f>IFERROR(VLOOKUP(A346,Flete!$A:$E,5,0),"")</f>
        <v/>
      </c>
      <c r="H346" s="7">
        <f>IFERROR(VLOOKUP(F346,TRAOPE!$AA:$AB,2,0),"")</f>
        <v/>
      </c>
      <c r="I346" s="7" t="n">
        <v>10221764</v>
      </c>
      <c r="J346" s="7">
        <f>IFERROR(VLOOKUP(I346,Materiales!$A:$H,8,0),"")</f>
        <v/>
      </c>
      <c r="K346" s="9">
        <f>IFERROR(VLOOKUP(I346,Materiales!$A:$G,7,0),"")</f>
        <v/>
      </c>
      <c r="L346" s="8" t="inlineStr">
        <is>
          <t>20260601</t>
        </is>
      </c>
      <c r="M346" s="8" t="inlineStr">
        <is>
          <t>99991231</t>
        </is>
      </c>
      <c r="N346" s="10" t="n">
        <v>303.23</v>
      </c>
      <c r="O346" s="10">
        <f>IFERROR(VLOOKUP(A346,Flete!$A:$J,10,0),"")</f>
        <v/>
      </c>
      <c r="P346" s="8" t="inlineStr">
        <is>
          <t>TN</t>
        </is>
      </c>
      <c r="Q346" s="10">
        <f>IFERROR(IFERROR(VLOOKUP(A346,TRAOPE!$A:$U,21,0),VLOOKUP(B346,TRAOPE!$A:$U,21,0)),"")</f>
        <v/>
      </c>
      <c r="R346" s="8">
        <f>IFERROR(IFERROR(VLOOKUP(A346,TRAOPE!$A:$W,23,0),VLOOKUP(B346,TRAOPE!$A:$W,23,0)),"")</f>
        <v/>
      </c>
      <c r="S346" s="10">
        <f>IF(AND(P346="TN",R346="TN"),N346+N(O346),IF(G346&amp;""="1",N(K346)*N346,(N346+N(O346))*N(K346)))</f>
        <v/>
      </c>
      <c r="T346" s="10">
        <f>IF(Q346="","",Q346-S346)</f>
        <v/>
      </c>
    </row>
    <row r="347">
      <c r="A347" s="7">
        <f>CONCATENATE(C347,E347,F347,I347)</f>
        <v/>
      </c>
      <c r="B347" s="7">
        <f>CONCATENATE(C347,E347,I347)</f>
        <v/>
      </c>
      <c r="C347" s="8" t="n">
        <v>900007757</v>
      </c>
      <c r="D347" s="7">
        <f>IFERROR(VLOOKUP(C347,TRAOPE!$G:$H,2,0),"")</f>
        <v/>
      </c>
      <c r="E347" s="8" t="inlineStr">
        <is>
          <t>DW75</t>
        </is>
      </c>
      <c r="F347" s="8" t="inlineStr">
        <is>
          <t>D358</t>
        </is>
      </c>
      <c r="G347" s="8">
        <f>IFERROR(VLOOKUP(A347,Flete!$A:$E,5,0),"")</f>
        <v/>
      </c>
      <c r="H347" s="7">
        <f>IFERROR(VLOOKUP(F347,TRAOPE!$AA:$AB,2,0),"")</f>
        <v/>
      </c>
      <c r="I347" s="7" t="n">
        <v>10221764</v>
      </c>
      <c r="J347" s="7">
        <f>IFERROR(VLOOKUP(I347,Materiales!$A:$H,8,0),"")</f>
        <v/>
      </c>
      <c r="K347" s="9">
        <f>IFERROR(VLOOKUP(I347,Materiales!$A:$G,7,0),"")</f>
        <v/>
      </c>
      <c r="L347" s="8" t="inlineStr">
        <is>
          <t>20250301</t>
        </is>
      </c>
      <c r="M347" s="8" t="inlineStr">
        <is>
          <t>20251031</t>
        </is>
      </c>
      <c r="N347" s="10" t="n">
        <v>318.25</v>
      </c>
      <c r="O347" s="10">
        <f>IFERROR(VLOOKUP(A347,Flete!$A:$J,10,0),"")</f>
        <v/>
      </c>
      <c r="P347" s="8" t="inlineStr">
        <is>
          <t>TN</t>
        </is>
      </c>
      <c r="Q347" s="10">
        <f>IFERROR(IFERROR(VLOOKUP(A347,TRAOPE!$A:$U,21,0),VLOOKUP(B347,TRAOPE!$A:$U,21,0)),"")</f>
        <v/>
      </c>
      <c r="R347" s="8">
        <f>IFERROR(IFERROR(VLOOKUP(A347,TRAOPE!$A:$W,23,0),VLOOKUP(B347,TRAOPE!$A:$W,23,0)),"")</f>
        <v/>
      </c>
      <c r="S347" s="10">
        <f>IF(AND(P347="TN",R347="TN"),N347+N(O347),IF(G347&amp;""="1",N(K347)*N347,(N347+N(O347))*N(K347)))</f>
        <v/>
      </c>
      <c r="T347" s="10">
        <f>IF(Q347="","",Q347-S347)</f>
        <v/>
      </c>
    </row>
    <row r="348">
      <c r="A348" s="7">
        <f>CONCATENATE(C348,E348,F348,I348)</f>
        <v/>
      </c>
      <c r="B348" s="7">
        <f>CONCATENATE(C348,E348,I348)</f>
        <v/>
      </c>
      <c r="C348" s="8" t="n">
        <v>900007757</v>
      </c>
      <c r="D348" s="7">
        <f>IFERROR(VLOOKUP(C348,TRAOPE!$G:$H,2,0),"")</f>
        <v/>
      </c>
      <c r="E348" s="8" t="inlineStr">
        <is>
          <t>DW75</t>
        </is>
      </c>
      <c r="F348" s="8" t="inlineStr">
        <is>
          <t>E674</t>
        </is>
      </c>
      <c r="G348" s="8">
        <f>IFERROR(VLOOKUP(A348,Flete!$A:$E,5,0),"")</f>
        <v/>
      </c>
      <c r="H348" s="7">
        <f>IFERROR(VLOOKUP(F348,TRAOPE!$AA:$AB,2,0),"")</f>
        <v/>
      </c>
      <c r="I348" s="7" t="n">
        <v>10221764</v>
      </c>
      <c r="J348" s="7">
        <f>IFERROR(VLOOKUP(I348,Materiales!$A:$H,8,0),"")</f>
        <v/>
      </c>
      <c r="K348" s="9">
        <f>IFERROR(VLOOKUP(I348,Materiales!$A:$G,7,0),"")</f>
        <v/>
      </c>
      <c r="L348" s="8" t="inlineStr">
        <is>
          <t>20220516</t>
        </is>
      </c>
      <c r="M348" s="8" t="inlineStr">
        <is>
          <t>20241216</t>
        </is>
      </c>
      <c r="N348" s="10" t="n">
        <v>325.32</v>
      </c>
      <c r="O348" s="10">
        <f>IFERROR(VLOOKUP(A348,Flete!$A:$J,10,0),"")</f>
        <v/>
      </c>
      <c r="P348" s="8" t="inlineStr">
        <is>
          <t>TN</t>
        </is>
      </c>
      <c r="Q348" s="10">
        <f>IFERROR(IFERROR(VLOOKUP(A348,TRAOPE!$A:$U,21,0),VLOOKUP(B348,TRAOPE!$A:$U,21,0)),"")</f>
        <v/>
      </c>
      <c r="R348" s="8">
        <f>IFERROR(IFERROR(VLOOKUP(A348,TRAOPE!$A:$W,23,0),VLOOKUP(B348,TRAOPE!$A:$W,23,0)),"")</f>
        <v/>
      </c>
      <c r="S348" s="10">
        <f>IF(AND(P348="TN",R348="TN"),N348+N(O348),IF(G348&amp;""="1",N(K348)*N348,(N348+N(O348))*N(K348)))</f>
        <v/>
      </c>
      <c r="T348" s="10">
        <f>IF(Q348="","",Q348-S348)</f>
        <v/>
      </c>
    </row>
    <row r="349">
      <c r="A349" s="7">
        <f>CONCATENATE(C349,E349,F349,I349)</f>
        <v/>
      </c>
      <c r="B349" s="7">
        <f>CONCATENATE(C349,E349,I349)</f>
        <v/>
      </c>
      <c r="C349" s="8" t="n">
        <v>900007778</v>
      </c>
      <c r="D349" s="7">
        <f>IFERROR(VLOOKUP(C349,TRAOPE!$G:$H,2,0),"")</f>
        <v/>
      </c>
      <c r="E349" s="8" t="inlineStr">
        <is>
          <t>DW75</t>
        </is>
      </c>
      <c r="F349" s="8" t="inlineStr">
        <is>
          <t>D278</t>
        </is>
      </c>
      <c r="G349" s="8">
        <f>IFERROR(VLOOKUP(A349,Flete!$A:$E,5,0),"")</f>
        <v/>
      </c>
      <c r="H349" s="7">
        <f>IFERROR(VLOOKUP(F349,TRAOPE!$AA:$AB,2,0),"")</f>
        <v/>
      </c>
      <c r="I349" s="7" t="n">
        <v>10224750</v>
      </c>
      <c r="J349" s="7">
        <f>IFERROR(VLOOKUP(I349,Materiales!$A:$H,8,0),"")</f>
        <v/>
      </c>
      <c r="K349" s="9">
        <f>IFERROR(VLOOKUP(I349,Materiales!$A:$G,7,0),"")</f>
        <v/>
      </c>
      <c r="L349" s="8" t="inlineStr">
        <is>
          <t>20220516</t>
        </is>
      </c>
      <c r="M349" s="8" t="inlineStr">
        <is>
          <t>20241216</t>
        </is>
      </c>
      <c r="N349" s="10" t="n">
        <v>283.66</v>
      </c>
      <c r="O349" s="10">
        <f>IFERROR(VLOOKUP(A349,Flete!$A:$J,10,0),"")</f>
        <v/>
      </c>
      <c r="P349" s="8" t="inlineStr">
        <is>
          <t>TN</t>
        </is>
      </c>
      <c r="Q349" s="10">
        <f>IFERROR(IFERROR(VLOOKUP(A349,TRAOPE!$A:$U,21,0),VLOOKUP(B349,TRAOPE!$A:$U,21,0)),"")</f>
        <v/>
      </c>
      <c r="R349" s="8">
        <f>IFERROR(IFERROR(VLOOKUP(A349,TRAOPE!$A:$W,23,0),VLOOKUP(B349,TRAOPE!$A:$W,23,0)),"")</f>
        <v/>
      </c>
      <c r="S349" s="10">
        <f>IF(AND(P349="TN",R349="TN"),N349+N(O349),IF(G349&amp;""="1",N(K349)*N349,(N349+N(O349))*N(K349)))</f>
        <v/>
      </c>
      <c r="T349" s="10">
        <f>IF(Q349="","",Q349-S349)</f>
        <v/>
      </c>
    </row>
    <row r="350">
      <c r="A350" s="7">
        <f>CONCATENATE(C350,E350,F350,I350)</f>
        <v/>
      </c>
      <c r="B350" s="7">
        <f>CONCATENATE(C350,E350,I350)</f>
        <v/>
      </c>
      <c r="C350" s="8" t="n">
        <v>900007778</v>
      </c>
      <c r="D350" s="7">
        <f>IFERROR(VLOOKUP(C350,TRAOPE!$G:$H,2,0),"")</f>
        <v/>
      </c>
      <c r="E350" s="8" t="inlineStr">
        <is>
          <t>DW75</t>
        </is>
      </c>
      <c r="F350" s="8" t="inlineStr">
        <is>
          <t>D327</t>
        </is>
      </c>
      <c r="G350" s="8">
        <f>IFERROR(VLOOKUP(A350,Flete!$A:$E,5,0),"")</f>
        <v/>
      </c>
      <c r="H350" s="7">
        <f>IFERROR(VLOOKUP(F350,TRAOPE!$AA:$AB,2,0),"")</f>
        <v/>
      </c>
      <c r="I350" s="7" t="n">
        <v>10224750</v>
      </c>
      <c r="J350" s="7">
        <f>IFERROR(VLOOKUP(I350,Materiales!$A:$H,8,0),"")</f>
        <v/>
      </c>
      <c r="K350" s="9">
        <f>IFERROR(VLOOKUP(I350,Materiales!$A:$G,7,0),"")</f>
        <v/>
      </c>
      <c r="L350" s="8" t="inlineStr">
        <is>
          <t>20220516</t>
        </is>
      </c>
      <c r="M350" s="8" t="inlineStr">
        <is>
          <t>20241216</t>
        </is>
      </c>
      <c r="N350" s="10" t="n">
        <v>283.66</v>
      </c>
      <c r="O350" s="10">
        <f>IFERROR(VLOOKUP(A350,Flete!$A:$J,10,0),"")</f>
        <v/>
      </c>
      <c r="P350" s="8" t="inlineStr">
        <is>
          <t>TN</t>
        </is>
      </c>
      <c r="Q350" s="10">
        <f>IFERROR(IFERROR(VLOOKUP(A350,TRAOPE!$A:$U,21,0),VLOOKUP(B350,TRAOPE!$A:$U,21,0)),"")</f>
        <v/>
      </c>
      <c r="R350" s="8">
        <f>IFERROR(IFERROR(VLOOKUP(A350,TRAOPE!$A:$W,23,0),VLOOKUP(B350,TRAOPE!$A:$W,23,0)),"")</f>
        <v/>
      </c>
      <c r="S350" s="10">
        <f>IF(AND(P350="TN",R350="TN"),N350+N(O350),IF(G350&amp;""="1",N(K350)*N350,(N350+N(O350))*N(K350)))</f>
        <v/>
      </c>
      <c r="T350" s="10">
        <f>IF(Q350="","",Q350-S350)</f>
        <v/>
      </c>
    </row>
    <row r="351">
      <c r="A351" s="7">
        <f>CONCATENATE(C351,E351,F351,I351)</f>
        <v/>
      </c>
      <c r="B351" s="7">
        <f>CONCATENATE(C351,E351,I351)</f>
        <v/>
      </c>
      <c r="C351" s="8" t="n">
        <v>900007778</v>
      </c>
      <c r="D351" s="7">
        <f>IFERROR(VLOOKUP(C351,TRAOPE!$G:$H,2,0),"")</f>
        <v/>
      </c>
      <c r="E351" s="8" t="inlineStr">
        <is>
          <t>DW75</t>
        </is>
      </c>
      <c r="F351" s="8" t="inlineStr">
        <is>
          <t>D343</t>
        </is>
      </c>
      <c r="G351" s="8">
        <f>IFERROR(VLOOKUP(A351,Flete!$A:$E,5,0),"")</f>
        <v/>
      </c>
      <c r="H351" s="7">
        <f>IFERROR(VLOOKUP(F351,TRAOPE!$AA:$AB,2,0),"")</f>
        <v/>
      </c>
      <c r="I351" s="7" t="n">
        <v>10224750</v>
      </c>
      <c r="J351" s="7">
        <f>IFERROR(VLOOKUP(I351,Materiales!$A:$H,8,0),"")</f>
        <v/>
      </c>
      <c r="K351" s="9">
        <f>IFERROR(VLOOKUP(I351,Materiales!$A:$G,7,0),"")</f>
        <v/>
      </c>
      <c r="L351" s="8" t="inlineStr">
        <is>
          <t>20220516</t>
        </is>
      </c>
      <c r="M351" s="8" t="inlineStr">
        <is>
          <t>20241216</t>
        </is>
      </c>
      <c r="N351" s="10" t="n">
        <v>283.66</v>
      </c>
      <c r="O351" s="10">
        <f>IFERROR(VLOOKUP(A351,Flete!$A:$J,10,0),"")</f>
        <v/>
      </c>
      <c r="P351" s="8" t="inlineStr">
        <is>
          <t>TN</t>
        </is>
      </c>
      <c r="Q351" s="10">
        <f>IFERROR(IFERROR(VLOOKUP(A351,TRAOPE!$A:$U,21,0),VLOOKUP(B351,TRAOPE!$A:$U,21,0)),"")</f>
        <v/>
      </c>
      <c r="R351" s="8">
        <f>IFERROR(IFERROR(VLOOKUP(A351,TRAOPE!$A:$W,23,0),VLOOKUP(B351,TRAOPE!$A:$W,23,0)),"")</f>
        <v/>
      </c>
      <c r="S351" s="10">
        <f>IF(AND(P351="TN",R351="TN"),N351+N(O351),IF(G351&amp;""="1",N(K351)*N351,(N351+N(O351))*N(K351)))</f>
        <v/>
      </c>
      <c r="T351" s="10">
        <f>IF(Q351="","",Q351-S351)</f>
        <v/>
      </c>
    </row>
    <row r="352">
      <c r="A352" s="7">
        <f>CONCATENATE(C352,E352,F352,I352)</f>
        <v/>
      </c>
      <c r="B352" s="7">
        <f>CONCATENATE(C352,E352,I352)</f>
        <v/>
      </c>
      <c r="C352" s="8" t="n">
        <v>900007778</v>
      </c>
      <c r="D352" s="7">
        <f>IFERROR(VLOOKUP(C352,TRAOPE!$G:$H,2,0),"")</f>
        <v/>
      </c>
      <c r="E352" s="8" t="inlineStr">
        <is>
          <t>DW75</t>
        </is>
      </c>
      <c r="F352" s="8" t="inlineStr">
        <is>
          <t>E674</t>
        </is>
      </c>
      <c r="G352" s="8">
        <f>IFERROR(VLOOKUP(A352,Flete!$A:$E,5,0),"")</f>
        <v/>
      </c>
      <c r="H352" s="7">
        <f>IFERROR(VLOOKUP(F352,TRAOPE!$AA:$AB,2,0),"")</f>
        <v/>
      </c>
      <c r="I352" s="7" t="n">
        <v>10224750</v>
      </c>
      <c r="J352" s="7">
        <f>IFERROR(VLOOKUP(I352,Materiales!$A:$H,8,0),"")</f>
        <v/>
      </c>
      <c r="K352" s="9">
        <f>IFERROR(VLOOKUP(I352,Materiales!$A:$G,7,0),"")</f>
        <v/>
      </c>
      <c r="L352" s="8" t="inlineStr">
        <is>
          <t>20220516</t>
        </is>
      </c>
      <c r="M352" s="8" t="inlineStr">
        <is>
          <t>20241216</t>
        </is>
      </c>
      <c r="N352" s="10" t="n">
        <v>283.66</v>
      </c>
      <c r="O352" s="10">
        <f>IFERROR(VLOOKUP(A352,Flete!$A:$J,10,0),"")</f>
        <v/>
      </c>
      <c r="P352" s="8" t="inlineStr">
        <is>
          <t>TN</t>
        </is>
      </c>
      <c r="Q352" s="10">
        <f>IFERROR(IFERROR(VLOOKUP(A352,TRAOPE!$A:$U,21,0),VLOOKUP(B352,TRAOPE!$A:$U,21,0)),"")</f>
        <v/>
      </c>
      <c r="R352" s="8">
        <f>IFERROR(IFERROR(VLOOKUP(A352,TRAOPE!$A:$W,23,0),VLOOKUP(B352,TRAOPE!$A:$W,23,0)),"")</f>
        <v/>
      </c>
      <c r="S352" s="10">
        <f>IF(AND(P352="TN",R352="TN"),N352+N(O352),IF(G352&amp;""="1",N(K352)*N352,(N352+N(O352))*N(K352)))</f>
        <v/>
      </c>
      <c r="T352" s="10">
        <f>IF(Q352="","",Q352-S352)</f>
        <v/>
      </c>
    </row>
    <row r="353">
      <c r="A353" s="7">
        <f>CONCATENATE(C353,E353,F353,I353)</f>
        <v/>
      </c>
      <c r="B353" s="7">
        <f>CONCATENATE(C353,E353,I353)</f>
        <v/>
      </c>
      <c r="C353" s="8" t="n">
        <v>900007862</v>
      </c>
      <c r="D353" s="7">
        <f>IFERROR(VLOOKUP(C353,TRAOPE!$G:$H,2,0),"")</f>
        <v/>
      </c>
      <c r="E353" s="8" t="inlineStr">
        <is>
          <t>DW75</t>
        </is>
      </c>
      <c r="F353" s="8" t="inlineStr">
        <is>
          <t>E674</t>
        </is>
      </c>
      <c r="G353" s="8">
        <f>IFERROR(VLOOKUP(A353,Flete!$A:$E,5,0),"")</f>
        <v/>
      </c>
      <c r="H353" s="7">
        <f>IFERROR(VLOOKUP(F353,TRAOPE!$AA:$AB,2,0),"")</f>
        <v/>
      </c>
      <c r="I353" s="7" t="n">
        <v>10222898</v>
      </c>
      <c r="J353" s="7">
        <f>IFERROR(VLOOKUP(I353,Materiales!$A:$H,8,0),"")</f>
        <v/>
      </c>
      <c r="K353" s="9">
        <f>IFERROR(VLOOKUP(I353,Materiales!$A:$G,7,0),"")</f>
        <v/>
      </c>
      <c r="L353" s="8" t="inlineStr">
        <is>
          <t>20220516</t>
        </is>
      </c>
      <c r="M353" s="8" t="inlineStr">
        <is>
          <t>20241216</t>
        </is>
      </c>
      <c r="N353" s="10" t="n">
        <v>208.22</v>
      </c>
      <c r="O353" s="10">
        <f>IFERROR(VLOOKUP(A353,Flete!$A:$J,10,0),"")</f>
        <v/>
      </c>
      <c r="P353" s="8" t="inlineStr">
        <is>
          <t>TN</t>
        </is>
      </c>
      <c r="Q353" s="10">
        <f>IFERROR(IFERROR(VLOOKUP(A353,TRAOPE!$A:$U,21,0),VLOOKUP(B353,TRAOPE!$A:$U,21,0)),"")</f>
        <v/>
      </c>
      <c r="R353" s="8">
        <f>IFERROR(IFERROR(VLOOKUP(A353,TRAOPE!$A:$W,23,0),VLOOKUP(B353,TRAOPE!$A:$W,23,0)),"")</f>
        <v/>
      </c>
      <c r="S353" s="10">
        <f>IF(AND(P353="TN",R353="TN"),N353+N(O353),IF(G353&amp;""="1",N(K353)*N353,(N353+N(O353))*N(K353)))</f>
        <v/>
      </c>
      <c r="T353" s="10">
        <f>IF(Q353="","",Q353-S353)</f>
        <v/>
      </c>
    </row>
    <row r="354">
      <c r="A354" s="7">
        <f>CONCATENATE(C354,E354,F354,I354)</f>
        <v/>
      </c>
      <c r="B354" s="7">
        <f>CONCATENATE(C354,E354,I354)</f>
        <v/>
      </c>
      <c r="C354" s="8" t="n">
        <v>900007862</v>
      </c>
      <c r="D354" s="7">
        <f>IFERROR(VLOOKUP(C354,TRAOPE!$G:$H,2,0),"")</f>
        <v/>
      </c>
      <c r="E354" s="8" t="inlineStr">
        <is>
          <t>DW75</t>
        </is>
      </c>
      <c r="F354" s="8" t="inlineStr">
        <is>
          <t>E674</t>
        </is>
      </c>
      <c r="G354" s="8">
        <f>IFERROR(VLOOKUP(A354,Flete!$A:$E,5,0),"")</f>
        <v/>
      </c>
      <c r="H354" s="7">
        <f>IFERROR(VLOOKUP(F354,TRAOPE!$AA:$AB,2,0),"")</f>
        <v/>
      </c>
      <c r="I354" s="7" t="n">
        <v>10222899</v>
      </c>
      <c r="J354" s="7">
        <f>IFERROR(VLOOKUP(I354,Materiales!$A:$H,8,0),"")</f>
        <v/>
      </c>
      <c r="K354" s="9">
        <f>IFERROR(VLOOKUP(I354,Materiales!$A:$G,7,0),"")</f>
        <v/>
      </c>
      <c r="L354" s="8" t="inlineStr">
        <is>
          <t>20220516</t>
        </is>
      </c>
      <c r="M354" s="8" t="inlineStr">
        <is>
          <t>20241216</t>
        </is>
      </c>
      <c r="N354" s="10" t="n">
        <v>211.47</v>
      </c>
      <c r="O354" s="10">
        <f>IFERROR(VLOOKUP(A354,Flete!$A:$J,10,0),"")</f>
        <v/>
      </c>
      <c r="P354" s="8" t="inlineStr">
        <is>
          <t>TN</t>
        </is>
      </c>
      <c r="Q354" s="10">
        <f>IFERROR(IFERROR(VLOOKUP(A354,TRAOPE!$A:$U,21,0),VLOOKUP(B354,TRAOPE!$A:$U,21,0)),"")</f>
        <v/>
      </c>
      <c r="R354" s="8">
        <f>IFERROR(IFERROR(VLOOKUP(A354,TRAOPE!$A:$W,23,0),VLOOKUP(B354,TRAOPE!$A:$W,23,0)),"")</f>
        <v/>
      </c>
      <c r="S354" s="10">
        <f>IF(AND(P354="TN",R354="TN"),N354+N(O354),IF(G354&amp;""="1",N(K354)*N354,(N354+N(O354))*N(K354)))</f>
        <v/>
      </c>
      <c r="T354" s="10">
        <f>IF(Q354="","",Q354-S354)</f>
        <v/>
      </c>
    </row>
    <row r="355">
      <c r="A355" s="7">
        <f>CONCATENATE(C355,E355,F355,I355)</f>
        <v/>
      </c>
      <c r="B355" s="7">
        <f>CONCATENATE(C355,E355,I355)</f>
        <v/>
      </c>
      <c r="C355" s="8" t="n">
        <v>900007862</v>
      </c>
      <c r="D355" s="7">
        <f>IFERROR(VLOOKUP(C355,TRAOPE!$G:$H,2,0),"")</f>
        <v/>
      </c>
      <c r="E355" s="8" t="inlineStr">
        <is>
          <t>DW75</t>
        </is>
      </c>
      <c r="F355" s="8" t="inlineStr">
        <is>
          <t>EQ86</t>
        </is>
      </c>
      <c r="G355" s="8">
        <f>IFERROR(VLOOKUP(A355,Flete!$A:$E,5,0),"")</f>
        <v/>
      </c>
      <c r="H355" s="7">
        <f>IFERROR(VLOOKUP(F355,TRAOPE!$AA:$AB,2,0),"")</f>
        <v/>
      </c>
      <c r="I355" s="7" t="n">
        <v>10222898</v>
      </c>
      <c r="J355" s="7">
        <f>IFERROR(VLOOKUP(I355,Materiales!$A:$H,8,0),"")</f>
        <v/>
      </c>
      <c r="K355" s="9">
        <f>IFERROR(VLOOKUP(I355,Materiales!$A:$G,7,0),"")</f>
        <v/>
      </c>
      <c r="L355" s="8" t="inlineStr">
        <is>
          <t>20250321</t>
        </is>
      </c>
      <c r="M355" s="8" t="inlineStr">
        <is>
          <t>99991231</t>
        </is>
      </c>
      <c r="N355" s="10" t="n">
        <v>289.94</v>
      </c>
      <c r="O355" s="10">
        <f>IFERROR(VLOOKUP(A355,Flete!$A:$J,10,0),"")</f>
        <v/>
      </c>
      <c r="P355" s="8" t="inlineStr">
        <is>
          <t>TN</t>
        </is>
      </c>
      <c r="Q355" s="10">
        <f>IFERROR(IFERROR(VLOOKUP(A355,TRAOPE!$A:$U,21,0),VLOOKUP(B355,TRAOPE!$A:$U,21,0)),"")</f>
        <v/>
      </c>
      <c r="R355" s="8">
        <f>IFERROR(IFERROR(VLOOKUP(A355,TRAOPE!$A:$W,23,0),VLOOKUP(B355,TRAOPE!$A:$W,23,0)),"")</f>
        <v/>
      </c>
      <c r="S355" s="10">
        <f>IF(AND(P355="TN",R355="TN"),N355+N(O355),IF(G355&amp;""="1",N(K355)*N355,(N355+N(O355))*N(K355)))</f>
        <v/>
      </c>
      <c r="T355" s="10">
        <f>IF(Q355="","",Q355-S355)</f>
        <v/>
      </c>
    </row>
    <row r="356">
      <c r="A356" s="7">
        <f>CONCATENATE(C356,E356,F356,I356)</f>
        <v/>
      </c>
      <c r="B356" s="7">
        <f>CONCATENATE(C356,E356,I356)</f>
        <v/>
      </c>
      <c r="C356" s="8" t="n">
        <v>900007862</v>
      </c>
      <c r="D356" s="7">
        <f>IFERROR(VLOOKUP(C356,TRAOPE!$G:$H,2,0),"")</f>
        <v/>
      </c>
      <c r="E356" s="8" t="inlineStr">
        <is>
          <t>DW75</t>
        </is>
      </c>
      <c r="F356" s="8" t="inlineStr">
        <is>
          <t>EQ86</t>
        </is>
      </c>
      <c r="G356" s="8">
        <f>IFERROR(VLOOKUP(A356,Flete!$A:$E,5,0),"")</f>
        <v/>
      </c>
      <c r="H356" s="7">
        <f>IFERROR(VLOOKUP(F356,TRAOPE!$AA:$AB,2,0),"")</f>
        <v/>
      </c>
      <c r="I356" s="7" t="n">
        <v>10222899</v>
      </c>
      <c r="J356" s="7">
        <f>IFERROR(VLOOKUP(I356,Materiales!$A:$H,8,0),"")</f>
        <v/>
      </c>
      <c r="K356" s="9">
        <f>IFERROR(VLOOKUP(I356,Materiales!$A:$G,7,0),"")</f>
        <v/>
      </c>
      <c r="L356" s="8" t="inlineStr">
        <is>
          <t>20250321</t>
        </is>
      </c>
      <c r="M356" s="8" t="inlineStr">
        <is>
          <t>99991231</t>
        </is>
      </c>
      <c r="N356" s="10" t="n">
        <v>290.3</v>
      </c>
      <c r="O356" s="10">
        <f>IFERROR(VLOOKUP(A356,Flete!$A:$J,10,0),"")</f>
        <v/>
      </c>
      <c r="P356" s="8" t="inlineStr">
        <is>
          <t>TN</t>
        </is>
      </c>
      <c r="Q356" s="10">
        <f>IFERROR(IFERROR(VLOOKUP(A356,TRAOPE!$A:$U,21,0),VLOOKUP(B356,TRAOPE!$A:$U,21,0)),"")</f>
        <v/>
      </c>
      <c r="R356" s="8">
        <f>IFERROR(IFERROR(VLOOKUP(A356,TRAOPE!$A:$W,23,0),VLOOKUP(B356,TRAOPE!$A:$W,23,0)),"")</f>
        <v/>
      </c>
      <c r="S356" s="10">
        <f>IF(AND(P356="TN",R356="TN"),N356+N(O356),IF(G356&amp;""="1",N(K356)*N356,(N356+N(O356))*N(K356)))</f>
        <v/>
      </c>
      <c r="T356" s="10">
        <f>IF(Q356="","",Q356-S356)</f>
        <v/>
      </c>
    </row>
    <row r="357">
      <c r="A357" s="7">
        <f>CONCATENATE(C357,E357,F357,I357)</f>
        <v/>
      </c>
      <c r="B357" s="7">
        <f>CONCATENATE(C357,E357,I357)</f>
        <v/>
      </c>
      <c r="C357" s="8" t="n">
        <v>900007968</v>
      </c>
      <c r="D357" s="7">
        <f>IFERROR(VLOOKUP(C357,TRAOPE!$G:$H,2,0),"")</f>
        <v/>
      </c>
      <c r="E357" s="8" t="inlineStr">
        <is>
          <t>DW75</t>
        </is>
      </c>
      <c r="F357" s="8" t="inlineStr">
        <is>
          <t>D063</t>
        </is>
      </c>
      <c r="G357" s="8">
        <f>IFERROR(VLOOKUP(A357,Flete!$A:$E,5,0),"")</f>
        <v/>
      </c>
      <c r="H357" s="7">
        <f>IFERROR(VLOOKUP(F357,TRAOPE!$AA:$AB,2,0),"")</f>
        <v/>
      </c>
      <c r="I357" s="7" t="n">
        <v>10229016</v>
      </c>
      <c r="J357" s="7">
        <f>IFERROR(VLOOKUP(I357,Materiales!$A:$H,8,0),"")</f>
        <v/>
      </c>
      <c r="K357" s="9">
        <f>IFERROR(VLOOKUP(I357,Materiales!$A:$G,7,0),"")</f>
        <v/>
      </c>
      <c r="L357" s="8" t="inlineStr">
        <is>
          <t>20250301</t>
        </is>
      </c>
      <c r="M357" s="8" t="inlineStr">
        <is>
          <t>20251031</t>
        </is>
      </c>
      <c r="N357" s="10" t="n">
        <v>176.93</v>
      </c>
      <c r="O357" s="10">
        <f>IFERROR(VLOOKUP(A357,Flete!$A:$J,10,0),"")</f>
        <v/>
      </c>
      <c r="P357" s="8" t="inlineStr">
        <is>
          <t>TN</t>
        </is>
      </c>
      <c r="Q357" s="10">
        <f>IFERROR(IFERROR(VLOOKUP(A357,TRAOPE!$A:$U,21,0),VLOOKUP(B357,TRAOPE!$A:$U,21,0)),"")</f>
        <v/>
      </c>
      <c r="R357" s="8">
        <f>IFERROR(IFERROR(VLOOKUP(A357,TRAOPE!$A:$W,23,0),VLOOKUP(B357,TRAOPE!$A:$W,23,0)),"")</f>
        <v/>
      </c>
      <c r="S357" s="10">
        <f>IF(AND(P357="TN",R357="TN"),N357+N(O357),IF(G357&amp;""="1",N(K357)*N357,(N357+N(O357))*N(K357)))</f>
        <v/>
      </c>
      <c r="T357" s="10">
        <f>IF(Q357="","",Q357-S357)</f>
        <v/>
      </c>
    </row>
    <row r="358">
      <c r="A358" s="7">
        <f>CONCATENATE(C358,E358,F358,I358)</f>
        <v/>
      </c>
      <c r="B358" s="7">
        <f>CONCATENATE(C358,E358,I358)</f>
        <v/>
      </c>
      <c r="C358" s="8" t="n">
        <v>900007968</v>
      </c>
      <c r="D358" s="7">
        <f>IFERROR(VLOOKUP(C358,TRAOPE!$G:$H,2,0),"")</f>
        <v/>
      </c>
      <c r="E358" s="8" t="inlineStr">
        <is>
          <t>DW75</t>
        </is>
      </c>
      <c r="F358" s="8" t="inlineStr">
        <is>
          <t>D112</t>
        </is>
      </c>
      <c r="G358" s="8">
        <f>IFERROR(VLOOKUP(A358,Flete!$A:$E,5,0),"")</f>
        <v/>
      </c>
      <c r="H358" s="7">
        <f>IFERROR(VLOOKUP(F358,TRAOPE!$AA:$AB,2,0),"")</f>
        <v/>
      </c>
      <c r="I358" s="7" t="n">
        <v>10229016</v>
      </c>
      <c r="J358" s="7">
        <f>IFERROR(VLOOKUP(I358,Materiales!$A:$H,8,0),"")</f>
        <v/>
      </c>
      <c r="K358" s="9">
        <f>IFERROR(VLOOKUP(I358,Materiales!$A:$G,7,0),"")</f>
        <v/>
      </c>
      <c r="L358" s="8" t="inlineStr">
        <is>
          <t>20250301</t>
        </is>
      </c>
      <c r="M358" s="8" t="inlineStr">
        <is>
          <t>20251031</t>
        </is>
      </c>
      <c r="N358" s="10" t="n">
        <v>176.93</v>
      </c>
      <c r="O358" s="10">
        <f>IFERROR(VLOOKUP(A358,Flete!$A:$J,10,0),"")</f>
        <v/>
      </c>
      <c r="P358" s="8" t="inlineStr">
        <is>
          <t>TN</t>
        </is>
      </c>
      <c r="Q358" s="10">
        <f>IFERROR(IFERROR(VLOOKUP(A358,TRAOPE!$A:$U,21,0),VLOOKUP(B358,TRAOPE!$A:$U,21,0)),"")</f>
        <v/>
      </c>
      <c r="R358" s="8">
        <f>IFERROR(IFERROR(VLOOKUP(A358,TRAOPE!$A:$W,23,0),VLOOKUP(B358,TRAOPE!$A:$W,23,0)),"")</f>
        <v/>
      </c>
      <c r="S358" s="10">
        <f>IF(AND(P358="TN",R358="TN"),N358+N(O358),IF(G358&amp;""="1",N(K358)*N358,(N358+N(O358))*N(K358)))</f>
        <v/>
      </c>
      <c r="T358" s="10">
        <f>IF(Q358="","",Q358-S358)</f>
        <v/>
      </c>
    </row>
    <row r="359">
      <c r="A359" s="7">
        <f>CONCATENATE(C359,E359,F359,I359)</f>
        <v/>
      </c>
      <c r="B359" s="7">
        <f>CONCATENATE(C359,E359,I359)</f>
        <v/>
      </c>
      <c r="C359" s="8" t="n">
        <v>900007968</v>
      </c>
      <c r="D359" s="7">
        <f>IFERROR(VLOOKUP(C359,TRAOPE!$G:$H,2,0),"")</f>
        <v/>
      </c>
      <c r="E359" s="8" t="inlineStr">
        <is>
          <t>DW75</t>
        </is>
      </c>
      <c r="F359" s="8" t="inlineStr">
        <is>
          <t>D278</t>
        </is>
      </c>
      <c r="G359" s="8">
        <f>IFERROR(VLOOKUP(A359,Flete!$A:$E,5,0),"")</f>
        <v/>
      </c>
      <c r="H359" s="7">
        <f>IFERROR(VLOOKUP(F359,TRAOPE!$AA:$AB,2,0),"")</f>
        <v/>
      </c>
      <c r="I359" s="7" t="n">
        <v>10229016</v>
      </c>
      <c r="J359" s="7">
        <f>IFERROR(VLOOKUP(I359,Materiales!$A:$H,8,0),"")</f>
        <v/>
      </c>
      <c r="K359" s="9">
        <f>IFERROR(VLOOKUP(I359,Materiales!$A:$G,7,0),"")</f>
        <v/>
      </c>
      <c r="L359" s="8" t="inlineStr">
        <is>
          <t>20250301</t>
        </is>
      </c>
      <c r="M359" s="8" t="inlineStr">
        <is>
          <t>20251031</t>
        </is>
      </c>
      <c r="N359" s="10" t="n">
        <v>176.93</v>
      </c>
      <c r="O359" s="10">
        <f>IFERROR(VLOOKUP(A359,Flete!$A:$J,10,0),"")</f>
        <v/>
      </c>
      <c r="P359" s="8" t="inlineStr">
        <is>
          <t>TN</t>
        </is>
      </c>
      <c r="Q359" s="10">
        <f>IFERROR(IFERROR(VLOOKUP(A359,TRAOPE!$A:$U,21,0),VLOOKUP(B359,TRAOPE!$A:$U,21,0)),"")</f>
        <v/>
      </c>
      <c r="R359" s="8">
        <f>IFERROR(IFERROR(VLOOKUP(A359,TRAOPE!$A:$W,23,0),VLOOKUP(B359,TRAOPE!$A:$W,23,0)),"")</f>
        <v/>
      </c>
      <c r="S359" s="10">
        <f>IF(AND(P359="TN",R359="TN"),N359+N(O359),IF(G359&amp;""="1",N(K359)*N359,(N359+N(O359))*N(K359)))</f>
        <v/>
      </c>
      <c r="T359" s="10">
        <f>IF(Q359="","",Q359-S359)</f>
        <v/>
      </c>
    </row>
    <row r="360">
      <c r="A360" s="7">
        <f>CONCATENATE(C360,E360,F360,I360)</f>
        <v/>
      </c>
      <c r="B360" s="7">
        <f>CONCATENATE(C360,E360,I360)</f>
        <v/>
      </c>
      <c r="C360" s="8" t="n">
        <v>900007968</v>
      </c>
      <c r="D360" s="7">
        <f>IFERROR(VLOOKUP(C360,TRAOPE!$G:$H,2,0),"")</f>
        <v/>
      </c>
      <c r="E360" s="8" t="inlineStr">
        <is>
          <t>DW75</t>
        </is>
      </c>
      <c r="F360" s="8" t="inlineStr">
        <is>
          <t>D343</t>
        </is>
      </c>
      <c r="G360" s="8">
        <f>IFERROR(VLOOKUP(A360,Flete!$A:$E,5,0),"")</f>
        <v/>
      </c>
      <c r="H360" s="7">
        <f>IFERROR(VLOOKUP(F360,TRAOPE!$AA:$AB,2,0),"")</f>
        <v/>
      </c>
      <c r="I360" s="7" t="n">
        <v>10229016</v>
      </c>
      <c r="J360" s="7">
        <f>IFERROR(VLOOKUP(I360,Materiales!$A:$H,8,0),"")</f>
        <v/>
      </c>
      <c r="K360" s="9">
        <f>IFERROR(VLOOKUP(I360,Materiales!$A:$G,7,0),"")</f>
        <v/>
      </c>
      <c r="L360" s="8" t="inlineStr">
        <is>
          <t>20250301</t>
        </is>
      </c>
      <c r="M360" s="8" t="inlineStr">
        <is>
          <t>20251031</t>
        </is>
      </c>
      <c r="N360" s="10" t="n">
        <v>176.93</v>
      </c>
      <c r="O360" s="10">
        <f>IFERROR(VLOOKUP(A360,Flete!$A:$J,10,0),"")</f>
        <v/>
      </c>
      <c r="P360" s="8" t="inlineStr">
        <is>
          <t>TN</t>
        </is>
      </c>
      <c r="Q360" s="10">
        <f>IFERROR(IFERROR(VLOOKUP(A360,TRAOPE!$A:$U,21,0),VLOOKUP(B360,TRAOPE!$A:$U,21,0)),"")</f>
        <v/>
      </c>
      <c r="R360" s="8">
        <f>IFERROR(IFERROR(VLOOKUP(A360,TRAOPE!$A:$W,23,0),VLOOKUP(B360,TRAOPE!$A:$W,23,0)),"")</f>
        <v/>
      </c>
      <c r="S360" s="10">
        <f>IF(AND(P360="TN",R360="TN"),N360+N(O360),IF(G360&amp;""="1",N(K360)*N360,(N360+N(O360))*N(K360)))</f>
        <v/>
      </c>
      <c r="T360" s="10">
        <f>IF(Q360="","",Q360-S360)</f>
        <v/>
      </c>
    </row>
    <row r="361">
      <c r="A361" s="7">
        <f>CONCATENATE(C361,E361,F361,I361)</f>
        <v/>
      </c>
      <c r="B361" s="7">
        <f>CONCATENATE(C361,E361,I361)</f>
        <v/>
      </c>
      <c r="C361" s="8" t="n">
        <v>900007968</v>
      </c>
      <c r="D361" s="7">
        <f>IFERROR(VLOOKUP(C361,TRAOPE!$G:$H,2,0),"")</f>
        <v/>
      </c>
      <c r="E361" s="8" t="inlineStr">
        <is>
          <t>DW75</t>
        </is>
      </c>
      <c r="F361" s="8" t="inlineStr">
        <is>
          <t>D349</t>
        </is>
      </c>
      <c r="G361" s="8">
        <f>IFERROR(VLOOKUP(A361,Flete!$A:$E,5,0),"")</f>
        <v/>
      </c>
      <c r="H361" s="7">
        <f>IFERROR(VLOOKUP(F361,TRAOPE!$AA:$AB,2,0),"")</f>
        <v/>
      </c>
      <c r="I361" s="7" t="n">
        <v>10229016</v>
      </c>
      <c r="J361" s="7">
        <f>IFERROR(VLOOKUP(I361,Materiales!$A:$H,8,0),"")</f>
        <v/>
      </c>
      <c r="K361" s="9">
        <f>IFERROR(VLOOKUP(I361,Materiales!$A:$G,7,0),"")</f>
        <v/>
      </c>
      <c r="L361" s="8" t="inlineStr">
        <is>
          <t>20250301</t>
        </is>
      </c>
      <c r="M361" s="8" t="inlineStr">
        <is>
          <t>20251031</t>
        </is>
      </c>
      <c r="N361" s="10" t="n">
        <v>176.93</v>
      </c>
      <c r="O361" s="10">
        <f>IFERROR(VLOOKUP(A361,Flete!$A:$J,10,0),"")</f>
        <v/>
      </c>
      <c r="P361" s="8" t="inlineStr">
        <is>
          <t>TN</t>
        </is>
      </c>
      <c r="Q361" s="10">
        <f>IFERROR(IFERROR(VLOOKUP(A361,TRAOPE!$A:$U,21,0),VLOOKUP(B361,TRAOPE!$A:$U,21,0)),"")</f>
        <v/>
      </c>
      <c r="R361" s="8">
        <f>IFERROR(IFERROR(VLOOKUP(A361,TRAOPE!$A:$W,23,0),VLOOKUP(B361,TRAOPE!$A:$W,23,0)),"")</f>
        <v/>
      </c>
      <c r="S361" s="10">
        <f>IF(AND(P361="TN",R361="TN"),N361+N(O361),IF(G361&amp;""="1",N(K361)*N361,(N361+N(O361))*N(K361)))</f>
        <v/>
      </c>
      <c r="T361" s="10">
        <f>IF(Q361="","",Q361-S361)</f>
        <v/>
      </c>
    </row>
    <row r="362">
      <c r="A362" s="7">
        <f>CONCATENATE(C362,E362,F362,I362)</f>
        <v/>
      </c>
      <c r="B362" s="7">
        <f>CONCATENATE(C362,E362,I362)</f>
        <v/>
      </c>
      <c r="C362" s="8" t="n">
        <v>900008197</v>
      </c>
      <c r="D362" s="7">
        <f>IFERROR(VLOOKUP(C362,TRAOPE!$G:$H,2,0),"")</f>
        <v/>
      </c>
      <c r="E362" s="8" t="inlineStr">
        <is>
          <t>DW75</t>
        </is>
      </c>
      <c r="F362" s="8" t="inlineStr">
        <is>
          <t>EQ86</t>
        </is>
      </c>
      <c r="G362" s="8">
        <f>IFERROR(VLOOKUP(A362,Flete!$A:$E,5,0),"")</f>
        <v/>
      </c>
      <c r="H362" s="7">
        <f>IFERROR(VLOOKUP(F362,TRAOPE!$AA:$AB,2,0),"")</f>
        <v/>
      </c>
      <c r="I362" s="7" t="n">
        <v>10234149</v>
      </c>
      <c r="J362" s="7">
        <f>IFERROR(VLOOKUP(I362,Materiales!$A:$H,8,0),"")</f>
        <v/>
      </c>
      <c r="K362" s="9">
        <f>IFERROR(VLOOKUP(I362,Materiales!$A:$G,7,0),"")</f>
        <v/>
      </c>
      <c r="L362" s="8" t="inlineStr">
        <is>
          <t>20250321</t>
        </is>
      </c>
      <c r="M362" s="8" t="inlineStr">
        <is>
          <t>99991231</t>
        </is>
      </c>
      <c r="N362" s="10" t="n">
        <v>351.37</v>
      </c>
      <c r="O362" s="10">
        <f>IFERROR(VLOOKUP(A362,Flete!$A:$J,10,0),"")</f>
        <v/>
      </c>
      <c r="P362" s="8" t="inlineStr">
        <is>
          <t>TN</t>
        </is>
      </c>
      <c r="Q362" s="10">
        <f>IFERROR(IFERROR(VLOOKUP(A362,TRAOPE!$A:$U,21,0),VLOOKUP(B362,TRAOPE!$A:$U,21,0)),"")</f>
        <v/>
      </c>
      <c r="R362" s="8">
        <f>IFERROR(IFERROR(VLOOKUP(A362,TRAOPE!$A:$W,23,0),VLOOKUP(B362,TRAOPE!$A:$W,23,0)),"")</f>
        <v/>
      </c>
      <c r="S362" s="10">
        <f>IF(AND(P362="TN",R362="TN"),N362+N(O362),IF(G362&amp;""="1",N(K362)*N362,(N362+N(O362))*N(K362)))</f>
        <v/>
      </c>
      <c r="T362" s="10">
        <f>IF(Q362="","",Q362-S362)</f>
        <v/>
      </c>
    </row>
    <row r="363">
      <c r="A363" s="7">
        <f>CONCATENATE(C363,E363,F363,I363)</f>
        <v/>
      </c>
      <c r="B363" s="7">
        <f>CONCATENATE(C363,E363,I363)</f>
        <v/>
      </c>
      <c r="C363" s="8" t="n">
        <v>900008197</v>
      </c>
      <c r="D363" s="7">
        <f>IFERROR(VLOOKUP(C363,TRAOPE!$G:$H,2,0),"")</f>
        <v/>
      </c>
      <c r="E363" s="8" t="inlineStr">
        <is>
          <t>DW75</t>
        </is>
      </c>
      <c r="F363" s="8" t="inlineStr">
        <is>
          <t>EQ86</t>
        </is>
      </c>
      <c r="G363" s="8">
        <f>IFERROR(VLOOKUP(A363,Flete!$A:$E,5,0),"")</f>
        <v/>
      </c>
      <c r="H363" s="7">
        <f>IFERROR(VLOOKUP(F363,TRAOPE!$AA:$AB,2,0),"")</f>
        <v/>
      </c>
      <c r="I363" s="7" t="n">
        <v>10266819</v>
      </c>
      <c r="J363" s="7">
        <f>IFERROR(VLOOKUP(I363,Materiales!$A:$H,8,0),"")</f>
        <v/>
      </c>
      <c r="K363" s="9">
        <f>IFERROR(VLOOKUP(I363,Materiales!$A:$G,7,0),"")</f>
        <v/>
      </c>
      <c r="L363" s="8" t="inlineStr">
        <is>
          <t>20250514</t>
        </is>
      </c>
      <c r="M363" s="8" t="inlineStr">
        <is>
          <t>99991231</t>
        </is>
      </c>
      <c r="N363" s="10" t="n">
        <v>275.96</v>
      </c>
      <c r="O363" s="10">
        <f>IFERROR(VLOOKUP(A363,Flete!$A:$J,10,0),"")</f>
        <v/>
      </c>
      <c r="P363" s="8" t="inlineStr">
        <is>
          <t>TN</t>
        </is>
      </c>
      <c r="Q363" s="10">
        <f>IFERROR(IFERROR(VLOOKUP(A363,TRAOPE!$A:$U,21,0),VLOOKUP(B363,TRAOPE!$A:$U,21,0)),"")</f>
        <v/>
      </c>
      <c r="R363" s="8">
        <f>IFERROR(IFERROR(VLOOKUP(A363,TRAOPE!$A:$W,23,0),VLOOKUP(B363,TRAOPE!$A:$W,23,0)),"")</f>
        <v/>
      </c>
      <c r="S363" s="10">
        <f>IF(AND(P363="TN",R363="TN"),N363+N(O363),IF(G363&amp;""="1",N(K363)*N363,(N363+N(O363))*N(K363)))</f>
        <v/>
      </c>
      <c r="T363" s="10">
        <f>IF(Q363="","",Q363-S363)</f>
        <v/>
      </c>
    </row>
    <row r="364">
      <c r="A364" s="7">
        <f>CONCATENATE(C364,E364,F364,I364)</f>
        <v/>
      </c>
      <c r="B364" s="7">
        <f>CONCATENATE(C364,E364,I364)</f>
        <v/>
      </c>
      <c r="C364" s="8" t="n">
        <v>900008588</v>
      </c>
      <c r="D364" s="7">
        <f>IFERROR(VLOOKUP(C364,TRAOPE!$G:$H,2,0),"")</f>
        <v/>
      </c>
      <c r="E364" s="8" t="inlineStr">
        <is>
          <t>DW75</t>
        </is>
      </c>
      <c r="F364" s="8" t="inlineStr">
        <is>
          <t>D063</t>
        </is>
      </c>
      <c r="G364" s="8">
        <f>IFERROR(VLOOKUP(A364,Flete!$A:$E,5,0),"")</f>
        <v/>
      </c>
      <c r="H364" s="7">
        <f>IFERROR(VLOOKUP(F364,TRAOPE!$AA:$AB,2,0),"")</f>
        <v/>
      </c>
      <c r="I364" s="7" t="n">
        <v>10251199</v>
      </c>
      <c r="J364" s="7">
        <f>IFERROR(VLOOKUP(I364,Materiales!$A:$H,8,0),"")</f>
        <v/>
      </c>
      <c r="K364" s="9">
        <f>IFERROR(VLOOKUP(I364,Materiales!$A:$G,7,0),"")</f>
        <v/>
      </c>
      <c r="L364" s="8" t="inlineStr">
        <is>
          <t>20250301</t>
        </is>
      </c>
      <c r="M364" s="8" t="inlineStr">
        <is>
          <t>20251031</t>
        </is>
      </c>
      <c r="N364" s="10" t="n">
        <v>322.8</v>
      </c>
      <c r="O364" s="10">
        <f>IFERROR(VLOOKUP(A364,Flete!$A:$J,10,0),"")</f>
        <v/>
      </c>
      <c r="P364" s="8" t="inlineStr">
        <is>
          <t>TN</t>
        </is>
      </c>
      <c r="Q364" s="10">
        <f>IFERROR(IFERROR(VLOOKUP(A364,TRAOPE!$A:$U,21,0),VLOOKUP(B364,TRAOPE!$A:$U,21,0)),"")</f>
        <v/>
      </c>
      <c r="R364" s="8">
        <f>IFERROR(IFERROR(VLOOKUP(A364,TRAOPE!$A:$W,23,0),VLOOKUP(B364,TRAOPE!$A:$W,23,0)),"")</f>
        <v/>
      </c>
      <c r="S364" s="10">
        <f>IF(AND(P364="TN",R364="TN"),N364+N(O364),IF(G364&amp;""="1",N(K364)*N364,(N364+N(O364))*N(K364)))</f>
        <v/>
      </c>
      <c r="T364" s="10">
        <f>IF(Q364="","",Q364-S364)</f>
        <v/>
      </c>
    </row>
    <row r="365">
      <c r="A365" s="7">
        <f>CONCATENATE(C365,E365,F365,I365)</f>
        <v/>
      </c>
      <c r="B365" s="7">
        <f>CONCATENATE(C365,E365,I365)</f>
        <v/>
      </c>
      <c r="C365" s="8" t="n">
        <v>900008588</v>
      </c>
      <c r="D365" s="7">
        <f>IFERROR(VLOOKUP(C365,TRAOPE!$G:$H,2,0),"")</f>
        <v/>
      </c>
      <c r="E365" s="8" t="inlineStr">
        <is>
          <t>DW75</t>
        </is>
      </c>
      <c r="F365" s="8" t="inlineStr">
        <is>
          <t>D112</t>
        </is>
      </c>
      <c r="G365" s="8">
        <f>IFERROR(VLOOKUP(A365,Flete!$A:$E,5,0),"")</f>
        <v/>
      </c>
      <c r="H365" s="7">
        <f>IFERROR(VLOOKUP(F365,TRAOPE!$AA:$AB,2,0),"")</f>
        <v/>
      </c>
      <c r="I365" s="7" t="n">
        <v>10251199</v>
      </c>
      <c r="J365" s="7">
        <f>IFERROR(VLOOKUP(I365,Materiales!$A:$H,8,0),"")</f>
        <v/>
      </c>
      <c r="K365" s="9">
        <f>IFERROR(VLOOKUP(I365,Materiales!$A:$G,7,0),"")</f>
        <v/>
      </c>
      <c r="L365" s="8" t="inlineStr">
        <is>
          <t>20250301</t>
        </is>
      </c>
      <c r="M365" s="8" t="inlineStr">
        <is>
          <t>20251031</t>
        </is>
      </c>
      <c r="N365" s="10" t="n">
        <v>322.8</v>
      </c>
      <c r="O365" s="10">
        <f>IFERROR(VLOOKUP(A365,Flete!$A:$J,10,0),"")</f>
        <v/>
      </c>
      <c r="P365" s="8" t="inlineStr">
        <is>
          <t>TN</t>
        </is>
      </c>
      <c r="Q365" s="10">
        <f>IFERROR(IFERROR(VLOOKUP(A365,TRAOPE!$A:$U,21,0),VLOOKUP(B365,TRAOPE!$A:$U,21,0)),"")</f>
        <v/>
      </c>
      <c r="R365" s="8">
        <f>IFERROR(IFERROR(VLOOKUP(A365,TRAOPE!$A:$W,23,0),VLOOKUP(B365,TRAOPE!$A:$W,23,0)),"")</f>
        <v/>
      </c>
      <c r="S365" s="10">
        <f>IF(AND(P365="TN",R365="TN"),N365+N(O365),IF(G365&amp;""="1",N(K365)*N365,(N365+N(O365))*N(K365)))</f>
        <v/>
      </c>
      <c r="T365" s="10">
        <f>IF(Q365="","",Q365-S365)</f>
        <v/>
      </c>
    </row>
    <row r="366">
      <c r="A366" s="7">
        <f>CONCATENATE(C366,E366,F366,I366)</f>
        <v/>
      </c>
      <c r="B366" s="7">
        <f>CONCATENATE(C366,E366,I366)</f>
        <v/>
      </c>
      <c r="C366" s="8" t="n">
        <v>900008588</v>
      </c>
      <c r="D366" s="7">
        <f>IFERROR(VLOOKUP(C366,TRAOPE!$G:$H,2,0),"")</f>
        <v/>
      </c>
      <c r="E366" s="8" t="inlineStr">
        <is>
          <t>DW75</t>
        </is>
      </c>
      <c r="F366" s="8" t="inlineStr">
        <is>
          <t>D278</t>
        </is>
      </c>
      <c r="G366" s="8">
        <f>IFERROR(VLOOKUP(A366,Flete!$A:$E,5,0),"")</f>
        <v/>
      </c>
      <c r="H366" s="7">
        <f>IFERROR(VLOOKUP(F366,TRAOPE!$AA:$AB,2,0),"")</f>
        <v/>
      </c>
      <c r="I366" s="7" t="n">
        <v>10251199</v>
      </c>
      <c r="J366" s="7">
        <f>IFERROR(VLOOKUP(I366,Materiales!$A:$H,8,0),"")</f>
        <v/>
      </c>
      <c r="K366" s="9">
        <f>IFERROR(VLOOKUP(I366,Materiales!$A:$G,7,0),"")</f>
        <v/>
      </c>
      <c r="L366" s="8" t="inlineStr">
        <is>
          <t>20250301</t>
        </is>
      </c>
      <c r="M366" s="8" t="inlineStr">
        <is>
          <t>20251031</t>
        </is>
      </c>
      <c r="N366" s="10" t="n">
        <v>322.8</v>
      </c>
      <c r="O366" s="10">
        <f>IFERROR(VLOOKUP(A366,Flete!$A:$J,10,0),"")</f>
        <v/>
      </c>
      <c r="P366" s="8" t="inlineStr">
        <is>
          <t>TN</t>
        </is>
      </c>
      <c r="Q366" s="10">
        <f>IFERROR(IFERROR(VLOOKUP(A366,TRAOPE!$A:$U,21,0),VLOOKUP(B366,TRAOPE!$A:$U,21,0)),"")</f>
        <v/>
      </c>
      <c r="R366" s="8">
        <f>IFERROR(IFERROR(VLOOKUP(A366,TRAOPE!$A:$W,23,0),VLOOKUP(B366,TRAOPE!$A:$W,23,0)),"")</f>
        <v/>
      </c>
      <c r="S366" s="10">
        <f>IF(AND(P366="TN",R366="TN"),N366+N(O366),IF(G366&amp;""="1",N(K366)*N366,(N366+N(O366))*N(K366)))</f>
        <v/>
      </c>
      <c r="T366" s="10">
        <f>IF(Q366="","",Q366-S366)</f>
        <v/>
      </c>
    </row>
    <row r="367">
      <c r="A367" s="7">
        <f>CONCATENATE(C367,E367,F367,I367)</f>
        <v/>
      </c>
      <c r="B367" s="7">
        <f>CONCATENATE(C367,E367,I367)</f>
        <v/>
      </c>
      <c r="C367" s="8" t="n">
        <v>900008588</v>
      </c>
      <c r="D367" s="7">
        <f>IFERROR(VLOOKUP(C367,TRAOPE!$G:$H,2,0),"")</f>
        <v/>
      </c>
      <c r="E367" s="8" t="inlineStr">
        <is>
          <t>DW75</t>
        </is>
      </c>
      <c r="F367" s="8" t="inlineStr">
        <is>
          <t>D343</t>
        </is>
      </c>
      <c r="G367" s="8">
        <f>IFERROR(VLOOKUP(A367,Flete!$A:$E,5,0),"")</f>
        <v/>
      </c>
      <c r="H367" s="7">
        <f>IFERROR(VLOOKUP(F367,TRAOPE!$AA:$AB,2,0),"")</f>
        <v/>
      </c>
      <c r="I367" s="7" t="n">
        <v>10251199</v>
      </c>
      <c r="J367" s="7">
        <f>IFERROR(VLOOKUP(I367,Materiales!$A:$H,8,0),"")</f>
        <v/>
      </c>
      <c r="K367" s="9">
        <f>IFERROR(VLOOKUP(I367,Materiales!$A:$G,7,0),"")</f>
        <v/>
      </c>
      <c r="L367" s="8" t="inlineStr">
        <is>
          <t>20250301</t>
        </is>
      </c>
      <c r="M367" s="8" t="inlineStr">
        <is>
          <t>20251031</t>
        </is>
      </c>
      <c r="N367" s="10" t="n">
        <v>322.8</v>
      </c>
      <c r="O367" s="10">
        <f>IFERROR(VLOOKUP(A367,Flete!$A:$J,10,0),"")</f>
        <v/>
      </c>
      <c r="P367" s="8" t="inlineStr">
        <is>
          <t>TN</t>
        </is>
      </c>
      <c r="Q367" s="10">
        <f>IFERROR(IFERROR(VLOOKUP(A367,TRAOPE!$A:$U,21,0),VLOOKUP(B367,TRAOPE!$A:$U,21,0)),"")</f>
        <v/>
      </c>
      <c r="R367" s="8">
        <f>IFERROR(IFERROR(VLOOKUP(A367,TRAOPE!$A:$W,23,0),VLOOKUP(B367,TRAOPE!$A:$W,23,0)),"")</f>
        <v/>
      </c>
      <c r="S367" s="10">
        <f>IF(AND(P367="TN",R367="TN"),N367+N(O367),IF(G367&amp;""="1",N(K367)*N367,(N367+N(O367))*N(K367)))</f>
        <v/>
      </c>
      <c r="T367" s="10">
        <f>IF(Q367="","",Q367-S367)</f>
        <v/>
      </c>
    </row>
    <row r="368">
      <c r="A368" s="7">
        <f>CONCATENATE(C368,E368,F368,I368)</f>
        <v/>
      </c>
      <c r="B368" s="7">
        <f>CONCATENATE(C368,E368,I368)</f>
        <v/>
      </c>
      <c r="C368" s="8" t="n">
        <v>900008588</v>
      </c>
      <c r="D368" s="7">
        <f>IFERROR(VLOOKUP(C368,TRAOPE!$G:$H,2,0),"")</f>
        <v/>
      </c>
      <c r="E368" s="8" t="inlineStr">
        <is>
          <t>DW75</t>
        </is>
      </c>
      <c r="F368" s="8" t="inlineStr">
        <is>
          <t>D349</t>
        </is>
      </c>
      <c r="G368" s="8">
        <f>IFERROR(VLOOKUP(A368,Flete!$A:$E,5,0),"")</f>
        <v/>
      </c>
      <c r="H368" s="7">
        <f>IFERROR(VLOOKUP(F368,TRAOPE!$AA:$AB,2,0),"")</f>
        <v/>
      </c>
      <c r="I368" s="7" t="n">
        <v>10251199</v>
      </c>
      <c r="J368" s="7">
        <f>IFERROR(VLOOKUP(I368,Materiales!$A:$H,8,0),"")</f>
        <v/>
      </c>
      <c r="K368" s="9">
        <f>IFERROR(VLOOKUP(I368,Materiales!$A:$G,7,0),"")</f>
        <v/>
      </c>
      <c r="L368" s="8" t="inlineStr">
        <is>
          <t>20250301</t>
        </is>
      </c>
      <c r="M368" s="8" t="inlineStr">
        <is>
          <t>20251031</t>
        </is>
      </c>
      <c r="N368" s="10" t="n">
        <v>322.8</v>
      </c>
      <c r="O368" s="10">
        <f>IFERROR(VLOOKUP(A368,Flete!$A:$J,10,0),"")</f>
        <v/>
      </c>
      <c r="P368" s="8" t="inlineStr">
        <is>
          <t>TN</t>
        </is>
      </c>
      <c r="Q368" s="10">
        <f>IFERROR(IFERROR(VLOOKUP(A368,TRAOPE!$A:$U,21,0),VLOOKUP(B368,TRAOPE!$A:$U,21,0)),"")</f>
        <v/>
      </c>
      <c r="R368" s="8">
        <f>IFERROR(IFERROR(VLOOKUP(A368,TRAOPE!$A:$W,23,0),VLOOKUP(B368,TRAOPE!$A:$W,23,0)),"")</f>
        <v/>
      </c>
      <c r="S368" s="10">
        <f>IF(AND(P368="TN",R368="TN"),N368+N(O368),IF(G368&amp;""="1",N(K368)*N368,(N368+N(O368))*N(K368)))</f>
        <v/>
      </c>
      <c r="T368" s="10">
        <f>IF(Q368="","",Q368-S368)</f>
        <v/>
      </c>
    </row>
    <row r="369">
      <c r="A369" s="7">
        <f>CONCATENATE(C369,E369,F369,I369)</f>
        <v/>
      </c>
      <c r="B369" s="7">
        <f>CONCATENATE(C369,E369,I369)</f>
        <v/>
      </c>
      <c r="C369" s="8" t="n">
        <v>900008588</v>
      </c>
      <c r="D369" s="7">
        <f>IFERROR(VLOOKUP(C369,TRAOPE!$G:$H,2,0),"")</f>
        <v/>
      </c>
      <c r="E369" s="8" t="inlineStr">
        <is>
          <t>DW75</t>
        </is>
      </c>
      <c r="F369" s="8" t="inlineStr">
        <is>
          <t>D358</t>
        </is>
      </c>
      <c r="G369" s="8">
        <f>IFERROR(VLOOKUP(A369,Flete!$A:$E,5,0),"")</f>
        <v/>
      </c>
      <c r="H369" s="7">
        <f>IFERROR(VLOOKUP(F369,TRAOPE!$AA:$AB,2,0),"")</f>
        <v/>
      </c>
      <c r="I369" s="7" t="n">
        <v>10251199</v>
      </c>
      <c r="J369" s="7">
        <f>IFERROR(VLOOKUP(I369,Materiales!$A:$H,8,0),"")</f>
        <v/>
      </c>
      <c r="K369" s="9">
        <f>IFERROR(VLOOKUP(I369,Materiales!$A:$G,7,0),"")</f>
        <v/>
      </c>
      <c r="L369" s="8" t="inlineStr">
        <is>
          <t>20260327</t>
        </is>
      </c>
      <c r="M369" s="8" t="inlineStr">
        <is>
          <t>99991231</t>
        </is>
      </c>
      <c r="N369" s="10" t="n">
        <v>285.81</v>
      </c>
      <c r="O369" s="10">
        <f>IFERROR(VLOOKUP(A369,Flete!$A:$J,10,0),"")</f>
        <v/>
      </c>
      <c r="P369" s="8" t="inlineStr">
        <is>
          <t>TN</t>
        </is>
      </c>
      <c r="Q369" s="10">
        <f>IFERROR(IFERROR(VLOOKUP(A369,TRAOPE!$A:$U,21,0),VLOOKUP(B369,TRAOPE!$A:$U,21,0)),"")</f>
        <v/>
      </c>
      <c r="R369" s="8">
        <f>IFERROR(IFERROR(VLOOKUP(A369,TRAOPE!$A:$W,23,0),VLOOKUP(B369,TRAOPE!$A:$W,23,0)),"")</f>
        <v/>
      </c>
      <c r="S369" s="10">
        <f>IF(AND(P369="TN",R369="TN"),N369+N(O369),IF(G369&amp;""="1",N(K369)*N369,(N369+N(O369))*N(K369)))</f>
        <v/>
      </c>
      <c r="T369" s="10">
        <f>IF(Q369="","",Q369-S369)</f>
        <v/>
      </c>
    </row>
    <row r="370">
      <c r="A370" s="7">
        <f>CONCATENATE(C370,E370,F370,I370)</f>
        <v/>
      </c>
      <c r="B370" s="7">
        <f>CONCATENATE(C370,E370,I370)</f>
        <v/>
      </c>
      <c r="C370" s="8" t="n">
        <v>900008636</v>
      </c>
      <c r="D370" s="7">
        <f>IFERROR(VLOOKUP(C370,TRAOPE!$G:$H,2,0),"")</f>
        <v/>
      </c>
      <c r="E370" s="8" t="inlineStr">
        <is>
          <t>DW75</t>
        </is>
      </c>
      <c r="F370" s="8" t="inlineStr">
        <is>
          <t>D063</t>
        </is>
      </c>
      <c r="G370" s="8">
        <f>IFERROR(VLOOKUP(A370,Flete!$A:$E,5,0),"")</f>
        <v/>
      </c>
      <c r="H370" s="7">
        <f>IFERROR(VLOOKUP(F370,TRAOPE!$AA:$AB,2,0),"")</f>
        <v/>
      </c>
      <c r="I370" s="7" t="n">
        <v>10251586</v>
      </c>
      <c r="J370" s="7">
        <f>IFERROR(VLOOKUP(I370,Materiales!$A:$H,8,0),"")</f>
        <v/>
      </c>
      <c r="K370" s="9">
        <f>IFERROR(VLOOKUP(I370,Materiales!$A:$G,7,0),"")</f>
        <v/>
      </c>
      <c r="L370" s="8" t="inlineStr">
        <is>
          <t>20250301</t>
        </is>
      </c>
      <c r="M370" s="8" t="inlineStr">
        <is>
          <t>20251031</t>
        </is>
      </c>
      <c r="N370" s="10" t="n">
        <v>307.12</v>
      </c>
      <c r="O370" s="10">
        <f>IFERROR(VLOOKUP(A370,Flete!$A:$J,10,0),"")</f>
        <v/>
      </c>
      <c r="P370" s="8" t="inlineStr">
        <is>
          <t>TN</t>
        </is>
      </c>
      <c r="Q370" s="10">
        <f>IFERROR(IFERROR(VLOOKUP(A370,TRAOPE!$A:$U,21,0),VLOOKUP(B370,TRAOPE!$A:$U,21,0)),"")</f>
        <v/>
      </c>
      <c r="R370" s="8">
        <f>IFERROR(IFERROR(VLOOKUP(A370,TRAOPE!$A:$W,23,0),VLOOKUP(B370,TRAOPE!$A:$W,23,0)),"")</f>
        <v/>
      </c>
      <c r="S370" s="10">
        <f>IF(AND(P370="TN",R370="TN"),N370+N(O370),IF(G370&amp;""="1",N(K370)*N370,(N370+N(O370))*N(K370)))</f>
        <v/>
      </c>
      <c r="T370" s="10">
        <f>IF(Q370="","",Q370-S370)</f>
        <v/>
      </c>
    </row>
    <row r="371">
      <c r="A371" s="7">
        <f>CONCATENATE(C371,E371,F371,I371)</f>
        <v/>
      </c>
      <c r="B371" s="7">
        <f>CONCATENATE(C371,E371,I371)</f>
        <v/>
      </c>
      <c r="C371" s="8" t="n">
        <v>900008636</v>
      </c>
      <c r="D371" s="7">
        <f>IFERROR(VLOOKUP(C371,TRAOPE!$G:$H,2,0),"")</f>
        <v/>
      </c>
      <c r="E371" s="8" t="inlineStr">
        <is>
          <t>DW75</t>
        </is>
      </c>
      <c r="F371" s="8" t="inlineStr">
        <is>
          <t>D063</t>
        </is>
      </c>
      <c r="G371" s="8">
        <f>IFERROR(VLOOKUP(A371,Flete!$A:$E,5,0),"")</f>
        <v/>
      </c>
      <c r="H371" s="7">
        <f>IFERROR(VLOOKUP(F371,TRAOPE!$AA:$AB,2,0),"")</f>
        <v/>
      </c>
      <c r="I371" s="7" t="n">
        <v>10251587</v>
      </c>
      <c r="J371" s="7">
        <f>IFERROR(VLOOKUP(I371,Materiales!$A:$H,8,0),"")</f>
        <v/>
      </c>
      <c r="K371" s="9">
        <f>IFERROR(VLOOKUP(I371,Materiales!$A:$G,7,0),"")</f>
        <v/>
      </c>
      <c r="L371" s="8" t="inlineStr">
        <is>
          <t>20250301</t>
        </is>
      </c>
      <c r="M371" s="8" t="inlineStr">
        <is>
          <t>20251031</t>
        </is>
      </c>
      <c r="N371" s="10" t="n">
        <v>279.25</v>
      </c>
      <c r="O371" s="10">
        <f>IFERROR(VLOOKUP(A371,Flete!$A:$J,10,0),"")</f>
        <v/>
      </c>
      <c r="P371" s="8" t="inlineStr">
        <is>
          <t>TN</t>
        </is>
      </c>
      <c r="Q371" s="10">
        <f>IFERROR(IFERROR(VLOOKUP(A371,TRAOPE!$A:$U,21,0),VLOOKUP(B371,TRAOPE!$A:$U,21,0)),"")</f>
        <v/>
      </c>
      <c r="R371" s="8">
        <f>IFERROR(IFERROR(VLOOKUP(A371,TRAOPE!$A:$W,23,0),VLOOKUP(B371,TRAOPE!$A:$W,23,0)),"")</f>
        <v/>
      </c>
      <c r="S371" s="10">
        <f>IF(AND(P371="TN",R371="TN"),N371+N(O371),IF(G371&amp;""="1",N(K371)*N371,(N371+N(O371))*N(K371)))</f>
        <v/>
      </c>
      <c r="T371" s="10">
        <f>IF(Q371="","",Q371-S371)</f>
        <v/>
      </c>
    </row>
    <row r="372">
      <c r="A372" s="7">
        <f>CONCATENATE(C372,E372,F372,I372)</f>
        <v/>
      </c>
      <c r="B372" s="7">
        <f>CONCATENATE(C372,E372,I372)</f>
        <v/>
      </c>
      <c r="C372" s="8" t="n">
        <v>900008636</v>
      </c>
      <c r="D372" s="7">
        <f>IFERROR(VLOOKUP(C372,TRAOPE!$G:$H,2,0),"")</f>
        <v/>
      </c>
      <c r="E372" s="8" t="inlineStr">
        <is>
          <t>DW75</t>
        </is>
      </c>
      <c r="F372" s="8" t="inlineStr">
        <is>
          <t>D112</t>
        </is>
      </c>
      <c r="G372" s="8">
        <f>IFERROR(VLOOKUP(A372,Flete!$A:$E,5,0),"")</f>
        <v/>
      </c>
      <c r="H372" s="7">
        <f>IFERROR(VLOOKUP(F372,TRAOPE!$AA:$AB,2,0),"")</f>
        <v/>
      </c>
      <c r="I372" s="7" t="n">
        <v>10251586</v>
      </c>
      <c r="J372" s="7">
        <f>IFERROR(VLOOKUP(I372,Materiales!$A:$H,8,0),"")</f>
        <v/>
      </c>
      <c r="K372" s="9">
        <f>IFERROR(VLOOKUP(I372,Materiales!$A:$G,7,0),"")</f>
        <v/>
      </c>
      <c r="L372" s="8" t="inlineStr">
        <is>
          <t>20250301</t>
        </is>
      </c>
      <c r="M372" s="8" t="inlineStr">
        <is>
          <t>20251031</t>
        </is>
      </c>
      <c r="N372" s="10" t="n">
        <v>307.12</v>
      </c>
      <c r="O372" s="10">
        <f>IFERROR(VLOOKUP(A372,Flete!$A:$J,10,0),"")</f>
        <v/>
      </c>
      <c r="P372" s="8" t="inlineStr">
        <is>
          <t>TN</t>
        </is>
      </c>
      <c r="Q372" s="10">
        <f>IFERROR(IFERROR(VLOOKUP(A372,TRAOPE!$A:$U,21,0),VLOOKUP(B372,TRAOPE!$A:$U,21,0)),"")</f>
        <v/>
      </c>
      <c r="R372" s="8">
        <f>IFERROR(IFERROR(VLOOKUP(A372,TRAOPE!$A:$W,23,0),VLOOKUP(B372,TRAOPE!$A:$W,23,0)),"")</f>
        <v/>
      </c>
      <c r="S372" s="10">
        <f>IF(AND(P372="TN",R372="TN"),N372+N(O372),IF(G372&amp;""="1",N(K372)*N372,(N372+N(O372))*N(K372)))</f>
        <v/>
      </c>
      <c r="T372" s="10">
        <f>IF(Q372="","",Q372-S372)</f>
        <v/>
      </c>
    </row>
    <row r="373">
      <c r="A373" s="7">
        <f>CONCATENATE(C373,E373,F373,I373)</f>
        <v/>
      </c>
      <c r="B373" s="7">
        <f>CONCATENATE(C373,E373,I373)</f>
        <v/>
      </c>
      <c r="C373" s="8" t="n">
        <v>900008636</v>
      </c>
      <c r="D373" s="7">
        <f>IFERROR(VLOOKUP(C373,TRAOPE!$G:$H,2,0),"")</f>
        <v/>
      </c>
      <c r="E373" s="8" t="inlineStr">
        <is>
          <t>DW75</t>
        </is>
      </c>
      <c r="F373" s="8" t="inlineStr">
        <is>
          <t>D112</t>
        </is>
      </c>
      <c r="G373" s="8">
        <f>IFERROR(VLOOKUP(A373,Flete!$A:$E,5,0),"")</f>
        <v/>
      </c>
      <c r="H373" s="7">
        <f>IFERROR(VLOOKUP(F373,TRAOPE!$AA:$AB,2,0),"")</f>
        <v/>
      </c>
      <c r="I373" s="7" t="n">
        <v>10251587</v>
      </c>
      <c r="J373" s="7">
        <f>IFERROR(VLOOKUP(I373,Materiales!$A:$H,8,0),"")</f>
        <v/>
      </c>
      <c r="K373" s="9">
        <f>IFERROR(VLOOKUP(I373,Materiales!$A:$G,7,0),"")</f>
        <v/>
      </c>
      <c r="L373" s="8" t="inlineStr">
        <is>
          <t>20250301</t>
        </is>
      </c>
      <c r="M373" s="8" t="inlineStr">
        <is>
          <t>20251031</t>
        </is>
      </c>
      <c r="N373" s="10" t="n">
        <v>279.25</v>
      </c>
      <c r="O373" s="10">
        <f>IFERROR(VLOOKUP(A373,Flete!$A:$J,10,0),"")</f>
        <v/>
      </c>
      <c r="P373" s="8" t="inlineStr">
        <is>
          <t>TN</t>
        </is>
      </c>
      <c r="Q373" s="10">
        <f>IFERROR(IFERROR(VLOOKUP(A373,TRAOPE!$A:$U,21,0),VLOOKUP(B373,TRAOPE!$A:$U,21,0)),"")</f>
        <v/>
      </c>
      <c r="R373" s="8">
        <f>IFERROR(IFERROR(VLOOKUP(A373,TRAOPE!$A:$W,23,0),VLOOKUP(B373,TRAOPE!$A:$W,23,0)),"")</f>
        <v/>
      </c>
      <c r="S373" s="10">
        <f>IF(AND(P373="TN",R373="TN"),N373+N(O373),IF(G373&amp;""="1",N(K373)*N373,(N373+N(O373))*N(K373)))</f>
        <v/>
      </c>
      <c r="T373" s="10">
        <f>IF(Q373="","",Q373-S373)</f>
        <v/>
      </c>
    </row>
    <row r="374">
      <c r="A374" s="7">
        <f>CONCATENATE(C374,E374,F374,I374)</f>
        <v/>
      </c>
      <c r="B374" s="7">
        <f>CONCATENATE(C374,E374,I374)</f>
        <v/>
      </c>
      <c r="C374" s="8" t="n">
        <v>900008636</v>
      </c>
      <c r="D374" s="7">
        <f>IFERROR(VLOOKUP(C374,TRAOPE!$G:$H,2,0),"")</f>
        <v/>
      </c>
      <c r="E374" s="8" t="inlineStr">
        <is>
          <t>DW75</t>
        </is>
      </c>
      <c r="F374" s="8" t="inlineStr">
        <is>
          <t>D278</t>
        </is>
      </c>
      <c r="G374" s="8">
        <f>IFERROR(VLOOKUP(A374,Flete!$A:$E,5,0),"")</f>
        <v/>
      </c>
      <c r="H374" s="7">
        <f>IFERROR(VLOOKUP(F374,TRAOPE!$AA:$AB,2,0),"")</f>
        <v/>
      </c>
      <c r="I374" s="7" t="n">
        <v>10251586</v>
      </c>
      <c r="J374" s="7">
        <f>IFERROR(VLOOKUP(I374,Materiales!$A:$H,8,0),"")</f>
        <v/>
      </c>
      <c r="K374" s="9">
        <f>IFERROR(VLOOKUP(I374,Materiales!$A:$G,7,0),"")</f>
        <v/>
      </c>
      <c r="L374" s="8" t="inlineStr">
        <is>
          <t>20250301</t>
        </is>
      </c>
      <c r="M374" s="8" t="inlineStr">
        <is>
          <t>20251031</t>
        </is>
      </c>
      <c r="N374" s="10" t="n">
        <v>307.12</v>
      </c>
      <c r="O374" s="10">
        <f>IFERROR(VLOOKUP(A374,Flete!$A:$J,10,0),"")</f>
        <v/>
      </c>
      <c r="P374" s="8" t="inlineStr">
        <is>
          <t>TN</t>
        </is>
      </c>
      <c r="Q374" s="10">
        <f>IFERROR(IFERROR(VLOOKUP(A374,TRAOPE!$A:$U,21,0),VLOOKUP(B374,TRAOPE!$A:$U,21,0)),"")</f>
        <v/>
      </c>
      <c r="R374" s="8">
        <f>IFERROR(IFERROR(VLOOKUP(A374,TRAOPE!$A:$W,23,0),VLOOKUP(B374,TRAOPE!$A:$W,23,0)),"")</f>
        <v/>
      </c>
      <c r="S374" s="10">
        <f>IF(AND(P374="TN",R374="TN"),N374+N(O374),IF(G374&amp;""="1",N(K374)*N374,(N374+N(O374))*N(K374)))</f>
        <v/>
      </c>
      <c r="T374" s="10">
        <f>IF(Q374="","",Q374-S374)</f>
        <v/>
      </c>
    </row>
    <row r="375">
      <c r="A375" s="7">
        <f>CONCATENATE(C375,E375,F375,I375)</f>
        <v/>
      </c>
      <c r="B375" s="7">
        <f>CONCATENATE(C375,E375,I375)</f>
        <v/>
      </c>
      <c r="C375" s="8" t="n">
        <v>900008636</v>
      </c>
      <c r="D375" s="7">
        <f>IFERROR(VLOOKUP(C375,TRAOPE!$G:$H,2,0),"")</f>
        <v/>
      </c>
      <c r="E375" s="8" t="inlineStr">
        <is>
          <t>DW75</t>
        </is>
      </c>
      <c r="F375" s="8" t="inlineStr">
        <is>
          <t>D278</t>
        </is>
      </c>
      <c r="G375" s="8">
        <f>IFERROR(VLOOKUP(A375,Flete!$A:$E,5,0),"")</f>
        <v/>
      </c>
      <c r="H375" s="7">
        <f>IFERROR(VLOOKUP(F375,TRAOPE!$AA:$AB,2,0),"")</f>
        <v/>
      </c>
      <c r="I375" s="7" t="n">
        <v>10251587</v>
      </c>
      <c r="J375" s="7">
        <f>IFERROR(VLOOKUP(I375,Materiales!$A:$H,8,0),"")</f>
        <v/>
      </c>
      <c r="K375" s="9">
        <f>IFERROR(VLOOKUP(I375,Materiales!$A:$G,7,0),"")</f>
        <v/>
      </c>
      <c r="L375" s="8" t="inlineStr">
        <is>
          <t>20250301</t>
        </is>
      </c>
      <c r="M375" s="8" t="inlineStr">
        <is>
          <t>20251031</t>
        </is>
      </c>
      <c r="N375" s="10" t="n">
        <v>279.25</v>
      </c>
      <c r="O375" s="10">
        <f>IFERROR(VLOOKUP(A375,Flete!$A:$J,10,0),"")</f>
        <v/>
      </c>
      <c r="P375" s="8" t="inlineStr">
        <is>
          <t>TN</t>
        </is>
      </c>
      <c r="Q375" s="10">
        <f>IFERROR(IFERROR(VLOOKUP(A375,TRAOPE!$A:$U,21,0),VLOOKUP(B375,TRAOPE!$A:$U,21,0)),"")</f>
        <v/>
      </c>
      <c r="R375" s="8">
        <f>IFERROR(IFERROR(VLOOKUP(A375,TRAOPE!$A:$W,23,0),VLOOKUP(B375,TRAOPE!$A:$W,23,0)),"")</f>
        <v/>
      </c>
      <c r="S375" s="10">
        <f>IF(AND(P375="TN",R375="TN"),N375+N(O375),IF(G375&amp;""="1",N(K375)*N375,(N375+N(O375))*N(K375)))</f>
        <v/>
      </c>
      <c r="T375" s="10">
        <f>IF(Q375="","",Q375-S375)</f>
        <v/>
      </c>
    </row>
    <row r="376">
      <c r="A376" s="7">
        <f>CONCATENATE(C376,E376,F376,I376)</f>
        <v/>
      </c>
      <c r="B376" s="7">
        <f>CONCATENATE(C376,E376,I376)</f>
        <v/>
      </c>
      <c r="C376" s="8" t="n">
        <v>900008636</v>
      </c>
      <c r="D376" s="7">
        <f>IFERROR(VLOOKUP(C376,TRAOPE!$G:$H,2,0),"")</f>
        <v/>
      </c>
      <c r="E376" s="8" t="inlineStr">
        <is>
          <t>DW75</t>
        </is>
      </c>
      <c r="F376" s="8" t="inlineStr">
        <is>
          <t>D343</t>
        </is>
      </c>
      <c r="G376" s="8">
        <f>IFERROR(VLOOKUP(A376,Flete!$A:$E,5,0),"")</f>
        <v/>
      </c>
      <c r="H376" s="7">
        <f>IFERROR(VLOOKUP(F376,TRAOPE!$AA:$AB,2,0),"")</f>
        <v/>
      </c>
      <c r="I376" s="7" t="n">
        <v>10251586</v>
      </c>
      <c r="J376" s="7">
        <f>IFERROR(VLOOKUP(I376,Materiales!$A:$H,8,0),"")</f>
        <v/>
      </c>
      <c r="K376" s="9">
        <f>IFERROR(VLOOKUP(I376,Materiales!$A:$G,7,0),"")</f>
        <v/>
      </c>
      <c r="L376" s="8" t="inlineStr">
        <is>
          <t>20250301</t>
        </is>
      </c>
      <c r="M376" s="8" t="inlineStr">
        <is>
          <t>20251031</t>
        </is>
      </c>
      <c r="N376" s="10" t="n">
        <v>307.12</v>
      </c>
      <c r="O376" s="10">
        <f>IFERROR(VLOOKUP(A376,Flete!$A:$J,10,0),"")</f>
        <v/>
      </c>
      <c r="P376" s="8" t="inlineStr">
        <is>
          <t>TN</t>
        </is>
      </c>
      <c r="Q376" s="10">
        <f>IFERROR(IFERROR(VLOOKUP(A376,TRAOPE!$A:$U,21,0),VLOOKUP(B376,TRAOPE!$A:$U,21,0)),"")</f>
        <v/>
      </c>
      <c r="R376" s="8">
        <f>IFERROR(IFERROR(VLOOKUP(A376,TRAOPE!$A:$W,23,0),VLOOKUP(B376,TRAOPE!$A:$W,23,0)),"")</f>
        <v/>
      </c>
      <c r="S376" s="10">
        <f>IF(AND(P376="TN",R376="TN"),N376+N(O376),IF(G376&amp;""="1",N(K376)*N376,(N376+N(O376))*N(K376)))</f>
        <v/>
      </c>
      <c r="T376" s="10">
        <f>IF(Q376="","",Q376-S376)</f>
        <v/>
      </c>
    </row>
    <row r="377">
      <c r="A377" s="7">
        <f>CONCATENATE(C377,E377,F377,I377)</f>
        <v/>
      </c>
      <c r="B377" s="7">
        <f>CONCATENATE(C377,E377,I377)</f>
        <v/>
      </c>
      <c r="C377" s="8" t="n">
        <v>900008636</v>
      </c>
      <c r="D377" s="7">
        <f>IFERROR(VLOOKUP(C377,TRAOPE!$G:$H,2,0),"")</f>
        <v/>
      </c>
      <c r="E377" s="8" t="inlineStr">
        <is>
          <t>DW75</t>
        </is>
      </c>
      <c r="F377" s="8" t="inlineStr">
        <is>
          <t>D343</t>
        </is>
      </c>
      <c r="G377" s="8">
        <f>IFERROR(VLOOKUP(A377,Flete!$A:$E,5,0),"")</f>
        <v/>
      </c>
      <c r="H377" s="7">
        <f>IFERROR(VLOOKUP(F377,TRAOPE!$AA:$AB,2,0),"")</f>
        <v/>
      </c>
      <c r="I377" s="7" t="n">
        <v>10251587</v>
      </c>
      <c r="J377" s="7">
        <f>IFERROR(VLOOKUP(I377,Materiales!$A:$H,8,0),"")</f>
        <v/>
      </c>
      <c r="K377" s="9">
        <f>IFERROR(VLOOKUP(I377,Materiales!$A:$G,7,0),"")</f>
        <v/>
      </c>
      <c r="L377" s="8" t="inlineStr">
        <is>
          <t>20250301</t>
        </is>
      </c>
      <c r="M377" s="8" t="inlineStr">
        <is>
          <t>20251031</t>
        </is>
      </c>
      <c r="N377" s="10" t="n">
        <v>279.25</v>
      </c>
      <c r="O377" s="10">
        <f>IFERROR(VLOOKUP(A377,Flete!$A:$J,10,0),"")</f>
        <v/>
      </c>
      <c r="P377" s="8" t="inlineStr">
        <is>
          <t>TN</t>
        </is>
      </c>
      <c r="Q377" s="10">
        <f>IFERROR(IFERROR(VLOOKUP(A377,TRAOPE!$A:$U,21,0),VLOOKUP(B377,TRAOPE!$A:$U,21,0)),"")</f>
        <v/>
      </c>
      <c r="R377" s="8">
        <f>IFERROR(IFERROR(VLOOKUP(A377,TRAOPE!$A:$W,23,0),VLOOKUP(B377,TRAOPE!$A:$W,23,0)),"")</f>
        <v/>
      </c>
      <c r="S377" s="10">
        <f>IF(AND(P377="TN",R377="TN"),N377+N(O377),IF(G377&amp;""="1",N(K377)*N377,(N377+N(O377))*N(K377)))</f>
        <v/>
      </c>
      <c r="T377" s="10">
        <f>IF(Q377="","",Q377-S377)</f>
        <v/>
      </c>
    </row>
    <row r="378">
      <c r="A378" s="7">
        <f>CONCATENATE(C378,E378,F378,I378)</f>
        <v/>
      </c>
      <c r="B378" s="7">
        <f>CONCATENATE(C378,E378,I378)</f>
        <v/>
      </c>
      <c r="C378" s="8" t="n">
        <v>900008636</v>
      </c>
      <c r="D378" s="7">
        <f>IFERROR(VLOOKUP(C378,TRAOPE!$G:$H,2,0),"")</f>
        <v/>
      </c>
      <c r="E378" s="8" t="inlineStr">
        <is>
          <t>DW75</t>
        </is>
      </c>
      <c r="F378" s="8" t="inlineStr">
        <is>
          <t>D349</t>
        </is>
      </c>
      <c r="G378" s="8">
        <f>IFERROR(VLOOKUP(A378,Flete!$A:$E,5,0),"")</f>
        <v/>
      </c>
      <c r="H378" s="7">
        <f>IFERROR(VLOOKUP(F378,TRAOPE!$AA:$AB,2,0),"")</f>
        <v/>
      </c>
      <c r="I378" s="7" t="n">
        <v>10251586</v>
      </c>
      <c r="J378" s="7">
        <f>IFERROR(VLOOKUP(I378,Materiales!$A:$H,8,0),"")</f>
        <v/>
      </c>
      <c r="K378" s="9">
        <f>IFERROR(VLOOKUP(I378,Materiales!$A:$G,7,0),"")</f>
        <v/>
      </c>
      <c r="L378" s="8" t="inlineStr">
        <is>
          <t>20250301</t>
        </is>
      </c>
      <c r="M378" s="8" t="inlineStr">
        <is>
          <t>20251031</t>
        </is>
      </c>
      <c r="N378" s="10" t="n">
        <v>307.12</v>
      </c>
      <c r="O378" s="10">
        <f>IFERROR(VLOOKUP(A378,Flete!$A:$J,10,0),"")</f>
        <v/>
      </c>
      <c r="P378" s="8" t="inlineStr">
        <is>
          <t>TN</t>
        </is>
      </c>
      <c r="Q378" s="10">
        <f>IFERROR(IFERROR(VLOOKUP(A378,TRAOPE!$A:$U,21,0),VLOOKUP(B378,TRAOPE!$A:$U,21,0)),"")</f>
        <v/>
      </c>
      <c r="R378" s="8">
        <f>IFERROR(IFERROR(VLOOKUP(A378,TRAOPE!$A:$W,23,0),VLOOKUP(B378,TRAOPE!$A:$W,23,0)),"")</f>
        <v/>
      </c>
      <c r="S378" s="10">
        <f>IF(AND(P378="TN",R378="TN"),N378+N(O378),IF(G378&amp;""="1",N(K378)*N378,(N378+N(O378))*N(K378)))</f>
        <v/>
      </c>
      <c r="T378" s="10">
        <f>IF(Q378="","",Q378-S378)</f>
        <v/>
      </c>
    </row>
    <row r="379">
      <c r="A379" s="7">
        <f>CONCATENATE(C379,E379,F379,I379)</f>
        <v/>
      </c>
      <c r="B379" s="7">
        <f>CONCATENATE(C379,E379,I379)</f>
        <v/>
      </c>
      <c r="C379" s="8" t="n">
        <v>900008636</v>
      </c>
      <c r="D379" s="7">
        <f>IFERROR(VLOOKUP(C379,TRAOPE!$G:$H,2,0),"")</f>
        <v/>
      </c>
      <c r="E379" s="8" t="inlineStr">
        <is>
          <t>DW75</t>
        </is>
      </c>
      <c r="F379" s="8" t="inlineStr">
        <is>
          <t>D349</t>
        </is>
      </c>
      <c r="G379" s="8">
        <f>IFERROR(VLOOKUP(A379,Flete!$A:$E,5,0),"")</f>
        <v/>
      </c>
      <c r="H379" s="7">
        <f>IFERROR(VLOOKUP(F379,TRAOPE!$AA:$AB,2,0),"")</f>
        <v/>
      </c>
      <c r="I379" s="7" t="n">
        <v>10251587</v>
      </c>
      <c r="J379" s="7">
        <f>IFERROR(VLOOKUP(I379,Materiales!$A:$H,8,0),"")</f>
        <v/>
      </c>
      <c r="K379" s="9">
        <f>IFERROR(VLOOKUP(I379,Materiales!$A:$G,7,0),"")</f>
        <v/>
      </c>
      <c r="L379" s="8" t="inlineStr">
        <is>
          <t>20250301</t>
        </is>
      </c>
      <c r="M379" s="8" t="inlineStr">
        <is>
          <t>20251031</t>
        </is>
      </c>
      <c r="N379" s="10" t="n">
        <v>279.25</v>
      </c>
      <c r="O379" s="10">
        <f>IFERROR(VLOOKUP(A379,Flete!$A:$J,10,0),"")</f>
        <v/>
      </c>
      <c r="P379" s="8" t="inlineStr">
        <is>
          <t>TN</t>
        </is>
      </c>
      <c r="Q379" s="10">
        <f>IFERROR(IFERROR(VLOOKUP(A379,TRAOPE!$A:$U,21,0),VLOOKUP(B379,TRAOPE!$A:$U,21,0)),"")</f>
        <v/>
      </c>
      <c r="R379" s="8">
        <f>IFERROR(IFERROR(VLOOKUP(A379,TRAOPE!$A:$W,23,0),VLOOKUP(B379,TRAOPE!$A:$W,23,0)),"")</f>
        <v/>
      </c>
      <c r="S379" s="10">
        <f>IF(AND(P379="TN",R379="TN"),N379+N(O379),IF(G379&amp;""="1",N(K379)*N379,(N379+N(O379))*N(K379)))</f>
        <v/>
      </c>
      <c r="T379" s="10">
        <f>IF(Q379="","",Q379-S379)</f>
        <v/>
      </c>
    </row>
    <row r="380">
      <c r="A380" s="7">
        <f>CONCATENATE(C380,E380,F380,I380)</f>
        <v/>
      </c>
      <c r="B380" s="7">
        <f>CONCATENATE(C380,E380,I380)</f>
        <v/>
      </c>
      <c r="C380" s="8" t="n">
        <v>900008642</v>
      </c>
      <c r="D380" s="7">
        <f>IFERROR(VLOOKUP(C380,TRAOPE!$G:$H,2,0),"")</f>
        <v/>
      </c>
      <c r="E380" s="8" t="inlineStr">
        <is>
          <t>DW75</t>
        </is>
      </c>
      <c r="F380" s="8" t="inlineStr">
        <is>
          <t>D349</t>
        </is>
      </c>
      <c r="G380" s="8">
        <f>IFERROR(VLOOKUP(A380,Flete!$A:$E,5,0),"")</f>
        <v/>
      </c>
      <c r="H380" s="7">
        <f>IFERROR(VLOOKUP(F380,TRAOPE!$AA:$AB,2,0),"")</f>
        <v/>
      </c>
      <c r="I380" s="7" t="n">
        <v>10251250</v>
      </c>
      <c r="J380" s="7">
        <f>IFERROR(VLOOKUP(I380,Materiales!$A:$H,8,0),"")</f>
        <v/>
      </c>
      <c r="K380" s="9">
        <f>IFERROR(VLOOKUP(I380,Materiales!$A:$G,7,0),"")</f>
        <v/>
      </c>
      <c r="L380" s="8" t="inlineStr">
        <is>
          <t>20250301</t>
        </is>
      </c>
      <c r="M380" s="8" t="inlineStr">
        <is>
          <t>20251031</t>
        </is>
      </c>
      <c r="N380" s="10" t="n">
        <v>377.49</v>
      </c>
      <c r="O380" s="10">
        <f>IFERROR(VLOOKUP(A380,Flete!$A:$J,10,0),"")</f>
        <v/>
      </c>
      <c r="P380" s="8" t="inlineStr">
        <is>
          <t>TN</t>
        </is>
      </c>
      <c r="Q380" s="10">
        <f>IFERROR(IFERROR(VLOOKUP(A380,TRAOPE!$A:$U,21,0),VLOOKUP(B380,TRAOPE!$A:$U,21,0)),"")</f>
        <v/>
      </c>
      <c r="R380" s="8">
        <f>IFERROR(IFERROR(VLOOKUP(A380,TRAOPE!$A:$W,23,0),VLOOKUP(B380,TRAOPE!$A:$W,23,0)),"")</f>
        <v/>
      </c>
      <c r="S380" s="10">
        <f>IF(AND(P380="TN",R380="TN"),N380+N(O380),IF(G380&amp;""="1",N(K380)*N380,(N380+N(O380))*N(K380)))</f>
        <v/>
      </c>
      <c r="T380" s="10">
        <f>IF(Q380="","",Q380-S380)</f>
        <v/>
      </c>
    </row>
    <row r="381">
      <c r="A381" s="7">
        <f>CONCATENATE(C381,E381,F381,I381)</f>
        <v/>
      </c>
      <c r="B381" s="7">
        <f>CONCATENATE(C381,E381,I381)</f>
        <v/>
      </c>
      <c r="C381" s="8" t="n">
        <v>900008643</v>
      </c>
      <c r="D381" s="7">
        <f>IFERROR(VLOOKUP(C381,TRAOPE!$G:$H,2,0),"")</f>
        <v/>
      </c>
      <c r="E381" s="8" t="inlineStr">
        <is>
          <t>DW75</t>
        </is>
      </c>
      <c r="F381" s="8" t="inlineStr">
        <is>
          <t>D278</t>
        </is>
      </c>
      <c r="G381" s="8">
        <f>IFERROR(VLOOKUP(A381,Flete!$A:$E,5,0),"")</f>
        <v/>
      </c>
      <c r="H381" s="7">
        <f>IFERROR(VLOOKUP(F381,TRAOPE!$AA:$AB,2,0),"")</f>
        <v/>
      </c>
      <c r="I381" s="7" t="n">
        <v>10251252</v>
      </c>
      <c r="J381" s="7">
        <f>IFERROR(VLOOKUP(I381,Materiales!$A:$H,8,0),"")</f>
        <v/>
      </c>
      <c r="K381" s="9">
        <f>IFERROR(VLOOKUP(I381,Materiales!$A:$G,7,0),"")</f>
        <v/>
      </c>
      <c r="L381" s="8" t="inlineStr">
        <is>
          <t>20250906</t>
        </is>
      </c>
      <c r="M381" s="8" t="inlineStr">
        <is>
          <t>20260215</t>
        </is>
      </c>
      <c r="N381" s="10" t="n">
        <v>346.69</v>
      </c>
      <c r="O381" s="10">
        <f>IFERROR(VLOOKUP(A381,Flete!$A:$J,10,0),"")</f>
        <v/>
      </c>
      <c r="P381" s="8" t="inlineStr">
        <is>
          <t>TN</t>
        </is>
      </c>
      <c r="Q381" s="10">
        <f>IFERROR(IFERROR(VLOOKUP(A381,TRAOPE!$A:$U,21,0),VLOOKUP(B381,TRAOPE!$A:$U,21,0)),"")</f>
        <v/>
      </c>
      <c r="R381" s="8">
        <f>IFERROR(IFERROR(VLOOKUP(A381,TRAOPE!$A:$W,23,0),VLOOKUP(B381,TRAOPE!$A:$W,23,0)),"")</f>
        <v/>
      </c>
      <c r="S381" s="10">
        <f>IF(AND(P381="TN",R381="TN"),N381+N(O381),IF(G381&amp;""="1",N(K381)*N381,(N381+N(O381))*N(K381)))</f>
        <v/>
      </c>
      <c r="T381" s="10">
        <f>IF(Q381="","",Q381-S381)</f>
        <v/>
      </c>
    </row>
    <row r="382">
      <c r="A382" s="7">
        <f>CONCATENATE(C382,E382,F382,I382)</f>
        <v/>
      </c>
      <c r="B382" s="7">
        <f>CONCATENATE(C382,E382,I382)</f>
        <v/>
      </c>
      <c r="C382" s="8" t="n">
        <v>900008643</v>
      </c>
      <c r="D382" s="7">
        <f>IFERROR(VLOOKUP(C382,TRAOPE!$G:$H,2,0),"")</f>
        <v/>
      </c>
      <c r="E382" s="8" t="inlineStr">
        <is>
          <t>DW75</t>
        </is>
      </c>
      <c r="F382" s="8" t="inlineStr">
        <is>
          <t>D278</t>
        </is>
      </c>
      <c r="G382" s="8">
        <f>IFERROR(VLOOKUP(A382,Flete!$A:$E,5,0),"")</f>
        <v/>
      </c>
      <c r="H382" s="7">
        <f>IFERROR(VLOOKUP(F382,TRAOPE!$AA:$AB,2,0),"")</f>
        <v/>
      </c>
      <c r="I382" s="7" t="n">
        <v>10252010</v>
      </c>
      <c r="J382" s="7">
        <f>IFERROR(VLOOKUP(I382,Materiales!$A:$H,8,0),"")</f>
        <v/>
      </c>
      <c r="K382" s="9">
        <f>IFERROR(VLOOKUP(I382,Materiales!$A:$G,7,0),"")</f>
        <v/>
      </c>
      <c r="L382" s="8" t="inlineStr">
        <is>
          <t>20240703</t>
        </is>
      </c>
      <c r="M382" s="8" t="inlineStr">
        <is>
          <t>20260215</t>
        </is>
      </c>
      <c r="N382" s="10" t="n">
        <v>378.58</v>
      </c>
      <c r="O382" s="10">
        <f>IFERROR(VLOOKUP(A382,Flete!$A:$J,10,0),"")</f>
        <v/>
      </c>
      <c r="P382" s="8" t="inlineStr">
        <is>
          <t>TN</t>
        </is>
      </c>
      <c r="Q382" s="10">
        <f>IFERROR(IFERROR(VLOOKUP(A382,TRAOPE!$A:$U,21,0),VLOOKUP(B382,TRAOPE!$A:$U,21,0)),"")</f>
        <v/>
      </c>
      <c r="R382" s="8">
        <f>IFERROR(IFERROR(VLOOKUP(A382,TRAOPE!$A:$W,23,0),VLOOKUP(B382,TRAOPE!$A:$W,23,0)),"")</f>
        <v/>
      </c>
      <c r="S382" s="10">
        <f>IF(AND(P382="TN",R382="TN"),N382+N(O382),IF(G382&amp;""="1",N(K382)*N382,(N382+N(O382))*N(K382)))</f>
        <v/>
      </c>
      <c r="T382" s="10">
        <f>IF(Q382="","",Q382-S382)</f>
        <v/>
      </c>
    </row>
    <row r="383">
      <c r="A383" s="7">
        <f>CONCATENATE(C383,E383,F383,I383)</f>
        <v/>
      </c>
      <c r="B383" s="7">
        <f>CONCATENATE(C383,E383,I383)</f>
        <v/>
      </c>
      <c r="C383" s="8" t="n">
        <v>900008643</v>
      </c>
      <c r="D383" s="7">
        <f>IFERROR(VLOOKUP(C383,TRAOPE!$G:$H,2,0),"")</f>
        <v/>
      </c>
      <c r="E383" s="8" t="inlineStr">
        <is>
          <t>DW75</t>
        </is>
      </c>
      <c r="F383" s="8" t="inlineStr">
        <is>
          <t>D343</t>
        </is>
      </c>
      <c r="G383" s="8">
        <f>IFERROR(VLOOKUP(A383,Flete!$A:$E,5,0),"")</f>
        <v/>
      </c>
      <c r="H383" s="7">
        <f>IFERROR(VLOOKUP(F383,TRAOPE!$AA:$AB,2,0),"")</f>
        <v/>
      </c>
      <c r="I383" s="7" t="n">
        <v>10251252</v>
      </c>
      <c r="J383" s="7">
        <f>IFERROR(VLOOKUP(I383,Materiales!$A:$H,8,0),"")</f>
        <v/>
      </c>
      <c r="K383" s="9">
        <f>IFERROR(VLOOKUP(I383,Materiales!$A:$G,7,0),"")</f>
        <v/>
      </c>
      <c r="L383" s="8" t="inlineStr">
        <is>
          <t>20250301</t>
        </is>
      </c>
      <c r="M383" s="8" t="inlineStr">
        <is>
          <t>20251031</t>
        </is>
      </c>
      <c r="N383" s="10" t="n">
        <v>346.69</v>
      </c>
      <c r="O383" s="10">
        <f>IFERROR(VLOOKUP(A383,Flete!$A:$J,10,0),"")</f>
        <v/>
      </c>
      <c r="P383" s="8" t="inlineStr">
        <is>
          <t>TN</t>
        </is>
      </c>
      <c r="Q383" s="10">
        <f>IFERROR(IFERROR(VLOOKUP(A383,TRAOPE!$A:$U,21,0),VLOOKUP(B383,TRAOPE!$A:$U,21,0)),"")</f>
        <v/>
      </c>
      <c r="R383" s="8">
        <f>IFERROR(IFERROR(VLOOKUP(A383,TRAOPE!$A:$W,23,0),VLOOKUP(B383,TRAOPE!$A:$W,23,0)),"")</f>
        <v/>
      </c>
      <c r="S383" s="10">
        <f>IF(AND(P383="TN",R383="TN"),N383+N(O383),IF(G383&amp;""="1",N(K383)*N383,(N383+N(O383))*N(K383)))</f>
        <v/>
      </c>
      <c r="T383" s="10">
        <f>IF(Q383="","",Q383-S383)</f>
        <v/>
      </c>
    </row>
    <row r="384">
      <c r="A384" s="7">
        <f>CONCATENATE(C384,E384,F384,I384)</f>
        <v/>
      </c>
      <c r="B384" s="7">
        <f>CONCATENATE(C384,E384,I384)</f>
        <v/>
      </c>
      <c r="C384" s="8" t="n">
        <v>900008643</v>
      </c>
      <c r="D384" s="7">
        <f>IFERROR(VLOOKUP(C384,TRAOPE!$G:$H,2,0),"")</f>
        <v/>
      </c>
      <c r="E384" s="8" t="inlineStr">
        <is>
          <t>DW75</t>
        </is>
      </c>
      <c r="F384" s="8" t="inlineStr">
        <is>
          <t>D343</t>
        </is>
      </c>
      <c r="G384" s="8">
        <f>IFERROR(VLOOKUP(A384,Flete!$A:$E,5,0),"")</f>
        <v/>
      </c>
      <c r="H384" s="7">
        <f>IFERROR(VLOOKUP(F384,TRAOPE!$AA:$AB,2,0),"")</f>
        <v/>
      </c>
      <c r="I384" s="7" t="n">
        <v>10252010</v>
      </c>
      <c r="J384" s="7">
        <f>IFERROR(VLOOKUP(I384,Materiales!$A:$H,8,0),"")</f>
        <v/>
      </c>
      <c r="K384" s="9">
        <f>IFERROR(VLOOKUP(I384,Materiales!$A:$G,7,0),"")</f>
        <v/>
      </c>
      <c r="L384" s="8" t="inlineStr">
        <is>
          <t>20250301</t>
        </is>
      </c>
      <c r="M384" s="8" t="inlineStr">
        <is>
          <t>20251031</t>
        </is>
      </c>
      <c r="N384" s="10" t="n">
        <v>378.58</v>
      </c>
      <c r="O384" s="10">
        <f>IFERROR(VLOOKUP(A384,Flete!$A:$J,10,0),"")</f>
        <v/>
      </c>
      <c r="P384" s="8" t="inlineStr">
        <is>
          <t>TN</t>
        </is>
      </c>
      <c r="Q384" s="10">
        <f>IFERROR(IFERROR(VLOOKUP(A384,TRAOPE!$A:$U,21,0),VLOOKUP(B384,TRAOPE!$A:$U,21,0)),"")</f>
        <v/>
      </c>
      <c r="R384" s="8">
        <f>IFERROR(IFERROR(VLOOKUP(A384,TRAOPE!$A:$W,23,0),VLOOKUP(B384,TRAOPE!$A:$W,23,0)),"")</f>
        <v/>
      </c>
      <c r="S384" s="10">
        <f>IF(AND(P384="TN",R384="TN"),N384+N(O384),IF(G384&amp;""="1",N(K384)*N384,(N384+N(O384))*N(K384)))</f>
        <v/>
      </c>
      <c r="T384" s="10">
        <f>IF(Q384="","",Q384-S384)</f>
        <v/>
      </c>
    </row>
    <row r="385">
      <c r="A385" s="7">
        <f>CONCATENATE(C385,E385,F385,I385)</f>
        <v/>
      </c>
      <c r="B385" s="7">
        <f>CONCATENATE(C385,E385,I385)</f>
        <v/>
      </c>
      <c r="C385" s="8" t="n">
        <v>900008643</v>
      </c>
      <c r="D385" s="7">
        <f>IFERROR(VLOOKUP(C385,TRAOPE!$G:$H,2,0),"")</f>
        <v/>
      </c>
      <c r="E385" s="8" t="inlineStr">
        <is>
          <t>DW75</t>
        </is>
      </c>
      <c r="F385" s="8" t="inlineStr">
        <is>
          <t>D349</t>
        </is>
      </c>
      <c r="G385" s="8">
        <f>IFERROR(VLOOKUP(A385,Flete!$A:$E,5,0),"")</f>
        <v/>
      </c>
      <c r="H385" s="7">
        <f>IFERROR(VLOOKUP(F385,TRAOPE!$AA:$AB,2,0),"")</f>
        <v/>
      </c>
      <c r="I385" s="7" t="n">
        <v>10251252</v>
      </c>
      <c r="J385" s="7">
        <f>IFERROR(VLOOKUP(I385,Materiales!$A:$H,8,0),"")</f>
        <v/>
      </c>
      <c r="K385" s="9">
        <f>IFERROR(VLOOKUP(I385,Materiales!$A:$G,7,0),"")</f>
        <v/>
      </c>
      <c r="L385" s="8" t="inlineStr">
        <is>
          <t>20250906</t>
        </is>
      </c>
      <c r="M385" s="8" t="inlineStr">
        <is>
          <t>20260215</t>
        </is>
      </c>
      <c r="N385" s="10" t="n">
        <v>346.69</v>
      </c>
      <c r="O385" s="10">
        <f>IFERROR(VLOOKUP(A385,Flete!$A:$J,10,0),"")</f>
        <v/>
      </c>
      <c r="P385" s="8" t="inlineStr">
        <is>
          <t>TN</t>
        </is>
      </c>
      <c r="Q385" s="10">
        <f>IFERROR(IFERROR(VLOOKUP(A385,TRAOPE!$A:$U,21,0),VLOOKUP(B385,TRAOPE!$A:$U,21,0)),"")</f>
        <v/>
      </c>
      <c r="R385" s="8">
        <f>IFERROR(IFERROR(VLOOKUP(A385,TRAOPE!$A:$W,23,0),VLOOKUP(B385,TRAOPE!$A:$W,23,0)),"")</f>
        <v/>
      </c>
      <c r="S385" s="10">
        <f>IF(AND(P385="TN",R385="TN"),N385+N(O385),IF(G385&amp;""="1",N(K385)*N385,(N385+N(O385))*N(K385)))</f>
        <v/>
      </c>
      <c r="T385" s="10">
        <f>IF(Q385="","",Q385-S385)</f>
        <v/>
      </c>
    </row>
    <row r="386">
      <c r="A386" s="7">
        <f>CONCATENATE(C386,E386,F386,I386)</f>
        <v/>
      </c>
      <c r="B386" s="7">
        <f>CONCATENATE(C386,E386,I386)</f>
        <v/>
      </c>
      <c r="C386" s="8" t="n">
        <v>900008643</v>
      </c>
      <c r="D386" s="7">
        <f>IFERROR(VLOOKUP(C386,TRAOPE!$G:$H,2,0),"")</f>
        <v/>
      </c>
      <c r="E386" s="8" t="inlineStr">
        <is>
          <t>DW75</t>
        </is>
      </c>
      <c r="F386" s="8" t="inlineStr">
        <is>
          <t>D349</t>
        </is>
      </c>
      <c r="G386" s="8">
        <f>IFERROR(VLOOKUP(A386,Flete!$A:$E,5,0),"")</f>
        <v/>
      </c>
      <c r="H386" s="7">
        <f>IFERROR(VLOOKUP(F386,TRAOPE!$AA:$AB,2,0),"")</f>
        <v/>
      </c>
      <c r="I386" s="7" t="n">
        <v>10252010</v>
      </c>
      <c r="J386" s="7">
        <f>IFERROR(VLOOKUP(I386,Materiales!$A:$H,8,0),"")</f>
        <v/>
      </c>
      <c r="K386" s="9">
        <f>IFERROR(VLOOKUP(I386,Materiales!$A:$G,7,0),"")</f>
        <v/>
      </c>
      <c r="L386" s="8" t="inlineStr">
        <is>
          <t>20240703</t>
        </is>
      </c>
      <c r="M386" s="8" t="inlineStr">
        <is>
          <t>20260215</t>
        </is>
      </c>
      <c r="N386" s="10" t="n">
        <v>378.58</v>
      </c>
      <c r="O386" s="10">
        <f>IFERROR(VLOOKUP(A386,Flete!$A:$J,10,0),"")</f>
        <v/>
      </c>
      <c r="P386" s="8" t="inlineStr">
        <is>
          <t>TN</t>
        </is>
      </c>
      <c r="Q386" s="10">
        <f>IFERROR(IFERROR(VLOOKUP(A386,TRAOPE!$A:$U,21,0),VLOOKUP(B386,TRAOPE!$A:$U,21,0)),"")</f>
        <v/>
      </c>
      <c r="R386" s="8">
        <f>IFERROR(IFERROR(VLOOKUP(A386,TRAOPE!$A:$W,23,0),VLOOKUP(B386,TRAOPE!$A:$W,23,0)),"")</f>
        <v/>
      </c>
      <c r="S386" s="10">
        <f>IF(AND(P386="TN",R386="TN"),N386+N(O386),IF(G386&amp;""="1",N(K386)*N386,(N386+N(O386))*N(K386)))</f>
        <v/>
      </c>
      <c r="T386" s="10">
        <f>IF(Q386="","",Q386-S386)</f>
        <v/>
      </c>
    </row>
    <row r="387">
      <c r="A387" s="7">
        <f>CONCATENATE(C387,E387,F387,I387)</f>
        <v/>
      </c>
      <c r="B387" s="7">
        <f>CONCATENATE(C387,E387,I387)</f>
        <v/>
      </c>
      <c r="C387" s="8" t="n">
        <v>900008644</v>
      </c>
      <c r="D387" s="7">
        <f>IFERROR(VLOOKUP(C387,TRAOPE!$G:$H,2,0),"")</f>
        <v/>
      </c>
      <c r="E387" s="8" t="inlineStr">
        <is>
          <t>DW75</t>
        </is>
      </c>
      <c r="F387" s="8" t="inlineStr">
        <is>
          <t>D278</t>
        </is>
      </c>
      <c r="G387" s="8">
        <f>IFERROR(VLOOKUP(A387,Flete!$A:$E,5,0),"")</f>
        <v/>
      </c>
      <c r="H387" s="7">
        <f>IFERROR(VLOOKUP(F387,TRAOPE!$AA:$AB,2,0),"")</f>
        <v/>
      </c>
      <c r="I387" s="7" t="n">
        <v>10251252</v>
      </c>
      <c r="J387" s="7">
        <f>IFERROR(VLOOKUP(I387,Materiales!$A:$H,8,0),"")</f>
        <v/>
      </c>
      <c r="K387" s="9">
        <f>IFERROR(VLOOKUP(I387,Materiales!$A:$G,7,0),"")</f>
        <v/>
      </c>
      <c r="L387" s="8" t="inlineStr">
        <is>
          <t>20250301</t>
        </is>
      </c>
      <c r="M387" s="8" t="inlineStr">
        <is>
          <t>20251031</t>
        </is>
      </c>
      <c r="N387" s="10" t="n">
        <v>346.69</v>
      </c>
      <c r="O387" s="10">
        <f>IFERROR(VLOOKUP(A387,Flete!$A:$J,10,0),"")</f>
        <v/>
      </c>
      <c r="P387" s="8" t="inlineStr">
        <is>
          <t>TN</t>
        </is>
      </c>
      <c r="Q387" s="10">
        <f>IFERROR(IFERROR(VLOOKUP(A387,TRAOPE!$A:$U,21,0),VLOOKUP(B387,TRAOPE!$A:$U,21,0)),"")</f>
        <v/>
      </c>
      <c r="R387" s="8">
        <f>IFERROR(IFERROR(VLOOKUP(A387,TRAOPE!$A:$W,23,0),VLOOKUP(B387,TRAOPE!$A:$W,23,0)),"")</f>
        <v/>
      </c>
      <c r="S387" s="10">
        <f>IF(AND(P387="TN",R387="TN"),N387+N(O387),IF(G387&amp;""="1",N(K387)*N387,(N387+N(O387))*N(K387)))</f>
        <v/>
      </c>
      <c r="T387" s="10">
        <f>IF(Q387="","",Q387-S387)</f>
        <v/>
      </c>
    </row>
    <row r="388">
      <c r="A388" s="7">
        <f>CONCATENATE(C388,E388,F388,I388)</f>
        <v/>
      </c>
      <c r="B388" s="7">
        <f>CONCATENATE(C388,E388,I388)</f>
        <v/>
      </c>
      <c r="C388" s="8" t="n">
        <v>900008644</v>
      </c>
      <c r="D388" s="7">
        <f>IFERROR(VLOOKUP(C388,TRAOPE!$G:$H,2,0),"")</f>
        <v/>
      </c>
      <c r="E388" s="8" t="inlineStr">
        <is>
          <t>DW75</t>
        </is>
      </c>
      <c r="F388" s="8" t="inlineStr">
        <is>
          <t>D278</t>
        </is>
      </c>
      <c r="G388" s="8">
        <f>IFERROR(VLOOKUP(A388,Flete!$A:$E,5,0),"")</f>
        <v/>
      </c>
      <c r="H388" s="7">
        <f>IFERROR(VLOOKUP(F388,TRAOPE!$AA:$AB,2,0),"")</f>
        <v/>
      </c>
      <c r="I388" s="7" t="n">
        <v>10252010</v>
      </c>
      <c r="J388" s="7">
        <f>IFERROR(VLOOKUP(I388,Materiales!$A:$H,8,0),"")</f>
        <v/>
      </c>
      <c r="K388" s="9">
        <f>IFERROR(VLOOKUP(I388,Materiales!$A:$G,7,0),"")</f>
        <v/>
      </c>
      <c r="L388" s="8" t="inlineStr">
        <is>
          <t>20250301</t>
        </is>
      </c>
      <c r="M388" s="8" t="inlineStr">
        <is>
          <t>20251031</t>
        </is>
      </c>
      <c r="N388" s="10" t="n">
        <v>378.58</v>
      </c>
      <c r="O388" s="10">
        <f>IFERROR(VLOOKUP(A388,Flete!$A:$J,10,0),"")</f>
        <v/>
      </c>
      <c r="P388" s="8" t="inlineStr">
        <is>
          <t>TN</t>
        </is>
      </c>
      <c r="Q388" s="10">
        <f>IFERROR(IFERROR(VLOOKUP(A388,TRAOPE!$A:$U,21,0),VLOOKUP(B388,TRAOPE!$A:$U,21,0)),"")</f>
        <v/>
      </c>
      <c r="R388" s="8">
        <f>IFERROR(IFERROR(VLOOKUP(A388,TRAOPE!$A:$W,23,0),VLOOKUP(B388,TRAOPE!$A:$W,23,0)),"")</f>
        <v/>
      </c>
      <c r="S388" s="10">
        <f>IF(AND(P388="TN",R388="TN"),N388+N(O388),IF(G388&amp;""="1",N(K388)*N388,(N388+N(O388))*N(K388)))</f>
        <v/>
      </c>
      <c r="T388" s="10">
        <f>IF(Q388="","",Q388-S388)</f>
        <v/>
      </c>
    </row>
    <row r="389">
      <c r="A389" s="7">
        <f>CONCATENATE(C389,E389,F389,I389)</f>
        <v/>
      </c>
      <c r="B389" s="7">
        <f>CONCATENATE(C389,E389,I389)</f>
        <v/>
      </c>
      <c r="C389" s="8" t="n">
        <v>900008644</v>
      </c>
      <c r="D389" s="7">
        <f>IFERROR(VLOOKUP(C389,TRAOPE!$G:$H,2,0),"")</f>
        <v/>
      </c>
      <c r="E389" s="8" t="inlineStr">
        <is>
          <t>DW75</t>
        </is>
      </c>
      <c r="F389" s="8" t="inlineStr">
        <is>
          <t>D343</t>
        </is>
      </c>
      <c r="G389" s="8">
        <f>IFERROR(VLOOKUP(A389,Flete!$A:$E,5,0),"")</f>
        <v/>
      </c>
      <c r="H389" s="7">
        <f>IFERROR(VLOOKUP(F389,TRAOPE!$AA:$AB,2,0),"")</f>
        <v/>
      </c>
      <c r="I389" s="7" t="n">
        <v>10251252</v>
      </c>
      <c r="J389" s="7">
        <f>IFERROR(VLOOKUP(I389,Materiales!$A:$H,8,0),"")</f>
        <v/>
      </c>
      <c r="K389" s="9">
        <f>IFERROR(VLOOKUP(I389,Materiales!$A:$G,7,0),"")</f>
        <v/>
      </c>
      <c r="L389" s="8" t="inlineStr">
        <is>
          <t>20250301</t>
        </is>
      </c>
      <c r="M389" s="8" t="inlineStr">
        <is>
          <t>20251031</t>
        </is>
      </c>
      <c r="N389" s="10" t="n">
        <v>346.69</v>
      </c>
      <c r="O389" s="10">
        <f>IFERROR(VLOOKUP(A389,Flete!$A:$J,10,0),"")</f>
        <v/>
      </c>
      <c r="P389" s="8" t="inlineStr">
        <is>
          <t>TN</t>
        </is>
      </c>
      <c r="Q389" s="10">
        <f>IFERROR(IFERROR(VLOOKUP(A389,TRAOPE!$A:$U,21,0),VLOOKUP(B389,TRAOPE!$A:$U,21,0)),"")</f>
        <v/>
      </c>
      <c r="R389" s="8">
        <f>IFERROR(IFERROR(VLOOKUP(A389,TRAOPE!$A:$W,23,0),VLOOKUP(B389,TRAOPE!$A:$W,23,0)),"")</f>
        <v/>
      </c>
      <c r="S389" s="10">
        <f>IF(AND(P389="TN",R389="TN"),N389+N(O389),IF(G389&amp;""="1",N(K389)*N389,(N389+N(O389))*N(K389)))</f>
        <v/>
      </c>
      <c r="T389" s="10">
        <f>IF(Q389="","",Q389-S389)</f>
        <v/>
      </c>
    </row>
    <row r="390">
      <c r="A390" s="7">
        <f>CONCATENATE(C390,E390,F390,I390)</f>
        <v/>
      </c>
      <c r="B390" s="7">
        <f>CONCATENATE(C390,E390,I390)</f>
        <v/>
      </c>
      <c r="C390" s="8" t="n">
        <v>900008644</v>
      </c>
      <c r="D390" s="7">
        <f>IFERROR(VLOOKUP(C390,TRAOPE!$G:$H,2,0),"")</f>
        <v/>
      </c>
      <c r="E390" s="8" t="inlineStr">
        <is>
          <t>DW75</t>
        </is>
      </c>
      <c r="F390" s="8" t="inlineStr">
        <is>
          <t>D343</t>
        </is>
      </c>
      <c r="G390" s="8">
        <f>IFERROR(VLOOKUP(A390,Flete!$A:$E,5,0),"")</f>
        <v/>
      </c>
      <c r="H390" s="7">
        <f>IFERROR(VLOOKUP(F390,TRAOPE!$AA:$AB,2,0),"")</f>
        <v/>
      </c>
      <c r="I390" s="7" t="n">
        <v>10252010</v>
      </c>
      <c r="J390" s="7">
        <f>IFERROR(VLOOKUP(I390,Materiales!$A:$H,8,0),"")</f>
        <v/>
      </c>
      <c r="K390" s="9">
        <f>IFERROR(VLOOKUP(I390,Materiales!$A:$G,7,0),"")</f>
        <v/>
      </c>
      <c r="L390" s="8" t="inlineStr">
        <is>
          <t>20250301</t>
        </is>
      </c>
      <c r="M390" s="8" t="inlineStr">
        <is>
          <t>20251031</t>
        </is>
      </c>
      <c r="N390" s="10" t="n">
        <v>378.58</v>
      </c>
      <c r="O390" s="10">
        <f>IFERROR(VLOOKUP(A390,Flete!$A:$J,10,0),"")</f>
        <v/>
      </c>
      <c r="P390" s="8" t="inlineStr">
        <is>
          <t>TN</t>
        </is>
      </c>
      <c r="Q390" s="10">
        <f>IFERROR(IFERROR(VLOOKUP(A390,TRAOPE!$A:$U,21,0),VLOOKUP(B390,TRAOPE!$A:$U,21,0)),"")</f>
        <v/>
      </c>
      <c r="R390" s="8">
        <f>IFERROR(IFERROR(VLOOKUP(A390,TRAOPE!$A:$W,23,0),VLOOKUP(B390,TRAOPE!$A:$W,23,0)),"")</f>
        <v/>
      </c>
      <c r="S390" s="10">
        <f>IF(AND(P390="TN",R390="TN"),N390+N(O390),IF(G390&amp;""="1",N(K390)*N390,(N390+N(O390))*N(K390)))</f>
        <v/>
      </c>
      <c r="T390" s="10">
        <f>IF(Q390="","",Q390-S390)</f>
        <v/>
      </c>
    </row>
    <row r="391">
      <c r="A391" s="7">
        <f>CONCATENATE(C391,E391,F391,I391)</f>
        <v/>
      </c>
      <c r="B391" s="7">
        <f>CONCATENATE(C391,E391,I391)</f>
        <v/>
      </c>
      <c r="C391" s="8" t="n">
        <v>900008644</v>
      </c>
      <c r="D391" s="7">
        <f>IFERROR(VLOOKUP(C391,TRAOPE!$G:$H,2,0),"")</f>
        <v/>
      </c>
      <c r="E391" s="8" t="inlineStr">
        <is>
          <t>DW75</t>
        </is>
      </c>
      <c r="F391" s="8" t="inlineStr">
        <is>
          <t>D349</t>
        </is>
      </c>
      <c r="G391" s="8">
        <f>IFERROR(VLOOKUP(A391,Flete!$A:$E,5,0),"")</f>
        <v/>
      </c>
      <c r="H391" s="7">
        <f>IFERROR(VLOOKUP(F391,TRAOPE!$AA:$AB,2,0),"")</f>
        <v/>
      </c>
      <c r="I391" s="7" t="n">
        <v>10251252</v>
      </c>
      <c r="J391" s="7">
        <f>IFERROR(VLOOKUP(I391,Materiales!$A:$H,8,0),"")</f>
        <v/>
      </c>
      <c r="K391" s="9">
        <f>IFERROR(VLOOKUP(I391,Materiales!$A:$G,7,0),"")</f>
        <v/>
      </c>
      <c r="L391" s="8" t="inlineStr">
        <is>
          <t>20250301</t>
        </is>
      </c>
      <c r="M391" s="8" t="inlineStr">
        <is>
          <t>20251031</t>
        </is>
      </c>
      <c r="N391" s="10" t="n">
        <v>346.69</v>
      </c>
      <c r="O391" s="10">
        <f>IFERROR(VLOOKUP(A391,Flete!$A:$J,10,0),"")</f>
        <v/>
      </c>
      <c r="P391" s="8" t="inlineStr">
        <is>
          <t>TN</t>
        </is>
      </c>
      <c r="Q391" s="10">
        <f>IFERROR(IFERROR(VLOOKUP(A391,TRAOPE!$A:$U,21,0),VLOOKUP(B391,TRAOPE!$A:$U,21,0)),"")</f>
        <v/>
      </c>
      <c r="R391" s="8">
        <f>IFERROR(IFERROR(VLOOKUP(A391,TRAOPE!$A:$W,23,0),VLOOKUP(B391,TRAOPE!$A:$W,23,0)),"")</f>
        <v/>
      </c>
      <c r="S391" s="10">
        <f>IF(AND(P391="TN",R391="TN"),N391+N(O391),IF(G391&amp;""="1",N(K391)*N391,(N391+N(O391))*N(K391)))</f>
        <v/>
      </c>
      <c r="T391" s="10">
        <f>IF(Q391="","",Q391-S391)</f>
        <v/>
      </c>
    </row>
    <row r="392">
      <c r="A392" s="7">
        <f>CONCATENATE(C392,E392,F392,I392)</f>
        <v/>
      </c>
      <c r="B392" s="7">
        <f>CONCATENATE(C392,E392,I392)</f>
        <v/>
      </c>
      <c r="C392" s="8" t="n">
        <v>900008644</v>
      </c>
      <c r="D392" s="7">
        <f>IFERROR(VLOOKUP(C392,TRAOPE!$G:$H,2,0),"")</f>
        <v/>
      </c>
      <c r="E392" s="8" t="inlineStr">
        <is>
          <t>DW75</t>
        </is>
      </c>
      <c r="F392" s="8" t="inlineStr">
        <is>
          <t>D349</t>
        </is>
      </c>
      <c r="G392" s="8">
        <f>IFERROR(VLOOKUP(A392,Flete!$A:$E,5,0),"")</f>
        <v/>
      </c>
      <c r="H392" s="7">
        <f>IFERROR(VLOOKUP(F392,TRAOPE!$AA:$AB,2,0),"")</f>
        <v/>
      </c>
      <c r="I392" s="7" t="n">
        <v>10252010</v>
      </c>
      <c r="J392" s="7">
        <f>IFERROR(VLOOKUP(I392,Materiales!$A:$H,8,0),"")</f>
        <v/>
      </c>
      <c r="K392" s="9">
        <f>IFERROR(VLOOKUP(I392,Materiales!$A:$G,7,0),"")</f>
        <v/>
      </c>
      <c r="L392" s="8" t="inlineStr">
        <is>
          <t>20250301</t>
        </is>
      </c>
      <c r="M392" s="8" t="inlineStr">
        <is>
          <t>20251031</t>
        </is>
      </c>
      <c r="N392" s="10" t="n">
        <v>378.58</v>
      </c>
      <c r="O392" s="10">
        <f>IFERROR(VLOOKUP(A392,Flete!$A:$J,10,0),"")</f>
        <v/>
      </c>
      <c r="P392" s="8" t="inlineStr">
        <is>
          <t>TN</t>
        </is>
      </c>
      <c r="Q392" s="10">
        <f>IFERROR(IFERROR(VLOOKUP(A392,TRAOPE!$A:$U,21,0),VLOOKUP(B392,TRAOPE!$A:$U,21,0)),"")</f>
        <v/>
      </c>
      <c r="R392" s="8">
        <f>IFERROR(IFERROR(VLOOKUP(A392,TRAOPE!$A:$W,23,0),VLOOKUP(B392,TRAOPE!$A:$W,23,0)),"")</f>
        <v/>
      </c>
      <c r="S392" s="10">
        <f>IF(AND(P392="TN",R392="TN"),N392+N(O392),IF(G392&amp;""="1",N(K392)*N392,(N392+N(O392))*N(K392)))</f>
        <v/>
      </c>
      <c r="T392" s="10">
        <f>IF(Q392="","",Q392-S392)</f>
        <v/>
      </c>
    </row>
    <row r="393">
      <c r="A393" s="7">
        <f>CONCATENATE(C393,E393,F393,I393)</f>
        <v/>
      </c>
      <c r="B393" s="7">
        <f>CONCATENATE(C393,E393,I393)</f>
        <v/>
      </c>
      <c r="C393" s="8" t="n">
        <v>900008644</v>
      </c>
      <c r="D393" s="7">
        <f>IFERROR(VLOOKUP(C393,TRAOPE!$G:$H,2,0),"")</f>
        <v/>
      </c>
      <c r="E393" s="8" t="inlineStr">
        <is>
          <t>DW75</t>
        </is>
      </c>
      <c r="F393" s="8" t="inlineStr">
        <is>
          <t>ER00</t>
        </is>
      </c>
      <c r="G393" s="8">
        <f>IFERROR(VLOOKUP(A393,Flete!$A:$E,5,0),"")</f>
        <v/>
      </c>
      <c r="H393" s="7">
        <f>IFERROR(VLOOKUP(F393,TRAOPE!$AA:$AB,2,0),"")</f>
        <v/>
      </c>
      <c r="I393" s="7" t="n">
        <v>10251252</v>
      </c>
      <c r="J393" s="7">
        <f>IFERROR(VLOOKUP(I393,Materiales!$A:$H,8,0),"")</f>
        <v/>
      </c>
      <c r="K393" s="9">
        <f>IFERROR(VLOOKUP(I393,Materiales!$A:$G,7,0),"")</f>
        <v/>
      </c>
      <c r="L393" s="8" t="inlineStr">
        <is>
          <t>20240401</t>
        </is>
      </c>
      <c r="M393" s="8" t="inlineStr">
        <is>
          <t>20240405</t>
        </is>
      </c>
      <c r="N393" s="10" t="n">
        <v>384.07</v>
      </c>
      <c r="O393" s="10">
        <f>IFERROR(VLOOKUP(A393,Flete!$A:$J,10,0),"")</f>
        <v/>
      </c>
      <c r="P393" s="8" t="inlineStr">
        <is>
          <t>TN</t>
        </is>
      </c>
      <c r="Q393" s="10">
        <f>IFERROR(IFERROR(VLOOKUP(A393,TRAOPE!$A:$U,21,0),VLOOKUP(B393,TRAOPE!$A:$U,21,0)),"")</f>
        <v/>
      </c>
      <c r="R393" s="8">
        <f>IFERROR(IFERROR(VLOOKUP(A393,TRAOPE!$A:$W,23,0),VLOOKUP(B393,TRAOPE!$A:$W,23,0)),"")</f>
        <v/>
      </c>
      <c r="S393" s="10">
        <f>IF(AND(P393="TN",R393="TN"),N393+N(O393),IF(G393&amp;""="1",N(K393)*N393,(N393+N(O393))*N(K393)))</f>
        <v/>
      </c>
      <c r="T393" s="10">
        <f>IF(Q393="","",Q393-S393)</f>
        <v/>
      </c>
    </row>
    <row r="394">
      <c r="A394" s="7">
        <f>CONCATENATE(C394,E394,F394,I394)</f>
        <v/>
      </c>
      <c r="B394" s="7">
        <f>CONCATENATE(C394,E394,I394)</f>
        <v/>
      </c>
      <c r="C394" s="8" t="n">
        <v>900008644</v>
      </c>
      <c r="D394" s="7">
        <f>IFERROR(VLOOKUP(C394,TRAOPE!$G:$H,2,0),"")</f>
        <v/>
      </c>
      <c r="E394" s="8" t="inlineStr">
        <is>
          <t>DW75</t>
        </is>
      </c>
      <c r="F394" s="8" t="inlineStr">
        <is>
          <t>ER00</t>
        </is>
      </c>
      <c r="G394" s="8">
        <f>IFERROR(VLOOKUP(A394,Flete!$A:$E,5,0),"")</f>
        <v/>
      </c>
      <c r="H394" s="7">
        <f>IFERROR(VLOOKUP(F394,TRAOPE!$AA:$AB,2,0),"")</f>
        <v/>
      </c>
      <c r="I394" s="7" t="n">
        <v>10252010</v>
      </c>
      <c r="J394" s="7">
        <f>IFERROR(VLOOKUP(I394,Materiales!$A:$H,8,0),"")</f>
        <v/>
      </c>
      <c r="K394" s="9">
        <f>IFERROR(VLOOKUP(I394,Materiales!$A:$G,7,0),"")</f>
        <v/>
      </c>
      <c r="L394" s="8" t="inlineStr">
        <is>
          <t>20240401</t>
        </is>
      </c>
      <c r="M394" s="8" t="inlineStr">
        <is>
          <t>20240405</t>
        </is>
      </c>
      <c r="N394" s="10" t="n">
        <v>341.64</v>
      </c>
      <c r="O394" s="10">
        <f>IFERROR(VLOOKUP(A394,Flete!$A:$J,10,0),"")</f>
        <v/>
      </c>
      <c r="P394" s="8" t="inlineStr">
        <is>
          <t>TN</t>
        </is>
      </c>
      <c r="Q394" s="10">
        <f>IFERROR(IFERROR(VLOOKUP(A394,TRAOPE!$A:$U,21,0),VLOOKUP(B394,TRAOPE!$A:$U,21,0)),"")</f>
        <v/>
      </c>
      <c r="R394" s="8">
        <f>IFERROR(IFERROR(VLOOKUP(A394,TRAOPE!$A:$W,23,0),VLOOKUP(B394,TRAOPE!$A:$W,23,0)),"")</f>
        <v/>
      </c>
      <c r="S394" s="10">
        <f>IF(AND(P394="TN",R394="TN"),N394+N(O394),IF(G394&amp;""="1",N(K394)*N394,(N394+N(O394))*N(K394)))</f>
        <v/>
      </c>
      <c r="T394" s="10">
        <f>IF(Q394="","",Q394-S394)</f>
        <v/>
      </c>
    </row>
    <row r="395">
      <c r="A395" s="7">
        <f>CONCATENATE(C395,E395,F395,I395)</f>
        <v/>
      </c>
      <c r="B395" s="7">
        <f>CONCATENATE(C395,E395,I395)</f>
        <v/>
      </c>
      <c r="C395" s="8" t="n">
        <v>900008652</v>
      </c>
      <c r="D395" s="7">
        <f>IFERROR(VLOOKUP(C395,TRAOPE!$G:$H,2,0),"")</f>
        <v/>
      </c>
      <c r="E395" s="8" t="inlineStr">
        <is>
          <t>DW75</t>
        </is>
      </c>
      <c r="F395" s="8" t="inlineStr">
        <is>
          <t>D278</t>
        </is>
      </c>
      <c r="G395" s="8">
        <f>IFERROR(VLOOKUP(A395,Flete!$A:$E,5,0),"")</f>
        <v/>
      </c>
      <c r="H395" s="7">
        <f>IFERROR(VLOOKUP(F395,TRAOPE!$AA:$AB,2,0),"")</f>
        <v/>
      </c>
      <c r="I395" s="7" t="n">
        <v>10251252</v>
      </c>
      <c r="J395" s="7">
        <f>IFERROR(VLOOKUP(I395,Materiales!$A:$H,8,0),"")</f>
        <v/>
      </c>
      <c r="K395" s="9">
        <f>IFERROR(VLOOKUP(I395,Materiales!$A:$G,7,0),"")</f>
        <v/>
      </c>
      <c r="L395" s="8" t="inlineStr">
        <is>
          <t>20250301</t>
        </is>
      </c>
      <c r="M395" s="8" t="inlineStr">
        <is>
          <t>20251031</t>
        </is>
      </c>
      <c r="N395" s="10" t="n">
        <v>482.28</v>
      </c>
      <c r="O395" s="10">
        <f>IFERROR(VLOOKUP(A395,Flete!$A:$J,10,0),"")</f>
        <v/>
      </c>
      <c r="P395" s="8" t="inlineStr">
        <is>
          <t>TN</t>
        </is>
      </c>
      <c r="Q395" s="10">
        <f>IFERROR(IFERROR(VLOOKUP(A395,TRAOPE!$A:$U,21,0),VLOOKUP(B395,TRAOPE!$A:$U,21,0)),"")</f>
        <v/>
      </c>
      <c r="R395" s="8">
        <f>IFERROR(IFERROR(VLOOKUP(A395,TRAOPE!$A:$W,23,0),VLOOKUP(B395,TRAOPE!$A:$W,23,0)),"")</f>
        <v/>
      </c>
      <c r="S395" s="10">
        <f>IF(AND(P395="TN",R395="TN"),N395+N(O395),IF(G395&amp;""="1",N(K395)*N395,(N395+N(O395))*N(K395)))</f>
        <v/>
      </c>
      <c r="T395" s="10">
        <f>IF(Q395="","",Q395-S395)</f>
        <v/>
      </c>
    </row>
    <row r="396">
      <c r="A396" s="7">
        <f>CONCATENATE(C396,E396,F396,I396)</f>
        <v/>
      </c>
      <c r="B396" s="7">
        <f>CONCATENATE(C396,E396,I396)</f>
        <v/>
      </c>
      <c r="C396" s="8" t="n">
        <v>900008652</v>
      </c>
      <c r="D396" s="7">
        <f>IFERROR(VLOOKUP(C396,TRAOPE!$G:$H,2,0),"")</f>
        <v/>
      </c>
      <c r="E396" s="8" t="inlineStr">
        <is>
          <t>DW75</t>
        </is>
      </c>
      <c r="F396" s="8" t="inlineStr">
        <is>
          <t>D278</t>
        </is>
      </c>
      <c r="G396" s="8">
        <f>IFERROR(VLOOKUP(A396,Flete!$A:$E,5,0),"")</f>
        <v/>
      </c>
      <c r="H396" s="7">
        <f>IFERROR(VLOOKUP(F396,TRAOPE!$AA:$AB,2,0),"")</f>
        <v/>
      </c>
      <c r="I396" s="7" t="n">
        <v>10252010</v>
      </c>
      <c r="J396" s="7">
        <f>IFERROR(VLOOKUP(I396,Materiales!$A:$H,8,0),"")</f>
        <v/>
      </c>
      <c r="K396" s="9">
        <f>IFERROR(VLOOKUP(I396,Materiales!$A:$G,7,0),"")</f>
        <v/>
      </c>
      <c r="L396" s="8" t="inlineStr">
        <is>
          <t>20250301</t>
        </is>
      </c>
      <c r="M396" s="8" t="inlineStr">
        <is>
          <t>20251031</t>
        </is>
      </c>
      <c r="N396" s="10" t="n">
        <v>524.47</v>
      </c>
      <c r="O396" s="10">
        <f>IFERROR(VLOOKUP(A396,Flete!$A:$J,10,0),"")</f>
        <v/>
      </c>
      <c r="P396" s="8" t="inlineStr">
        <is>
          <t>TN</t>
        </is>
      </c>
      <c r="Q396" s="10">
        <f>IFERROR(IFERROR(VLOOKUP(A396,TRAOPE!$A:$U,21,0),VLOOKUP(B396,TRAOPE!$A:$U,21,0)),"")</f>
        <v/>
      </c>
      <c r="R396" s="8">
        <f>IFERROR(IFERROR(VLOOKUP(A396,TRAOPE!$A:$W,23,0),VLOOKUP(B396,TRAOPE!$A:$W,23,0)),"")</f>
        <v/>
      </c>
      <c r="S396" s="10">
        <f>IF(AND(P396="TN",R396="TN"),N396+N(O396),IF(G396&amp;""="1",N(K396)*N396,(N396+N(O396))*N(K396)))</f>
        <v/>
      </c>
      <c r="T396" s="10">
        <f>IF(Q396="","",Q396-S396)</f>
        <v/>
      </c>
    </row>
    <row r="397">
      <c r="A397" s="7">
        <f>CONCATENATE(C397,E397,F397,I397)</f>
        <v/>
      </c>
      <c r="B397" s="7">
        <f>CONCATENATE(C397,E397,I397)</f>
        <v/>
      </c>
      <c r="C397" s="8" t="n">
        <v>900008652</v>
      </c>
      <c r="D397" s="7">
        <f>IFERROR(VLOOKUP(C397,TRAOPE!$G:$H,2,0),"")</f>
        <v/>
      </c>
      <c r="E397" s="8" t="inlineStr">
        <is>
          <t>DW75</t>
        </is>
      </c>
      <c r="F397" s="8" t="inlineStr">
        <is>
          <t>D343</t>
        </is>
      </c>
      <c r="G397" s="8">
        <f>IFERROR(VLOOKUP(A397,Flete!$A:$E,5,0),"")</f>
        <v/>
      </c>
      <c r="H397" s="7">
        <f>IFERROR(VLOOKUP(F397,TRAOPE!$AA:$AB,2,0),"")</f>
        <v/>
      </c>
      <c r="I397" s="7" t="n">
        <v>10251252</v>
      </c>
      <c r="J397" s="7">
        <f>IFERROR(VLOOKUP(I397,Materiales!$A:$H,8,0),"")</f>
        <v/>
      </c>
      <c r="K397" s="9">
        <f>IFERROR(VLOOKUP(I397,Materiales!$A:$G,7,0),"")</f>
        <v/>
      </c>
      <c r="L397" s="8" t="inlineStr">
        <is>
          <t>20250301</t>
        </is>
      </c>
      <c r="M397" s="8" t="inlineStr">
        <is>
          <t>20251031</t>
        </is>
      </c>
      <c r="N397" s="10" t="n">
        <v>482.28</v>
      </c>
      <c r="O397" s="10">
        <f>IFERROR(VLOOKUP(A397,Flete!$A:$J,10,0),"")</f>
        <v/>
      </c>
      <c r="P397" s="8" t="inlineStr">
        <is>
          <t>TN</t>
        </is>
      </c>
      <c r="Q397" s="10">
        <f>IFERROR(IFERROR(VLOOKUP(A397,TRAOPE!$A:$U,21,0),VLOOKUP(B397,TRAOPE!$A:$U,21,0)),"")</f>
        <v/>
      </c>
      <c r="R397" s="8">
        <f>IFERROR(IFERROR(VLOOKUP(A397,TRAOPE!$A:$W,23,0),VLOOKUP(B397,TRAOPE!$A:$W,23,0)),"")</f>
        <v/>
      </c>
      <c r="S397" s="10">
        <f>IF(AND(P397="TN",R397="TN"),N397+N(O397),IF(G397&amp;""="1",N(K397)*N397,(N397+N(O397))*N(K397)))</f>
        <v/>
      </c>
      <c r="T397" s="10">
        <f>IF(Q397="","",Q397-S397)</f>
        <v/>
      </c>
    </row>
    <row r="398">
      <c r="A398" s="7">
        <f>CONCATENATE(C398,E398,F398,I398)</f>
        <v/>
      </c>
      <c r="B398" s="7">
        <f>CONCATENATE(C398,E398,I398)</f>
        <v/>
      </c>
      <c r="C398" s="8" t="n">
        <v>900008652</v>
      </c>
      <c r="D398" s="7">
        <f>IFERROR(VLOOKUP(C398,TRAOPE!$G:$H,2,0),"")</f>
        <v/>
      </c>
      <c r="E398" s="8" t="inlineStr">
        <is>
          <t>DW75</t>
        </is>
      </c>
      <c r="F398" s="8" t="inlineStr">
        <is>
          <t>D343</t>
        </is>
      </c>
      <c r="G398" s="8">
        <f>IFERROR(VLOOKUP(A398,Flete!$A:$E,5,0),"")</f>
        <v/>
      </c>
      <c r="H398" s="7">
        <f>IFERROR(VLOOKUP(F398,TRAOPE!$AA:$AB,2,0),"")</f>
        <v/>
      </c>
      <c r="I398" s="7" t="n">
        <v>10252010</v>
      </c>
      <c r="J398" s="7">
        <f>IFERROR(VLOOKUP(I398,Materiales!$A:$H,8,0),"")</f>
        <v/>
      </c>
      <c r="K398" s="9">
        <f>IFERROR(VLOOKUP(I398,Materiales!$A:$G,7,0),"")</f>
        <v/>
      </c>
      <c r="L398" s="8" t="inlineStr">
        <is>
          <t>20250301</t>
        </is>
      </c>
      <c r="M398" s="8" t="inlineStr">
        <is>
          <t>20251031</t>
        </is>
      </c>
      <c r="N398" s="10" t="n">
        <v>524.47</v>
      </c>
      <c r="O398" s="10">
        <f>IFERROR(VLOOKUP(A398,Flete!$A:$J,10,0),"")</f>
        <v/>
      </c>
      <c r="P398" s="8" t="inlineStr">
        <is>
          <t>TN</t>
        </is>
      </c>
      <c r="Q398" s="10">
        <f>IFERROR(IFERROR(VLOOKUP(A398,TRAOPE!$A:$U,21,0),VLOOKUP(B398,TRAOPE!$A:$U,21,0)),"")</f>
        <v/>
      </c>
      <c r="R398" s="8">
        <f>IFERROR(IFERROR(VLOOKUP(A398,TRAOPE!$A:$W,23,0),VLOOKUP(B398,TRAOPE!$A:$W,23,0)),"")</f>
        <v/>
      </c>
      <c r="S398" s="10">
        <f>IF(AND(P398="TN",R398="TN"),N398+N(O398),IF(G398&amp;""="1",N(K398)*N398,(N398+N(O398))*N(K398)))</f>
        <v/>
      </c>
      <c r="T398" s="10">
        <f>IF(Q398="","",Q398-S398)</f>
        <v/>
      </c>
    </row>
    <row r="399">
      <c r="A399" s="7">
        <f>CONCATENATE(C399,E399,F399,I399)</f>
        <v/>
      </c>
      <c r="B399" s="7">
        <f>CONCATENATE(C399,E399,I399)</f>
        <v/>
      </c>
      <c r="C399" s="8" t="n">
        <v>900008652</v>
      </c>
      <c r="D399" s="7">
        <f>IFERROR(VLOOKUP(C399,TRAOPE!$G:$H,2,0),"")</f>
        <v/>
      </c>
      <c r="E399" s="8" t="inlineStr">
        <is>
          <t>DW75</t>
        </is>
      </c>
      <c r="F399" s="8" t="inlineStr">
        <is>
          <t>D349</t>
        </is>
      </c>
      <c r="G399" s="8">
        <f>IFERROR(VLOOKUP(A399,Flete!$A:$E,5,0),"")</f>
        <v/>
      </c>
      <c r="H399" s="7">
        <f>IFERROR(VLOOKUP(F399,TRAOPE!$AA:$AB,2,0),"")</f>
        <v/>
      </c>
      <c r="I399" s="7" t="n">
        <v>10251252</v>
      </c>
      <c r="J399" s="7">
        <f>IFERROR(VLOOKUP(I399,Materiales!$A:$H,8,0),"")</f>
        <v/>
      </c>
      <c r="K399" s="9">
        <f>IFERROR(VLOOKUP(I399,Materiales!$A:$G,7,0),"")</f>
        <v/>
      </c>
      <c r="L399" s="8" t="inlineStr">
        <is>
          <t>20250301</t>
        </is>
      </c>
      <c r="M399" s="8" t="inlineStr">
        <is>
          <t>20251031</t>
        </is>
      </c>
      <c r="N399" s="10" t="n">
        <v>482.28</v>
      </c>
      <c r="O399" s="10">
        <f>IFERROR(VLOOKUP(A399,Flete!$A:$J,10,0),"")</f>
        <v/>
      </c>
      <c r="P399" s="8" t="inlineStr">
        <is>
          <t>TN</t>
        </is>
      </c>
      <c r="Q399" s="10">
        <f>IFERROR(IFERROR(VLOOKUP(A399,TRAOPE!$A:$U,21,0),VLOOKUP(B399,TRAOPE!$A:$U,21,0)),"")</f>
        <v/>
      </c>
      <c r="R399" s="8">
        <f>IFERROR(IFERROR(VLOOKUP(A399,TRAOPE!$A:$W,23,0),VLOOKUP(B399,TRAOPE!$A:$W,23,0)),"")</f>
        <v/>
      </c>
      <c r="S399" s="10">
        <f>IF(AND(P399="TN",R399="TN"),N399+N(O399),IF(G399&amp;""="1",N(K399)*N399,(N399+N(O399))*N(K399)))</f>
        <v/>
      </c>
      <c r="T399" s="10">
        <f>IF(Q399="","",Q399-S399)</f>
        <v/>
      </c>
    </row>
    <row r="400">
      <c r="A400" s="7">
        <f>CONCATENATE(C400,E400,F400,I400)</f>
        <v/>
      </c>
      <c r="B400" s="7">
        <f>CONCATENATE(C400,E400,I400)</f>
        <v/>
      </c>
      <c r="C400" s="8" t="n">
        <v>900008652</v>
      </c>
      <c r="D400" s="7">
        <f>IFERROR(VLOOKUP(C400,TRAOPE!$G:$H,2,0),"")</f>
        <v/>
      </c>
      <c r="E400" s="8" t="inlineStr">
        <is>
          <t>DW75</t>
        </is>
      </c>
      <c r="F400" s="8" t="inlineStr">
        <is>
          <t>D349</t>
        </is>
      </c>
      <c r="G400" s="8">
        <f>IFERROR(VLOOKUP(A400,Flete!$A:$E,5,0),"")</f>
        <v/>
      </c>
      <c r="H400" s="7">
        <f>IFERROR(VLOOKUP(F400,TRAOPE!$AA:$AB,2,0),"")</f>
        <v/>
      </c>
      <c r="I400" s="7" t="n">
        <v>10252010</v>
      </c>
      <c r="J400" s="7">
        <f>IFERROR(VLOOKUP(I400,Materiales!$A:$H,8,0),"")</f>
        <v/>
      </c>
      <c r="K400" s="9">
        <f>IFERROR(VLOOKUP(I400,Materiales!$A:$G,7,0),"")</f>
        <v/>
      </c>
      <c r="L400" s="8" t="inlineStr">
        <is>
          <t>20250301</t>
        </is>
      </c>
      <c r="M400" s="8" t="inlineStr">
        <is>
          <t>20251031</t>
        </is>
      </c>
      <c r="N400" s="10" t="n">
        <v>524.47</v>
      </c>
      <c r="O400" s="10">
        <f>IFERROR(VLOOKUP(A400,Flete!$A:$J,10,0),"")</f>
        <v/>
      </c>
      <c r="P400" s="8" t="inlineStr">
        <is>
          <t>TN</t>
        </is>
      </c>
      <c r="Q400" s="10">
        <f>IFERROR(IFERROR(VLOOKUP(A400,TRAOPE!$A:$U,21,0),VLOOKUP(B400,TRAOPE!$A:$U,21,0)),"")</f>
        <v/>
      </c>
      <c r="R400" s="8">
        <f>IFERROR(IFERROR(VLOOKUP(A400,TRAOPE!$A:$W,23,0),VLOOKUP(B400,TRAOPE!$A:$W,23,0)),"")</f>
        <v/>
      </c>
      <c r="S400" s="10">
        <f>IF(AND(P400="TN",R400="TN"),N400+N(O400),IF(G400&amp;""="1",N(K400)*N400,(N400+N(O400))*N(K400)))</f>
        <v/>
      </c>
      <c r="T400" s="10">
        <f>IF(Q400="","",Q400-S400)</f>
        <v/>
      </c>
    </row>
    <row r="401">
      <c r="A401" s="7">
        <f>CONCATENATE(C401,E401,F401,I401)</f>
        <v/>
      </c>
      <c r="B401" s="7">
        <f>CONCATENATE(C401,E401,I401)</f>
        <v/>
      </c>
      <c r="C401" s="8" t="n">
        <v>900008654</v>
      </c>
      <c r="D401" s="7">
        <f>IFERROR(VLOOKUP(C401,TRAOPE!$G:$H,2,0),"")</f>
        <v/>
      </c>
      <c r="E401" s="8" t="inlineStr">
        <is>
          <t>DW75</t>
        </is>
      </c>
      <c r="F401" s="8" t="inlineStr">
        <is>
          <t>D349</t>
        </is>
      </c>
      <c r="G401" s="8">
        <f>IFERROR(VLOOKUP(A401,Flete!$A:$E,5,0),"")</f>
        <v/>
      </c>
      <c r="H401" s="7">
        <f>IFERROR(VLOOKUP(F401,TRAOPE!$AA:$AB,2,0),"")</f>
        <v/>
      </c>
      <c r="I401" s="7" t="n">
        <v>10251250</v>
      </c>
      <c r="J401" s="7">
        <f>IFERROR(VLOOKUP(I401,Materiales!$A:$H,8,0),"")</f>
        <v/>
      </c>
      <c r="K401" s="9">
        <f>IFERROR(VLOOKUP(I401,Materiales!$A:$G,7,0),"")</f>
        <v/>
      </c>
      <c r="L401" s="8" t="inlineStr">
        <is>
          <t>20250301</t>
        </is>
      </c>
      <c r="M401" s="8" t="inlineStr">
        <is>
          <t>20251031</t>
        </is>
      </c>
      <c r="N401" s="10" t="n">
        <v>438.03</v>
      </c>
      <c r="O401" s="10">
        <f>IFERROR(VLOOKUP(A401,Flete!$A:$J,10,0),"")</f>
        <v/>
      </c>
      <c r="P401" s="8" t="inlineStr">
        <is>
          <t>TN</t>
        </is>
      </c>
      <c r="Q401" s="10">
        <f>IFERROR(IFERROR(VLOOKUP(A401,TRAOPE!$A:$U,21,0),VLOOKUP(B401,TRAOPE!$A:$U,21,0)),"")</f>
        <v/>
      </c>
      <c r="R401" s="8">
        <f>IFERROR(IFERROR(VLOOKUP(A401,TRAOPE!$A:$W,23,0),VLOOKUP(B401,TRAOPE!$A:$W,23,0)),"")</f>
        <v/>
      </c>
      <c r="S401" s="10">
        <f>IF(AND(P401="TN",R401="TN"),N401+N(O401),IF(G401&amp;""="1",N(K401)*N401,(N401+N(O401))*N(K401)))</f>
        <v/>
      </c>
      <c r="T401" s="10">
        <f>IF(Q401="","",Q401-S401)</f>
        <v/>
      </c>
    </row>
    <row r="402">
      <c r="A402" s="7">
        <f>CONCATENATE(C402,E402,F402,I402)</f>
        <v/>
      </c>
      <c r="B402" s="7">
        <f>CONCATENATE(C402,E402,I402)</f>
        <v/>
      </c>
      <c r="C402" s="8" t="n">
        <v>900009313</v>
      </c>
      <c r="D402" s="7">
        <f>IFERROR(VLOOKUP(C402,TRAOPE!$G:$H,2,0),"")</f>
        <v/>
      </c>
      <c r="E402" s="8" t="inlineStr">
        <is>
          <t>DW75</t>
        </is>
      </c>
      <c r="F402" s="8" t="inlineStr">
        <is>
          <t>D349</t>
        </is>
      </c>
      <c r="G402" s="8">
        <f>IFERROR(VLOOKUP(A402,Flete!$A:$E,5,0),"")</f>
        <v/>
      </c>
      <c r="H402" s="7">
        <f>IFERROR(VLOOKUP(F402,TRAOPE!$AA:$AB,2,0),"")</f>
        <v/>
      </c>
      <c r="I402" s="7" t="n">
        <v>10043601</v>
      </c>
      <c r="J402" s="7">
        <f>IFERROR(VLOOKUP(I402,Materiales!$A:$H,8,0),"")</f>
        <v/>
      </c>
      <c r="K402" s="9">
        <f>IFERROR(VLOOKUP(I402,Materiales!$A:$G,7,0),"")</f>
        <v/>
      </c>
      <c r="L402" s="8" t="inlineStr">
        <is>
          <t>20250902</t>
        </is>
      </c>
      <c r="M402" s="8" t="inlineStr">
        <is>
          <t>20260215</t>
        </is>
      </c>
      <c r="N402" s="10" t="n">
        <v>281.87</v>
      </c>
      <c r="O402" s="10">
        <f>IFERROR(VLOOKUP(A402,Flete!$A:$J,10,0),"")</f>
        <v/>
      </c>
      <c r="P402" s="8" t="inlineStr">
        <is>
          <t>TN</t>
        </is>
      </c>
      <c r="Q402" s="10">
        <f>IFERROR(IFERROR(VLOOKUP(A402,TRAOPE!$A:$U,21,0),VLOOKUP(B402,TRAOPE!$A:$U,21,0)),"")</f>
        <v/>
      </c>
      <c r="R402" s="8">
        <f>IFERROR(IFERROR(VLOOKUP(A402,TRAOPE!$A:$W,23,0),VLOOKUP(B402,TRAOPE!$A:$W,23,0)),"")</f>
        <v/>
      </c>
      <c r="S402" s="10">
        <f>IF(AND(P402="TN",R402="TN"),N402+N(O402),IF(G402&amp;""="1",N(K402)*N402,(N402+N(O402))*N(K402)))</f>
        <v/>
      </c>
      <c r="T402" s="10">
        <f>IF(Q402="","",Q402-S402)</f>
        <v/>
      </c>
    </row>
    <row r="403">
      <c r="A403" s="7">
        <f>CONCATENATE(C403,E403,F403,I403)</f>
        <v/>
      </c>
      <c r="B403" s="7">
        <f>CONCATENATE(C403,E403,I403)</f>
        <v/>
      </c>
      <c r="C403" s="8" t="n">
        <v>900009317</v>
      </c>
      <c r="D403" s="7">
        <f>IFERROR(VLOOKUP(C403,TRAOPE!$G:$H,2,0),"")</f>
        <v/>
      </c>
      <c r="E403" s="8" t="inlineStr">
        <is>
          <t>DW75</t>
        </is>
      </c>
      <c r="F403" s="8" t="inlineStr">
        <is>
          <t>EQ86</t>
        </is>
      </c>
      <c r="G403" s="8">
        <f>IFERROR(VLOOKUP(A403,Flete!$A:$E,5,0),"")</f>
        <v/>
      </c>
      <c r="H403" s="7">
        <f>IFERROR(VLOOKUP(F403,TRAOPE!$AA:$AB,2,0),"")</f>
        <v/>
      </c>
      <c r="I403" s="7" t="n">
        <v>10269225</v>
      </c>
      <c r="J403" s="7">
        <f>IFERROR(VLOOKUP(I403,Materiales!$A:$H,8,0),"")</f>
        <v/>
      </c>
      <c r="K403" s="9">
        <f>IFERROR(VLOOKUP(I403,Materiales!$A:$G,7,0),"")</f>
        <v/>
      </c>
      <c r="L403" s="8" t="inlineStr">
        <is>
          <t>20260601</t>
        </is>
      </c>
      <c r="M403" s="8" t="inlineStr">
        <is>
          <t>99991231</t>
        </is>
      </c>
      <c r="N403" s="10" t="n">
        <v>372.38</v>
      </c>
      <c r="O403" s="10">
        <f>IFERROR(VLOOKUP(A403,Flete!$A:$J,10,0),"")</f>
        <v/>
      </c>
      <c r="P403" s="8" t="inlineStr">
        <is>
          <t>TN</t>
        </is>
      </c>
      <c r="Q403" s="10">
        <f>IFERROR(IFERROR(VLOOKUP(A403,TRAOPE!$A:$U,21,0),VLOOKUP(B403,TRAOPE!$A:$U,21,0)),"")</f>
        <v/>
      </c>
      <c r="R403" s="8">
        <f>IFERROR(IFERROR(VLOOKUP(A403,TRAOPE!$A:$W,23,0),VLOOKUP(B403,TRAOPE!$A:$W,23,0)),"")</f>
        <v/>
      </c>
      <c r="S403" s="10">
        <f>IF(AND(P403="TN",R403="TN"),N403+N(O403),IF(G403&amp;""="1",N(K403)*N403,(N403+N(O403))*N(K403)))</f>
        <v/>
      </c>
      <c r="T403" s="10">
        <f>IF(Q403="","",Q403-S403)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900000023</t>
        </is>
      </c>
      <c r="B2" t="inlineStr">
        <is>
          <t>DW75</t>
        </is>
      </c>
      <c r="C2" t="inlineStr">
        <is>
          <t>D278</t>
        </is>
      </c>
      <c r="D2" t="inlineStr">
        <is>
          <t>10000742</t>
        </is>
      </c>
      <c r="E2" t="inlineStr"/>
      <c r="F2" s="11" t="n">
        <v/>
      </c>
      <c r="G2" t="inlineStr"/>
      <c r="H2" t="n">
        <v/>
      </c>
      <c r="I2" t="inlineStr"/>
      <c r="J2" t="inlineStr"/>
      <c r="K2" t="inlineStr">
        <is>
          <t>20220516</t>
        </is>
      </c>
      <c r="L2" t="inlineStr">
        <is>
          <t>20240822</t>
        </is>
      </c>
    </row>
    <row r="3">
      <c r="A3" t="inlineStr">
        <is>
          <t>900000023</t>
        </is>
      </c>
      <c r="B3" t="inlineStr">
        <is>
          <t>DW75</t>
        </is>
      </c>
      <c r="C3" t="inlineStr">
        <is>
          <t>D278</t>
        </is>
      </c>
      <c r="D3" t="inlineStr">
        <is>
          <t>10009436</t>
        </is>
      </c>
      <c r="E3" t="inlineStr"/>
      <c r="F3" s="11" t="n">
        <v>249.61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20240822</t>
        </is>
      </c>
    </row>
    <row r="4">
      <c r="A4" t="inlineStr">
        <is>
          <t>900000023</t>
        </is>
      </c>
      <c r="B4" t="inlineStr">
        <is>
          <t>DW75</t>
        </is>
      </c>
      <c r="C4" t="inlineStr">
        <is>
          <t>D278</t>
        </is>
      </c>
      <c r="D4" t="inlineStr">
        <is>
          <t>10031878</t>
        </is>
      </c>
      <c r="E4" t="inlineStr"/>
      <c r="F4" s="11" t="n">
        <v>267.26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20240822</t>
        </is>
      </c>
    </row>
    <row r="5">
      <c r="A5" t="inlineStr">
        <is>
          <t>900000023</t>
        </is>
      </c>
      <c r="B5" t="inlineStr">
        <is>
          <t>DW75</t>
        </is>
      </c>
      <c r="C5" t="inlineStr">
        <is>
          <t>D278</t>
        </is>
      </c>
      <c r="D5" t="inlineStr">
        <is>
          <t>10032115</t>
        </is>
      </c>
      <c r="E5" t="inlineStr"/>
      <c r="F5" s="11" t="n">
        <v>255.79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20240822</t>
        </is>
      </c>
    </row>
    <row r="6">
      <c r="A6" t="inlineStr">
        <is>
          <t>900000023</t>
        </is>
      </c>
      <c r="B6" t="inlineStr">
        <is>
          <t>DW75</t>
        </is>
      </c>
      <c r="C6" t="inlineStr">
        <is>
          <t>D278</t>
        </is>
      </c>
      <c r="D6" t="inlineStr">
        <is>
          <t>10032164</t>
        </is>
      </c>
      <c r="E6" t="inlineStr"/>
      <c r="F6" s="11" t="n">
        <v>274.59</v>
      </c>
      <c r="G6" t="inlineStr"/>
      <c r="I6" t="inlineStr">
        <is>
          <t>TN</t>
        </is>
      </c>
      <c r="J6" t="inlineStr"/>
      <c r="K6" t="inlineStr">
        <is>
          <t>20220516</t>
        </is>
      </c>
      <c r="L6" t="inlineStr">
        <is>
          <t>20240822</t>
        </is>
      </c>
    </row>
    <row r="7">
      <c r="A7" t="inlineStr">
        <is>
          <t>900000023</t>
        </is>
      </c>
      <c r="B7" t="inlineStr">
        <is>
          <t>DW75</t>
        </is>
      </c>
      <c r="C7" t="inlineStr">
        <is>
          <t>D278</t>
        </is>
      </c>
      <c r="D7" t="inlineStr">
        <is>
          <t>10036583</t>
        </is>
      </c>
      <c r="E7" t="inlineStr"/>
      <c r="F7" s="11" t="n">
        <v>247.59</v>
      </c>
      <c r="G7" t="inlineStr"/>
      <c r="I7" t="inlineStr">
        <is>
          <t>TN</t>
        </is>
      </c>
      <c r="J7" t="inlineStr"/>
      <c r="K7" t="inlineStr">
        <is>
          <t>20220516</t>
        </is>
      </c>
      <c r="L7" t="inlineStr">
        <is>
          <t>20240822</t>
        </is>
      </c>
    </row>
    <row r="8">
      <c r="A8" t="inlineStr">
        <is>
          <t>900000023</t>
        </is>
      </c>
      <c r="B8" t="inlineStr">
        <is>
          <t>DW75</t>
        </is>
      </c>
      <c r="C8" t="inlineStr">
        <is>
          <t>D312</t>
        </is>
      </c>
      <c r="D8" t="inlineStr">
        <is>
          <t>10000742</t>
        </is>
      </c>
      <c r="E8" t="inlineStr"/>
      <c r="F8" s="11" t="n">
        <v>159.27</v>
      </c>
      <c r="G8" t="inlineStr"/>
      <c r="I8" t="inlineStr">
        <is>
          <t>TN</t>
        </is>
      </c>
      <c r="J8" t="inlineStr"/>
      <c r="K8" t="inlineStr">
        <is>
          <t>20220516</t>
        </is>
      </c>
      <c r="L8" t="inlineStr">
        <is>
          <t>20240822</t>
        </is>
      </c>
    </row>
    <row r="9">
      <c r="A9" t="inlineStr">
        <is>
          <t>900000023</t>
        </is>
      </c>
      <c r="B9" t="inlineStr">
        <is>
          <t>DW75</t>
        </is>
      </c>
      <c r="C9" t="inlineStr">
        <is>
          <t>D312</t>
        </is>
      </c>
      <c r="D9" t="inlineStr">
        <is>
          <t>10009436</t>
        </is>
      </c>
      <c r="E9" t="inlineStr"/>
      <c r="F9" s="11" t="n">
        <v>249.61</v>
      </c>
      <c r="G9" t="inlineStr"/>
      <c r="I9" t="inlineStr">
        <is>
          <t>TN</t>
        </is>
      </c>
      <c r="J9" t="inlineStr"/>
      <c r="K9" t="inlineStr">
        <is>
          <t>20220516</t>
        </is>
      </c>
      <c r="L9" t="inlineStr">
        <is>
          <t>20240822</t>
        </is>
      </c>
    </row>
    <row r="10">
      <c r="A10" t="inlineStr">
        <is>
          <t>900000023</t>
        </is>
      </c>
      <c r="B10" t="inlineStr">
        <is>
          <t>DW75</t>
        </is>
      </c>
      <c r="C10" t="inlineStr">
        <is>
          <t>D312</t>
        </is>
      </c>
      <c r="D10" t="inlineStr">
        <is>
          <t>10031878</t>
        </is>
      </c>
      <c r="E10" t="inlineStr"/>
      <c r="F10" s="11" t="n">
        <v>267.26</v>
      </c>
      <c r="G10" t="inlineStr"/>
      <c r="I10" t="inlineStr">
        <is>
          <t>TN</t>
        </is>
      </c>
      <c r="J10" t="inlineStr"/>
      <c r="K10" t="inlineStr">
        <is>
          <t>20220516</t>
        </is>
      </c>
      <c r="L10" t="inlineStr">
        <is>
          <t>20240822</t>
        </is>
      </c>
    </row>
    <row r="11">
      <c r="A11" t="inlineStr">
        <is>
          <t>900000023</t>
        </is>
      </c>
      <c r="B11" t="inlineStr">
        <is>
          <t>DW75</t>
        </is>
      </c>
      <c r="C11" t="inlineStr">
        <is>
          <t>D312</t>
        </is>
      </c>
      <c r="D11" t="inlineStr">
        <is>
          <t>10032115</t>
        </is>
      </c>
      <c r="E11" t="inlineStr"/>
      <c r="F11" s="11" t="n">
        <v>255.79</v>
      </c>
      <c r="G11" t="inlineStr"/>
      <c r="I11" t="inlineStr">
        <is>
          <t>TN</t>
        </is>
      </c>
      <c r="J11" t="inlineStr"/>
      <c r="K11" t="inlineStr">
        <is>
          <t>20220516</t>
        </is>
      </c>
      <c r="L11" t="inlineStr">
        <is>
          <t>20240822</t>
        </is>
      </c>
    </row>
    <row r="12">
      <c r="A12" t="inlineStr">
        <is>
          <t>900000023</t>
        </is>
      </c>
      <c r="B12" t="inlineStr">
        <is>
          <t>DW75</t>
        </is>
      </c>
      <c r="C12" t="inlineStr">
        <is>
          <t>D312</t>
        </is>
      </c>
      <c r="D12" t="inlineStr">
        <is>
          <t>10032164</t>
        </is>
      </c>
      <c r="E12" t="inlineStr"/>
      <c r="F12" s="11" t="n">
        <v>274.59</v>
      </c>
      <c r="G12" t="inlineStr"/>
      <c r="I12" t="inlineStr">
        <is>
          <t>TN</t>
        </is>
      </c>
      <c r="J12" t="inlineStr"/>
      <c r="K12" t="inlineStr">
        <is>
          <t>20220516</t>
        </is>
      </c>
      <c r="L12" t="inlineStr">
        <is>
          <t>20240822</t>
        </is>
      </c>
    </row>
    <row r="13">
      <c r="A13" t="inlineStr">
        <is>
          <t>900000023</t>
        </is>
      </c>
      <c r="B13" t="inlineStr">
        <is>
          <t>DW75</t>
        </is>
      </c>
      <c r="C13" t="inlineStr">
        <is>
          <t>D312</t>
        </is>
      </c>
      <c r="D13" t="inlineStr">
        <is>
          <t>10036583</t>
        </is>
      </c>
      <c r="E13" t="inlineStr"/>
      <c r="F13" s="11" t="n">
        <v>247.59</v>
      </c>
      <c r="G13" t="inlineStr"/>
      <c r="I13" t="inlineStr">
        <is>
          <t>TN</t>
        </is>
      </c>
      <c r="J13" t="inlineStr"/>
      <c r="K13" t="inlineStr">
        <is>
          <t>20220516</t>
        </is>
      </c>
      <c r="L13" t="inlineStr">
        <is>
          <t>20240822</t>
        </is>
      </c>
    </row>
    <row r="14">
      <c r="A14" t="inlineStr">
        <is>
          <t>900000023</t>
        </is>
      </c>
      <c r="B14" t="inlineStr">
        <is>
          <t>DW75</t>
        </is>
      </c>
      <c r="C14" t="inlineStr">
        <is>
          <t>D327</t>
        </is>
      </c>
      <c r="D14" t="inlineStr">
        <is>
          <t>10000742</t>
        </is>
      </c>
      <c r="E14" t="inlineStr"/>
      <c r="F14" s="11" t="n">
        <v>159.27</v>
      </c>
      <c r="G14" t="inlineStr"/>
      <c r="I14" t="inlineStr">
        <is>
          <t>TN</t>
        </is>
      </c>
      <c r="J14" t="inlineStr"/>
      <c r="K14" t="inlineStr">
        <is>
          <t>20220516</t>
        </is>
      </c>
      <c r="L14" t="inlineStr">
        <is>
          <t>20240822</t>
        </is>
      </c>
    </row>
    <row r="15">
      <c r="A15" t="inlineStr">
        <is>
          <t>900000023</t>
        </is>
      </c>
      <c r="B15" t="inlineStr">
        <is>
          <t>DW75</t>
        </is>
      </c>
      <c r="C15" t="inlineStr">
        <is>
          <t>D327</t>
        </is>
      </c>
      <c r="D15" t="inlineStr">
        <is>
          <t>10009436</t>
        </is>
      </c>
      <c r="E15" t="inlineStr"/>
      <c r="F15" s="11" t="n">
        <v>249.61</v>
      </c>
      <c r="G15" t="inlineStr"/>
      <c r="I15" t="inlineStr">
        <is>
          <t>TN</t>
        </is>
      </c>
      <c r="J15" t="inlineStr"/>
      <c r="K15" t="inlineStr">
        <is>
          <t>20220516</t>
        </is>
      </c>
      <c r="L15" t="inlineStr">
        <is>
          <t>20240822</t>
        </is>
      </c>
    </row>
    <row r="16">
      <c r="A16" t="inlineStr">
        <is>
          <t>900000023</t>
        </is>
      </c>
      <c r="B16" t="inlineStr">
        <is>
          <t>DW75</t>
        </is>
      </c>
      <c r="C16" t="inlineStr">
        <is>
          <t>D327</t>
        </is>
      </c>
      <c r="D16" t="inlineStr">
        <is>
          <t>10031878</t>
        </is>
      </c>
      <c r="E16" t="inlineStr"/>
      <c r="F16" s="11" t="n">
        <v>267.26</v>
      </c>
      <c r="G16" t="inlineStr"/>
      <c r="I16" t="inlineStr">
        <is>
          <t>TN</t>
        </is>
      </c>
      <c r="J16" t="inlineStr"/>
      <c r="K16" t="inlineStr">
        <is>
          <t>20220516</t>
        </is>
      </c>
      <c r="L16" t="inlineStr">
        <is>
          <t>20240822</t>
        </is>
      </c>
    </row>
    <row r="17">
      <c r="A17" t="inlineStr">
        <is>
          <t>900000023</t>
        </is>
      </c>
      <c r="B17" t="inlineStr">
        <is>
          <t>DW75</t>
        </is>
      </c>
      <c r="C17" t="inlineStr">
        <is>
          <t>D327</t>
        </is>
      </c>
      <c r="D17" t="inlineStr">
        <is>
          <t>10032115</t>
        </is>
      </c>
      <c r="E17" t="inlineStr"/>
      <c r="F17" s="11" t="n">
        <v>255.79</v>
      </c>
      <c r="G17" t="inlineStr"/>
      <c r="I17" t="inlineStr">
        <is>
          <t>TN</t>
        </is>
      </c>
      <c r="J17" t="inlineStr"/>
      <c r="K17" t="inlineStr">
        <is>
          <t>20220516</t>
        </is>
      </c>
      <c r="L17" t="inlineStr">
        <is>
          <t>20240822</t>
        </is>
      </c>
    </row>
    <row r="18">
      <c r="A18" t="inlineStr">
        <is>
          <t>900000023</t>
        </is>
      </c>
      <c r="B18" t="inlineStr">
        <is>
          <t>DW75</t>
        </is>
      </c>
      <c r="C18" t="inlineStr">
        <is>
          <t>D327</t>
        </is>
      </c>
      <c r="D18" t="inlineStr">
        <is>
          <t>10032164</t>
        </is>
      </c>
      <c r="E18" t="inlineStr"/>
      <c r="F18" s="11" t="n">
        <v>274.59</v>
      </c>
      <c r="G18" t="inlineStr"/>
      <c r="I18" t="inlineStr">
        <is>
          <t>TN</t>
        </is>
      </c>
      <c r="J18" t="inlineStr"/>
      <c r="K18" t="inlineStr">
        <is>
          <t>20220516</t>
        </is>
      </c>
      <c r="L18" t="inlineStr">
        <is>
          <t>20240822</t>
        </is>
      </c>
    </row>
    <row r="19">
      <c r="A19" t="inlineStr">
        <is>
          <t>900000023</t>
        </is>
      </c>
      <c r="B19" t="inlineStr">
        <is>
          <t>DW75</t>
        </is>
      </c>
      <c r="C19" t="inlineStr">
        <is>
          <t>D327</t>
        </is>
      </c>
      <c r="D19" t="inlineStr">
        <is>
          <t>10036583</t>
        </is>
      </c>
      <c r="E19" t="inlineStr"/>
      <c r="F19" s="11" t="n">
        <v>247.59</v>
      </c>
      <c r="G19" t="inlineStr"/>
      <c r="I19" t="inlineStr">
        <is>
          <t>TN</t>
        </is>
      </c>
      <c r="J19" t="inlineStr"/>
      <c r="K19" t="inlineStr">
        <is>
          <t>20220516</t>
        </is>
      </c>
      <c r="L19" t="inlineStr">
        <is>
          <t>20240822</t>
        </is>
      </c>
    </row>
    <row r="20">
      <c r="A20" t="inlineStr">
        <is>
          <t>900000023</t>
        </is>
      </c>
      <c r="B20" t="inlineStr">
        <is>
          <t>DW75</t>
        </is>
      </c>
      <c r="C20" t="inlineStr">
        <is>
          <t>D331</t>
        </is>
      </c>
      <c r="D20" t="inlineStr">
        <is>
          <t>10000742</t>
        </is>
      </c>
      <c r="E20" t="inlineStr"/>
      <c r="F20" s="11" t="n">
        <v>152.34</v>
      </c>
      <c r="G20" t="inlineStr"/>
      <c r="I20" t="inlineStr">
        <is>
          <t>TN</t>
        </is>
      </c>
      <c r="J20" t="inlineStr"/>
      <c r="K20" t="inlineStr">
        <is>
          <t>20220516</t>
        </is>
      </c>
      <c r="L20" t="inlineStr">
        <is>
          <t>20240822</t>
        </is>
      </c>
    </row>
    <row r="21">
      <c r="A21" t="inlineStr">
        <is>
          <t>900000023</t>
        </is>
      </c>
      <c r="B21" t="inlineStr">
        <is>
          <t>DW75</t>
        </is>
      </c>
      <c r="C21" t="inlineStr">
        <is>
          <t>D331</t>
        </is>
      </c>
      <c r="D21" t="inlineStr">
        <is>
          <t>10009436</t>
        </is>
      </c>
      <c r="E21" t="inlineStr"/>
      <c r="F21" s="11" t="n">
        <v>239.01</v>
      </c>
      <c r="G21" t="inlineStr"/>
      <c r="I21" t="inlineStr">
        <is>
          <t>TN</t>
        </is>
      </c>
      <c r="J21" t="inlineStr"/>
      <c r="K21" t="inlineStr">
        <is>
          <t>20220516</t>
        </is>
      </c>
      <c r="L21" t="inlineStr">
        <is>
          <t>20240822</t>
        </is>
      </c>
    </row>
    <row r="22">
      <c r="A22" t="inlineStr">
        <is>
          <t>900000023</t>
        </is>
      </c>
      <c r="B22" t="inlineStr">
        <is>
          <t>DW75</t>
        </is>
      </c>
      <c r="C22" t="inlineStr">
        <is>
          <t>D331</t>
        </is>
      </c>
      <c r="D22" t="inlineStr">
        <is>
          <t>10031878</t>
        </is>
      </c>
      <c r="E22" t="inlineStr"/>
      <c r="F22" s="11" t="n">
        <v>255.84</v>
      </c>
      <c r="G22" t="inlineStr"/>
      <c r="I22" t="inlineStr">
        <is>
          <t>TN</t>
        </is>
      </c>
      <c r="J22" t="inlineStr"/>
      <c r="K22" t="inlineStr">
        <is>
          <t>20220516</t>
        </is>
      </c>
      <c r="L22" t="inlineStr">
        <is>
          <t>20240822</t>
        </is>
      </c>
    </row>
    <row r="23">
      <c r="A23" t="inlineStr">
        <is>
          <t>900000023</t>
        </is>
      </c>
      <c r="B23" t="inlineStr">
        <is>
          <t>DW75</t>
        </is>
      </c>
      <c r="C23" t="inlineStr">
        <is>
          <t>D331</t>
        </is>
      </c>
      <c r="D23" t="inlineStr">
        <is>
          <t>10032115</t>
        </is>
      </c>
      <c r="E23" t="inlineStr"/>
      <c r="F23" s="11" t="n">
        <v>244.86</v>
      </c>
      <c r="G23" t="inlineStr"/>
      <c r="I23" t="inlineStr">
        <is>
          <t>TN</t>
        </is>
      </c>
      <c r="J23" t="inlineStr"/>
      <c r="K23" t="inlineStr">
        <is>
          <t>20220516</t>
        </is>
      </c>
      <c r="L23" t="inlineStr">
        <is>
          <t>20240822</t>
        </is>
      </c>
    </row>
    <row r="24">
      <c r="A24" t="inlineStr">
        <is>
          <t>900000023</t>
        </is>
      </c>
      <c r="B24" t="inlineStr">
        <is>
          <t>DW75</t>
        </is>
      </c>
      <c r="C24" t="inlineStr">
        <is>
          <t>D331</t>
        </is>
      </c>
      <c r="D24" t="inlineStr">
        <is>
          <t>10032164</t>
        </is>
      </c>
      <c r="E24" t="inlineStr"/>
      <c r="F24" s="11" t="n">
        <v>262.93</v>
      </c>
      <c r="G24" t="inlineStr"/>
      <c r="I24" t="inlineStr">
        <is>
          <t>TN</t>
        </is>
      </c>
      <c r="J24" t="inlineStr"/>
      <c r="K24" t="inlineStr">
        <is>
          <t>20220516</t>
        </is>
      </c>
      <c r="L24" t="inlineStr">
        <is>
          <t>20240822</t>
        </is>
      </c>
    </row>
    <row r="25">
      <c r="A25" t="inlineStr">
        <is>
          <t>900000023</t>
        </is>
      </c>
      <c r="B25" t="inlineStr">
        <is>
          <t>DW75</t>
        </is>
      </c>
      <c r="C25" t="inlineStr">
        <is>
          <t>D331</t>
        </is>
      </c>
      <c r="D25" t="inlineStr">
        <is>
          <t>10036583</t>
        </is>
      </c>
      <c r="E25" t="inlineStr"/>
      <c r="F25" s="11" t="n">
        <v>236.68</v>
      </c>
      <c r="G25" t="inlineStr"/>
      <c r="I25" t="inlineStr">
        <is>
          <t>TN</t>
        </is>
      </c>
      <c r="J25" t="inlineStr"/>
      <c r="K25" t="inlineStr">
        <is>
          <t>20220516</t>
        </is>
      </c>
      <c r="L25" t="inlineStr">
        <is>
          <t>20240822</t>
        </is>
      </c>
    </row>
    <row r="26">
      <c r="A26" t="inlineStr">
        <is>
          <t>900000023</t>
        </is>
      </c>
      <c r="B26" t="inlineStr">
        <is>
          <t>DW75</t>
        </is>
      </c>
      <c r="C26" t="inlineStr">
        <is>
          <t>D343</t>
        </is>
      </c>
      <c r="D26" t="inlineStr">
        <is>
          <t>10000742</t>
        </is>
      </c>
      <c r="E26" t="inlineStr"/>
      <c r="F26" s="11" t="n">
        <v>159.27</v>
      </c>
      <c r="G26" t="inlineStr"/>
      <c r="I26" t="inlineStr">
        <is>
          <t>TN</t>
        </is>
      </c>
      <c r="J26" t="inlineStr"/>
      <c r="K26" t="inlineStr">
        <is>
          <t>20220516</t>
        </is>
      </c>
      <c r="L26" t="inlineStr">
        <is>
          <t>20240822</t>
        </is>
      </c>
    </row>
    <row r="27">
      <c r="A27" t="inlineStr">
        <is>
          <t>900000023</t>
        </is>
      </c>
      <c r="B27" t="inlineStr">
        <is>
          <t>DW75</t>
        </is>
      </c>
      <c r="C27" t="inlineStr">
        <is>
          <t>D343</t>
        </is>
      </c>
      <c r="D27" t="inlineStr">
        <is>
          <t>10009436</t>
        </is>
      </c>
      <c r="E27" t="inlineStr"/>
      <c r="F27" s="11" t="n">
        <v>249.61</v>
      </c>
      <c r="G27" t="inlineStr"/>
      <c r="I27" t="inlineStr">
        <is>
          <t>TN</t>
        </is>
      </c>
      <c r="J27" t="inlineStr"/>
      <c r="K27" t="inlineStr">
        <is>
          <t>20220516</t>
        </is>
      </c>
      <c r="L27" t="inlineStr">
        <is>
          <t>20240822</t>
        </is>
      </c>
    </row>
    <row r="28">
      <c r="A28" t="inlineStr">
        <is>
          <t>900000023</t>
        </is>
      </c>
      <c r="B28" t="inlineStr">
        <is>
          <t>DW75</t>
        </is>
      </c>
      <c r="C28" t="inlineStr">
        <is>
          <t>D343</t>
        </is>
      </c>
      <c r="D28" t="inlineStr">
        <is>
          <t>10031878</t>
        </is>
      </c>
      <c r="E28" t="inlineStr"/>
      <c r="F28" s="11" t="n">
        <v>267.26</v>
      </c>
      <c r="G28" t="inlineStr"/>
      <c r="I28" t="inlineStr">
        <is>
          <t>TN</t>
        </is>
      </c>
      <c r="J28" t="inlineStr"/>
      <c r="K28" t="inlineStr">
        <is>
          <t>20220516</t>
        </is>
      </c>
      <c r="L28" t="inlineStr">
        <is>
          <t>20240822</t>
        </is>
      </c>
    </row>
    <row r="29">
      <c r="A29" t="inlineStr">
        <is>
          <t>900000023</t>
        </is>
      </c>
      <c r="B29" t="inlineStr">
        <is>
          <t>DW75</t>
        </is>
      </c>
      <c r="C29" t="inlineStr">
        <is>
          <t>D343</t>
        </is>
      </c>
      <c r="D29" t="inlineStr">
        <is>
          <t>10032115</t>
        </is>
      </c>
      <c r="E29" t="inlineStr"/>
      <c r="F29" s="11" t="n">
        <v>255.79</v>
      </c>
      <c r="G29" t="inlineStr"/>
      <c r="I29" t="inlineStr">
        <is>
          <t>TN</t>
        </is>
      </c>
      <c r="J29" t="inlineStr"/>
      <c r="K29" t="inlineStr">
        <is>
          <t>20220516</t>
        </is>
      </c>
      <c r="L29" t="inlineStr">
        <is>
          <t>20240822</t>
        </is>
      </c>
    </row>
    <row r="30">
      <c r="A30" t="inlineStr">
        <is>
          <t>900000023</t>
        </is>
      </c>
      <c r="B30" t="inlineStr">
        <is>
          <t>DW75</t>
        </is>
      </c>
      <c r="C30" t="inlineStr">
        <is>
          <t>D343</t>
        </is>
      </c>
      <c r="D30" t="inlineStr">
        <is>
          <t>10032164</t>
        </is>
      </c>
      <c r="E30" t="inlineStr"/>
      <c r="F30" s="11" t="n">
        <v>274.59</v>
      </c>
      <c r="G30" t="inlineStr"/>
      <c r="I30" t="inlineStr">
        <is>
          <t>TN</t>
        </is>
      </c>
      <c r="J30" t="inlineStr"/>
      <c r="K30" t="inlineStr">
        <is>
          <t>20220516</t>
        </is>
      </c>
      <c r="L30" t="inlineStr">
        <is>
          <t>20240822</t>
        </is>
      </c>
    </row>
    <row r="31">
      <c r="A31" t="inlineStr">
        <is>
          <t>900000023</t>
        </is>
      </c>
      <c r="B31" t="inlineStr">
        <is>
          <t>DW75</t>
        </is>
      </c>
      <c r="C31" t="inlineStr">
        <is>
          <t>D343</t>
        </is>
      </c>
      <c r="D31" t="inlineStr">
        <is>
          <t>10036583</t>
        </is>
      </c>
      <c r="E31" t="inlineStr"/>
      <c r="F31" s="11" t="n">
        <v>247.59</v>
      </c>
      <c r="G31" t="inlineStr"/>
      <c r="I31" t="inlineStr">
        <is>
          <t>TN</t>
        </is>
      </c>
      <c r="J31" t="inlineStr"/>
      <c r="K31" t="inlineStr">
        <is>
          <t>20220516</t>
        </is>
      </c>
      <c r="L31" t="inlineStr">
        <is>
          <t>20240822</t>
        </is>
      </c>
    </row>
    <row r="32">
      <c r="A32" t="inlineStr">
        <is>
          <t>900000023</t>
        </is>
      </c>
      <c r="B32" t="inlineStr">
        <is>
          <t>DW75</t>
        </is>
      </c>
      <c r="C32" t="inlineStr">
        <is>
          <t>D349</t>
        </is>
      </c>
      <c r="D32" t="inlineStr">
        <is>
          <t>10000742</t>
        </is>
      </c>
      <c r="E32" t="inlineStr"/>
      <c r="F32" s="11" t="n">
        <v>159.27</v>
      </c>
      <c r="G32" t="inlineStr"/>
      <c r="I32" t="inlineStr">
        <is>
          <t>TN</t>
        </is>
      </c>
      <c r="J32" t="inlineStr"/>
      <c r="K32" t="inlineStr">
        <is>
          <t>20220516</t>
        </is>
      </c>
      <c r="L32" t="inlineStr">
        <is>
          <t>20240822</t>
        </is>
      </c>
    </row>
    <row r="33">
      <c r="A33" t="inlineStr">
        <is>
          <t>900000023</t>
        </is>
      </c>
      <c r="B33" t="inlineStr">
        <is>
          <t>DW75</t>
        </is>
      </c>
      <c r="C33" t="inlineStr">
        <is>
          <t>D349</t>
        </is>
      </c>
      <c r="D33" t="inlineStr">
        <is>
          <t>10009436</t>
        </is>
      </c>
      <c r="E33" t="inlineStr"/>
      <c r="F33" s="11" t="n">
        <v>249.61</v>
      </c>
      <c r="G33" t="inlineStr"/>
      <c r="I33" t="inlineStr">
        <is>
          <t>TN</t>
        </is>
      </c>
      <c r="J33" t="inlineStr"/>
      <c r="K33" t="inlineStr">
        <is>
          <t>20220516</t>
        </is>
      </c>
      <c r="L33" t="inlineStr">
        <is>
          <t>20240822</t>
        </is>
      </c>
    </row>
    <row r="34">
      <c r="A34" t="inlineStr">
        <is>
          <t>900000023</t>
        </is>
      </c>
      <c r="B34" t="inlineStr">
        <is>
          <t>DW75</t>
        </is>
      </c>
      <c r="C34" t="inlineStr">
        <is>
          <t>D349</t>
        </is>
      </c>
      <c r="D34" t="inlineStr">
        <is>
          <t>10031878</t>
        </is>
      </c>
      <c r="E34" t="inlineStr"/>
      <c r="F34" s="11" t="n">
        <v>267.26</v>
      </c>
      <c r="G34" t="inlineStr"/>
      <c r="I34" t="inlineStr">
        <is>
          <t>TN</t>
        </is>
      </c>
      <c r="J34" t="inlineStr"/>
      <c r="K34" t="inlineStr">
        <is>
          <t>20220516</t>
        </is>
      </c>
      <c r="L34" t="inlineStr">
        <is>
          <t>20240822</t>
        </is>
      </c>
    </row>
    <row r="35">
      <c r="A35" t="inlineStr">
        <is>
          <t>900000023</t>
        </is>
      </c>
      <c r="B35" t="inlineStr">
        <is>
          <t>DW75</t>
        </is>
      </c>
      <c r="C35" t="inlineStr">
        <is>
          <t>D349</t>
        </is>
      </c>
      <c r="D35" t="inlineStr">
        <is>
          <t>10032115</t>
        </is>
      </c>
      <c r="E35" t="inlineStr"/>
      <c r="F35" s="11" t="n">
        <v>255.79</v>
      </c>
      <c r="G35" t="inlineStr"/>
      <c r="I35" t="inlineStr">
        <is>
          <t>TN</t>
        </is>
      </c>
      <c r="J35" t="inlineStr"/>
      <c r="K35" t="inlineStr">
        <is>
          <t>20220516</t>
        </is>
      </c>
      <c r="L35" t="inlineStr">
        <is>
          <t>20240822</t>
        </is>
      </c>
    </row>
    <row r="36">
      <c r="A36" t="inlineStr">
        <is>
          <t>900000023</t>
        </is>
      </c>
      <c r="B36" t="inlineStr">
        <is>
          <t>DW75</t>
        </is>
      </c>
      <c r="C36" t="inlineStr">
        <is>
          <t>D349</t>
        </is>
      </c>
      <c r="D36" t="inlineStr">
        <is>
          <t>10032164</t>
        </is>
      </c>
      <c r="E36" t="inlineStr"/>
      <c r="F36" s="11" t="n">
        <v>274.59</v>
      </c>
      <c r="G36" t="inlineStr"/>
      <c r="I36" t="inlineStr">
        <is>
          <t>TN</t>
        </is>
      </c>
      <c r="J36" t="inlineStr"/>
      <c r="K36" t="inlineStr">
        <is>
          <t>20220516</t>
        </is>
      </c>
      <c r="L36" t="inlineStr">
        <is>
          <t>20240822</t>
        </is>
      </c>
    </row>
    <row r="37">
      <c r="A37" t="inlineStr">
        <is>
          <t>900000023</t>
        </is>
      </c>
      <c r="B37" t="inlineStr">
        <is>
          <t>DW75</t>
        </is>
      </c>
      <c r="C37" t="inlineStr">
        <is>
          <t>D349</t>
        </is>
      </c>
      <c r="D37" t="inlineStr">
        <is>
          <t>10036583</t>
        </is>
      </c>
      <c r="E37" t="inlineStr"/>
      <c r="F37" s="11" t="n">
        <v>247.59</v>
      </c>
      <c r="G37" t="inlineStr"/>
      <c r="I37" t="inlineStr">
        <is>
          <t>TN</t>
        </is>
      </c>
      <c r="J37" t="inlineStr"/>
      <c r="K37" t="inlineStr">
        <is>
          <t>20220516</t>
        </is>
      </c>
      <c r="L37" t="inlineStr">
        <is>
          <t>20240822</t>
        </is>
      </c>
    </row>
    <row r="38">
      <c r="A38" t="inlineStr">
        <is>
          <t>900000360</t>
        </is>
      </c>
      <c r="B38" t="inlineStr">
        <is>
          <t>DW75</t>
        </is>
      </c>
      <c r="C38" t="inlineStr">
        <is>
          <t>D063</t>
        </is>
      </c>
      <c r="D38" t="inlineStr">
        <is>
          <t>10009436</t>
        </is>
      </c>
      <c r="E38" t="inlineStr"/>
      <c r="F38" s="11" t="n">
        <v>205.9</v>
      </c>
      <c r="G38" t="inlineStr"/>
      <c r="I38" t="inlineStr">
        <is>
          <t>TN</t>
        </is>
      </c>
      <c r="J38" t="inlineStr"/>
      <c r="K38" t="inlineStr">
        <is>
          <t>20240726</t>
        </is>
      </c>
      <c r="L38" t="inlineStr">
        <is>
          <t>20241023</t>
        </is>
      </c>
    </row>
    <row r="39">
      <c r="A39" t="inlineStr">
        <is>
          <t>900000360</t>
        </is>
      </c>
      <c r="B39" t="inlineStr">
        <is>
          <t>DW75</t>
        </is>
      </c>
      <c r="C39" t="inlineStr">
        <is>
          <t>D112</t>
        </is>
      </c>
      <c r="D39" t="inlineStr">
        <is>
          <t>10009436</t>
        </is>
      </c>
      <c r="E39" t="inlineStr"/>
      <c r="F39" s="11" t="n">
        <v>205.9</v>
      </c>
      <c r="G39" t="inlineStr"/>
      <c r="I39" t="inlineStr">
        <is>
          <t>TN</t>
        </is>
      </c>
      <c r="J39" t="inlineStr"/>
      <c r="K39" t="inlineStr">
        <is>
          <t>20240726</t>
        </is>
      </c>
      <c r="L39" t="inlineStr">
        <is>
          <t>20241023</t>
        </is>
      </c>
    </row>
    <row r="40">
      <c r="A40" t="inlineStr">
        <is>
          <t>900000360</t>
        </is>
      </c>
      <c r="B40" t="inlineStr">
        <is>
          <t>DW75</t>
        </is>
      </c>
      <c r="C40" t="inlineStr">
        <is>
          <t>D278</t>
        </is>
      </c>
      <c r="D40" t="inlineStr">
        <is>
          <t>10009436</t>
        </is>
      </c>
      <c r="E40" t="inlineStr"/>
      <c r="F40" s="11" t="n">
        <v>205.9</v>
      </c>
      <c r="G40" t="inlineStr"/>
      <c r="I40" t="inlineStr">
        <is>
          <t>TN</t>
        </is>
      </c>
      <c r="J40" t="inlineStr"/>
      <c r="K40" t="inlineStr">
        <is>
          <t>20240726</t>
        </is>
      </c>
      <c r="L40" t="inlineStr">
        <is>
          <t>20241023</t>
        </is>
      </c>
    </row>
    <row r="41">
      <c r="A41" t="inlineStr">
        <is>
          <t>900000360</t>
        </is>
      </c>
      <c r="B41" t="inlineStr">
        <is>
          <t>DW75</t>
        </is>
      </c>
      <c r="C41" t="inlineStr">
        <is>
          <t>D343</t>
        </is>
      </c>
      <c r="D41" t="inlineStr">
        <is>
          <t>10009436</t>
        </is>
      </c>
      <c r="E41" t="inlineStr"/>
      <c r="F41" s="11" t="n">
        <v>205.9</v>
      </c>
      <c r="G41" t="inlineStr"/>
      <c r="I41" t="inlineStr">
        <is>
          <t>TN</t>
        </is>
      </c>
      <c r="J41" t="inlineStr"/>
      <c r="K41" t="inlineStr">
        <is>
          <t>20240726</t>
        </is>
      </c>
      <c r="L41" t="inlineStr">
        <is>
          <t>20241023</t>
        </is>
      </c>
    </row>
    <row r="42">
      <c r="A42" t="inlineStr">
        <is>
          <t>900000360</t>
        </is>
      </c>
      <c r="B42" t="inlineStr">
        <is>
          <t>DW75</t>
        </is>
      </c>
      <c r="C42" t="inlineStr">
        <is>
          <t>D349</t>
        </is>
      </c>
      <c r="D42" t="inlineStr">
        <is>
          <t>10009436</t>
        </is>
      </c>
      <c r="E42" t="inlineStr"/>
      <c r="F42" s="11" t="n">
        <v>205.9</v>
      </c>
      <c r="G42" t="inlineStr"/>
      <c r="I42" t="inlineStr">
        <is>
          <t>TN</t>
        </is>
      </c>
      <c r="J42" t="inlineStr"/>
      <c r="K42" t="inlineStr">
        <is>
          <t>20240726</t>
        </is>
      </c>
      <c r="L42" t="inlineStr">
        <is>
          <t>20241023</t>
        </is>
      </c>
    </row>
    <row r="43">
      <c r="A43" t="inlineStr">
        <is>
          <t>900000372</t>
        </is>
      </c>
      <c r="B43" t="inlineStr">
        <is>
          <t>DW75</t>
        </is>
      </c>
      <c r="C43" t="inlineStr">
        <is>
          <t>D278</t>
        </is>
      </c>
      <c r="D43" t="inlineStr">
        <is>
          <t>10218211</t>
        </is>
      </c>
      <c r="E43" t="inlineStr"/>
      <c r="F43" s="11" t="n">
        <v>232.91</v>
      </c>
      <c r="G43" t="inlineStr"/>
      <c r="I43" t="inlineStr">
        <is>
          <t>TN</t>
        </is>
      </c>
      <c r="J43" t="inlineStr"/>
      <c r="K43" t="inlineStr">
        <is>
          <t>20220516</t>
        </is>
      </c>
      <c r="L43" t="inlineStr">
        <is>
          <t>20241216</t>
        </is>
      </c>
    </row>
    <row r="44">
      <c r="A44" t="inlineStr">
        <is>
          <t>900000372</t>
        </is>
      </c>
      <c r="B44" t="inlineStr">
        <is>
          <t>DW75</t>
        </is>
      </c>
      <c r="C44" t="inlineStr">
        <is>
          <t>D312</t>
        </is>
      </c>
      <c r="D44" t="inlineStr">
        <is>
          <t>10218211</t>
        </is>
      </c>
      <c r="E44" t="inlineStr"/>
      <c r="F44" s="11" t="n">
        <v>232.91</v>
      </c>
      <c r="G44" t="inlineStr"/>
      <c r="I44" t="inlineStr">
        <is>
          <t>TN</t>
        </is>
      </c>
      <c r="J44" t="inlineStr"/>
      <c r="K44" t="inlineStr">
        <is>
          <t>20220516</t>
        </is>
      </c>
      <c r="L44" t="inlineStr">
        <is>
          <t>20241216</t>
        </is>
      </c>
    </row>
    <row r="45">
      <c r="A45" t="inlineStr">
        <is>
          <t>900000372</t>
        </is>
      </c>
      <c r="B45" t="inlineStr">
        <is>
          <t>DW75</t>
        </is>
      </c>
      <c r="C45" t="inlineStr">
        <is>
          <t>D327</t>
        </is>
      </c>
      <c r="D45" t="inlineStr">
        <is>
          <t>10218211</t>
        </is>
      </c>
      <c r="E45" t="inlineStr"/>
      <c r="F45" s="11" t="n">
        <v>232.91</v>
      </c>
      <c r="G45" t="inlineStr"/>
      <c r="I45" t="inlineStr">
        <is>
          <t>TN</t>
        </is>
      </c>
      <c r="J45" t="inlineStr"/>
      <c r="K45" t="inlineStr">
        <is>
          <t>20220516</t>
        </is>
      </c>
      <c r="L45" t="inlineStr">
        <is>
          <t>20241216</t>
        </is>
      </c>
    </row>
    <row r="46">
      <c r="A46" t="inlineStr">
        <is>
          <t>900000372</t>
        </is>
      </c>
      <c r="B46" t="inlineStr">
        <is>
          <t>DW75</t>
        </is>
      </c>
      <c r="C46" t="inlineStr">
        <is>
          <t>D343</t>
        </is>
      </c>
      <c r="D46" t="inlineStr">
        <is>
          <t>10218211</t>
        </is>
      </c>
      <c r="E46" t="inlineStr"/>
      <c r="F46" s="11" t="n">
        <v>232.91</v>
      </c>
      <c r="G46" t="inlineStr"/>
      <c r="I46" t="inlineStr">
        <is>
          <t>TN</t>
        </is>
      </c>
      <c r="J46" t="inlineStr"/>
      <c r="K46" t="inlineStr">
        <is>
          <t>20220516</t>
        </is>
      </c>
      <c r="L46" t="inlineStr">
        <is>
          <t>20241216</t>
        </is>
      </c>
    </row>
    <row r="47">
      <c r="A47" t="inlineStr">
        <is>
          <t>900000372</t>
        </is>
      </c>
      <c r="B47" t="inlineStr">
        <is>
          <t>DW75</t>
        </is>
      </c>
      <c r="C47" t="inlineStr">
        <is>
          <t>D349</t>
        </is>
      </c>
      <c r="D47" t="inlineStr">
        <is>
          <t>10218211</t>
        </is>
      </c>
      <c r="E47" t="inlineStr"/>
      <c r="F47" s="11" t="n">
        <v>232.91</v>
      </c>
      <c r="G47" t="inlineStr"/>
      <c r="I47" t="inlineStr">
        <is>
          <t>TN</t>
        </is>
      </c>
      <c r="J47" t="inlineStr"/>
      <c r="K47" t="inlineStr">
        <is>
          <t>20220516</t>
        </is>
      </c>
      <c r="L47" t="inlineStr">
        <is>
          <t>20241216</t>
        </is>
      </c>
    </row>
    <row r="48">
      <c r="A48" t="inlineStr">
        <is>
          <t>900002370</t>
        </is>
      </c>
      <c r="B48" t="inlineStr">
        <is>
          <t>DW75</t>
        </is>
      </c>
      <c r="C48" t="inlineStr">
        <is>
          <t>D063</t>
        </is>
      </c>
      <c r="D48" t="inlineStr">
        <is>
          <t>10043600</t>
        </is>
      </c>
      <c r="E48" t="inlineStr"/>
      <c r="F48" s="11" t="n">
        <v>236.35</v>
      </c>
      <c r="G48" t="inlineStr"/>
      <c r="I48" t="inlineStr">
        <is>
          <t>TN</t>
        </is>
      </c>
      <c r="J48" t="inlineStr"/>
      <c r="K48" t="inlineStr">
        <is>
          <t>20220516</t>
        </is>
      </c>
      <c r="L48" t="inlineStr">
        <is>
          <t>20241216</t>
        </is>
      </c>
    </row>
    <row r="49">
      <c r="A49" t="inlineStr">
        <is>
          <t>900002370</t>
        </is>
      </c>
      <c r="B49" t="inlineStr">
        <is>
          <t>DW75</t>
        </is>
      </c>
      <c r="C49" t="inlineStr">
        <is>
          <t>D063</t>
        </is>
      </c>
      <c r="D49" t="inlineStr">
        <is>
          <t>10043601</t>
        </is>
      </c>
      <c r="E49" t="inlineStr"/>
      <c r="F49" s="11" t="n">
        <v>236.75</v>
      </c>
      <c r="G49" t="inlineStr"/>
      <c r="I49" t="inlineStr">
        <is>
          <t>TN</t>
        </is>
      </c>
      <c r="J49" t="inlineStr"/>
      <c r="K49" t="inlineStr">
        <is>
          <t>20220516</t>
        </is>
      </c>
      <c r="L49" t="inlineStr">
        <is>
          <t>20241216</t>
        </is>
      </c>
    </row>
    <row r="50">
      <c r="A50" t="inlineStr">
        <is>
          <t>900002370</t>
        </is>
      </c>
      <c r="B50" t="inlineStr">
        <is>
          <t>DW75</t>
        </is>
      </c>
      <c r="C50" t="inlineStr">
        <is>
          <t>D063</t>
        </is>
      </c>
      <c r="D50" t="inlineStr">
        <is>
          <t>10045642</t>
        </is>
      </c>
      <c r="E50" t="inlineStr"/>
      <c r="F50" s="11" t="n">
        <v>206.19</v>
      </c>
      <c r="G50" t="inlineStr"/>
      <c r="I50" t="inlineStr">
        <is>
          <t>TN</t>
        </is>
      </c>
      <c r="J50" t="inlineStr"/>
      <c r="K50" t="inlineStr">
        <is>
          <t>20220516</t>
        </is>
      </c>
      <c r="L50" t="inlineStr">
        <is>
          <t>20241216</t>
        </is>
      </c>
    </row>
    <row r="51">
      <c r="A51" t="inlineStr">
        <is>
          <t>900002370</t>
        </is>
      </c>
      <c r="B51" t="inlineStr">
        <is>
          <t>DW75</t>
        </is>
      </c>
      <c r="C51" t="inlineStr">
        <is>
          <t>D063</t>
        </is>
      </c>
      <c r="D51" t="inlineStr">
        <is>
          <t>10147933</t>
        </is>
      </c>
      <c r="E51" t="inlineStr"/>
      <c r="F51" s="11" t="n">
        <v>220.42</v>
      </c>
      <c r="G51" t="inlineStr"/>
      <c r="I51" t="inlineStr">
        <is>
          <t>TN</t>
        </is>
      </c>
      <c r="J51" t="inlineStr"/>
      <c r="K51" t="inlineStr">
        <is>
          <t>20220516</t>
        </is>
      </c>
      <c r="L51" t="inlineStr">
        <is>
          <t>20241216</t>
        </is>
      </c>
    </row>
    <row r="52">
      <c r="A52" t="inlineStr">
        <is>
          <t>900002370</t>
        </is>
      </c>
      <c r="B52" t="inlineStr">
        <is>
          <t>DW75</t>
        </is>
      </c>
      <c r="C52" t="inlineStr">
        <is>
          <t>D063</t>
        </is>
      </c>
      <c r="D52" t="inlineStr">
        <is>
          <t>10151191</t>
        </is>
      </c>
      <c r="E52" t="inlineStr"/>
      <c r="F52" s="11" t="n">
        <v>227.09</v>
      </c>
      <c r="G52" t="inlineStr"/>
      <c r="I52" t="inlineStr">
        <is>
          <t>TN</t>
        </is>
      </c>
      <c r="J52" t="inlineStr"/>
      <c r="K52" t="inlineStr">
        <is>
          <t>20250301</t>
        </is>
      </c>
      <c r="L52" t="inlineStr">
        <is>
          <t>20251031</t>
        </is>
      </c>
    </row>
    <row r="53">
      <c r="A53" t="inlineStr">
        <is>
          <t>900002370</t>
        </is>
      </c>
      <c r="B53" t="inlineStr">
        <is>
          <t>DW75</t>
        </is>
      </c>
      <c r="C53" t="inlineStr">
        <is>
          <t>D063</t>
        </is>
      </c>
      <c r="D53" t="inlineStr">
        <is>
          <t>10189747</t>
        </is>
      </c>
      <c r="E53" t="inlineStr"/>
      <c r="F53" s="11" t="n">
        <v>235.35</v>
      </c>
      <c r="G53" t="inlineStr"/>
      <c r="I53" t="inlineStr">
        <is>
          <t>TN</t>
        </is>
      </c>
      <c r="J53" t="inlineStr"/>
      <c r="K53" t="inlineStr">
        <is>
          <t>20220516</t>
        </is>
      </c>
      <c r="L53" t="inlineStr">
        <is>
          <t>20241216</t>
        </is>
      </c>
    </row>
    <row r="54">
      <c r="A54" t="inlineStr">
        <is>
          <t>900002370</t>
        </is>
      </c>
      <c r="B54" t="inlineStr">
        <is>
          <t>DW75</t>
        </is>
      </c>
      <c r="C54" t="inlineStr">
        <is>
          <t>D112</t>
        </is>
      </c>
      <c r="D54" t="inlineStr">
        <is>
          <t>10043600</t>
        </is>
      </c>
      <c r="E54" t="inlineStr"/>
      <c r="F54" s="11" t="n">
        <v>236.35</v>
      </c>
      <c r="G54" t="inlineStr"/>
      <c r="I54" t="inlineStr">
        <is>
          <t>TN</t>
        </is>
      </c>
      <c r="J54" t="inlineStr"/>
      <c r="K54" t="inlineStr">
        <is>
          <t>20220516</t>
        </is>
      </c>
      <c r="L54" t="inlineStr">
        <is>
          <t>20241216</t>
        </is>
      </c>
    </row>
    <row r="55">
      <c r="A55" t="inlineStr">
        <is>
          <t>900002370</t>
        </is>
      </c>
      <c r="B55" t="inlineStr">
        <is>
          <t>DW75</t>
        </is>
      </c>
      <c r="C55" t="inlineStr">
        <is>
          <t>D112</t>
        </is>
      </c>
      <c r="D55" t="inlineStr">
        <is>
          <t>10043601</t>
        </is>
      </c>
      <c r="E55" t="inlineStr"/>
      <c r="F55" s="11" t="n">
        <v>236.75</v>
      </c>
      <c r="G55" t="inlineStr"/>
      <c r="I55" t="inlineStr">
        <is>
          <t>TN</t>
        </is>
      </c>
      <c r="J55" t="inlineStr"/>
      <c r="K55" t="inlineStr">
        <is>
          <t>20220516</t>
        </is>
      </c>
      <c r="L55" t="inlineStr">
        <is>
          <t>20241216</t>
        </is>
      </c>
    </row>
    <row r="56">
      <c r="A56" t="inlineStr">
        <is>
          <t>900002370</t>
        </is>
      </c>
      <c r="B56" t="inlineStr">
        <is>
          <t>DW75</t>
        </is>
      </c>
      <c r="C56" t="inlineStr">
        <is>
          <t>D112</t>
        </is>
      </c>
      <c r="D56" t="inlineStr">
        <is>
          <t>10045642</t>
        </is>
      </c>
      <c r="E56" t="inlineStr"/>
      <c r="F56" s="11" t="n">
        <v>206.19</v>
      </c>
      <c r="G56" t="inlineStr"/>
      <c r="I56" t="inlineStr">
        <is>
          <t>TN</t>
        </is>
      </c>
      <c r="J56" t="inlineStr"/>
      <c r="K56" t="inlineStr">
        <is>
          <t>20220516</t>
        </is>
      </c>
      <c r="L56" t="inlineStr">
        <is>
          <t>20241216</t>
        </is>
      </c>
    </row>
    <row r="57">
      <c r="A57" t="inlineStr">
        <is>
          <t>900002370</t>
        </is>
      </c>
      <c r="B57" t="inlineStr">
        <is>
          <t>DW75</t>
        </is>
      </c>
      <c r="C57" t="inlineStr">
        <is>
          <t>D112</t>
        </is>
      </c>
      <c r="D57" t="inlineStr">
        <is>
          <t>10147933</t>
        </is>
      </c>
      <c r="E57" t="inlineStr"/>
      <c r="F57" s="11" t="n">
        <v>220.42</v>
      </c>
      <c r="G57" t="inlineStr"/>
      <c r="I57" t="inlineStr">
        <is>
          <t>TN</t>
        </is>
      </c>
      <c r="J57" t="inlineStr"/>
      <c r="K57" t="inlineStr">
        <is>
          <t>20220516</t>
        </is>
      </c>
      <c r="L57" t="inlineStr">
        <is>
          <t>20241216</t>
        </is>
      </c>
    </row>
    <row r="58">
      <c r="A58" t="inlineStr">
        <is>
          <t>900002370</t>
        </is>
      </c>
      <c r="B58" t="inlineStr">
        <is>
          <t>DW75</t>
        </is>
      </c>
      <c r="C58" t="inlineStr">
        <is>
          <t>D112</t>
        </is>
      </c>
      <c r="D58" t="inlineStr">
        <is>
          <t>10151191</t>
        </is>
      </c>
      <c r="E58" t="inlineStr"/>
      <c r="F58" s="11" t="n">
        <v>227.09</v>
      </c>
      <c r="G58" t="inlineStr"/>
      <c r="I58" t="inlineStr">
        <is>
          <t>TN</t>
        </is>
      </c>
      <c r="J58" t="inlineStr"/>
      <c r="K58" t="inlineStr">
        <is>
          <t>20250301</t>
        </is>
      </c>
      <c r="L58" t="inlineStr">
        <is>
          <t>20251031</t>
        </is>
      </c>
    </row>
    <row r="59">
      <c r="A59" t="inlineStr">
        <is>
          <t>900002370</t>
        </is>
      </c>
      <c r="B59" t="inlineStr">
        <is>
          <t>DW75</t>
        </is>
      </c>
      <c r="C59" t="inlineStr">
        <is>
          <t>D112</t>
        </is>
      </c>
      <c r="D59" t="inlineStr">
        <is>
          <t>10189747</t>
        </is>
      </c>
      <c r="E59" t="inlineStr"/>
      <c r="F59" s="11" t="n">
        <v>235.35</v>
      </c>
      <c r="G59" t="inlineStr"/>
      <c r="I59" t="inlineStr">
        <is>
          <t>TN</t>
        </is>
      </c>
      <c r="J59" t="inlineStr"/>
      <c r="K59" t="inlineStr">
        <is>
          <t>20220516</t>
        </is>
      </c>
      <c r="L59" t="inlineStr">
        <is>
          <t>20241216</t>
        </is>
      </c>
    </row>
    <row r="60">
      <c r="A60" t="inlineStr">
        <is>
          <t>900002370</t>
        </is>
      </c>
      <c r="B60" t="inlineStr">
        <is>
          <t>DW75</t>
        </is>
      </c>
      <c r="C60" t="inlineStr">
        <is>
          <t>D278</t>
        </is>
      </c>
      <c r="D60" t="inlineStr">
        <is>
          <t>10000364</t>
        </is>
      </c>
      <c r="E60" t="inlineStr"/>
      <c r="F60" s="11" t="n">
        <v>146.13</v>
      </c>
      <c r="G60" t="inlineStr"/>
      <c r="I60" t="inlineStr">
        <is>
          <t>TN</t>
        </is>
      </c>
      <c r="J60" t="inlineStr"/>
      <c r="K60" t="inlineStr">
        <is>
          <t>20220516</t>
        </is>
      </c>
      <c r="L60" t="inlineStr">
        <is>
          <t>20241216</t>
        </is>
      </c>
    </row>
    <row r="61">
      <c r="A61" t="inlineStr">
        <is>
          <t>900002370</t>
        </is>
      </c>
      <c r="B61" t="inlineStr">
        <is>
          <t>DW75</t>
        </is>
      </c>
      <c r="C61" t="inlineStr">
        <is>
          <t>D278</t>
        </is>
      </c>
      <c r="D61" t="inlineStr">
        <is>
          <t>10043600</t>
        </is>
      </c>
      <c r="E61" t="inlineStr"/>
      <c r="F61" s="11" t="n">
        <v>248.31</v>
      </c>
      <c r="G61" t="inlineStr"/>
      <c r="I61" t="inlineStr">
        <is>
          <t>TN</t>
        </is>
      </c>
      <c r="J61" t="inlineStr"/>
      <c r="K61" t="inlineStr">
        <is>
          <t>20250301</t>
        </is>
      </c>
      <c r="L61" t="inlineStr">
        <is>
          <t>99991231</t>
        </is>
      </c>
    </row>
    <row r="62">
      <c r="A62" t="inlineStr">
        <is>
          <t>900002370</t>
        </is>
      </c>
      <c r="B62" t="inlineStr">
        <is>
          <t>DW75</t>
        </is>
      </c>
      <c r="C62" t="inlineStr">
        <is>
          <t>D278</t>
        </is>
      </c>
      <c r="D62" t="inlineStr">
        <is>
          <t>10043601</t>
        </is>
      </c>
      <c r="E62" t="inlineStr"/>
      <c r="F62" s="11" t="n">
        <v>248.73</v>
      </c>
      <c r="G62" t="inlineStr"/>
      <c r="I62" t="inlineStr">
        <is>
          <t>TN</t>
        </is>
      </c>
      <c r="J62" t="inlineStr"/>
      <c r="K62" t="inlineStr">
        <is>
          <t>20250301</t>
        </is>
      </c>
      <c r="L62" t="inlineStr">
        <is>
          <t>99991231</t>
        </is>
      </c>
    </row>
    <row r="63">
      <c r="A63" t="inlineStr">
        <is>
          <t>900002370</t>
        </is>
      </c>
      <c r="B63" t="inlineStr">
        <is>
          <t>DW75</t>
        </is>
      </c>
      <c r="C63" t="inlineStr">
        <is>
          <t>D278</t>
        </is>
      </c>
      <c r="D63" t="inlineStr">
        <is>
          <t>10045642</t>
        </is>
      </c>
      <c r="E63" t="inlineStr"/>
      <c r="F63" s="11" t="n">
        <v>237.12</v>
      </c>
      <c r="G63" t="inlineStr"/>
      <c r="I63" t="inlineStr">
        <is>
          <t>TN</t>
        </is>
      </c>
      <c r="J63" t="inlineStr"/>
      <c r="K63" t="inlineStr">
        <is>
          <t>20250301</t>
        </is>
      </c>
      <c r="L63" t="inlineStr">
        <is>
          <t>99991231</t>
        </is>
      </c>
    </row>
    <row r="64">
      <c r="A64" t="inlineStr">
        <is>
          <t>900002370</t>
        </is>
      </c>
      <c r="B64" t="inlineStr">
        <is>
          <t>DW75</t>
        </is>
      </c>
      <c r="C64" t="inlineStr">
        <is>
          <t>D278</t>
        </is>
      </c>
      <c r="D64" t="inlineStr">
        <is>
          <t>10147933</t>
        </is>
      </c>
      <c r="E64" t="inlineStr"/>
      <c r="F64" s="11" t="n">
        <v>253.49</v>
      </c>
      <c r="G64" t="inlineStr"/>
      <c r="I64" t="inlineStr">
        <is>
          <t>TN</t>
        </is>
      </c>
      <c r="J64" t="inlineStr"/>
      <c r="K64" t="inlineStr">
        <is>
          <t>20250301</t>
        </is>
      </c>
      <c r="L64" t="inlineStr">
        <is>
          <t>20260215</t>
        </is>
      </c>
    </row>
    <row r="65">
      <c r="A65" t="inlineStr">
        <is>
          <t>900002370</t>
        </is>
      </c>
      <c r="B65" t="inlineStr">
        <is>
          <t>DW75</t>
        </is>
      </c>
      <c r="C65" t="inlineStr">
        <is>
          <t>D278</t>
        </is>
      </c>
      <c r="D65" t="inlineStr">
        <is>
          <t>10151191</t>
        </is>
      </c>
      <c r="E65" t="inlineStr"/>
      <c r="F65" s="11" t="n">
        <v>227.09</v>
      </c>
      <c r="G65" t="inlineStr"/>
      <c r="I65" t="inlineStr">
        <is>
          <t>TN</t>
        </is>
      </c>
      <c r="J65" t="inlineStr"/>
      <c r="K65" t="inlineStr">
        <is>
          <t>20250301</t>
        </is>
      </c>
      <c r="L65" t="inlineStr">
        <is>
          <t>20260215</t>
        </is>
      </c>
    </row>
    <row r="66">
      <c r="A66" t="inlineStr">
        <is>
          <t>900002370</t>
        </is>
      </c>
      <c r="B66" t="inlineStr">
        <is>
          <t>DW75</t>
        </is>
      </c>
      <c r="C66" t="inlineStr">
        <is>
          <t>D278</t>
        </is>
      </c>
      <c r="D66" t="inlineStr">
        <is>
          <t>10189747</t>
        </is>
      </c>
      <c r="E66" t="inlineStr"/>
      <c r="F66" s="11" t="n">
        <v>235.35</v>
      </c>
      <c r="G66" t="inlineStr"/>
      <c r="I66" t="inlineStr">
        <is>
          <t>TN</t>
        </is>
      </c>
      <c r="J66" t="inlineStr"/>
      <c r="K66" t="inlineStr">
        <is>
          <t>20220516</t>
        </is>
      </c>
      <c r="L66" t="inlineStr">
        <is>
          <t>20241216</t>
        </is>
      </c>
    </row>
    <row r="67">
      <c r="A67" t="inlineStr">
        <is>
          <t>900002370</t>
        </is>
      </c>
      <c r="B67" t="inlineStr">
        <is>
          <t>DW75</t>
        </is>
      </c>
      <c r="C67" t="inlineStr">
        <is>
          <t>D285</t>
        </is>
      </c>
      <c r="D67" t="inlineStr">
        <is>
          <t>10043600</t>
        </is>
      </c>
      <c r="E67" t="inlineStr"/>
      <c r="F67" s="11" t="n">
        <v>146.4</v>
      </c>
      <c r="G67" t="inlineStr"/>
      <c r="I67" t="inlineStr">
        <is>
          <t>TN</t>
        </is>
      </c>
      <c r="J67" t="inlineStr"/>
      <c r="K67" t="inlineStr">
        <is>
          <t>20220516</t>
        </is>
      </c>
      <c r="L67" t="inlineStr">
        <is>
          <t>20241216</t>
        </is>
      </c>
    </row>
    <row r="68">
      <c r="A68" t="inlineStr">
        <is>
          <t>900002370</t>
        </is>
      </c>
      <c r="B68" t="inlineStr">
        <is>
          <t>DW75</t>
        </is>
      </c>
      <c r="C68" t="inlineStr">
        <is>
          <t>D285</t>
        </is>
      </c>
      <c r="D68" t="inlineStr">
        <is>
          <t>10043601</t>
        </is>
      </c>
      <c r="E68" t="inlineStr"/>
      <c r="F68" s="11" t="n">
        <v>146.65</v>
      </c>
      <c r="G68" t="inlineStr"/>
      <c r="I68" t="inlineStr">
        <is>
          <t>TN</t>
        </is>
      </c>
      <c r="J68" t="inlineStr"/>
      <c r="K68" t="inlineStr">
        <is>
          <t>20220516</t>
        </is>
      </c>
      <c r="L68" t="inlineStr">
        <is>
          <t>20241216</t>
        </is>
      </c>
    </row>
    <row r="69">
      <c r="A69" t="inlineStr">
        <is>
          <t>900002370</t>
        </is>
      </c>
      <c r="B69" t="inlineStr">
        <is>
          <t>DW75</t>
        </is>
      </c>
      <c r="C69" t="inlineStr">
        <is>
          <t>D285</t>
        </is>
      </c>
      <c r="D69" t="inlineStr">
        <is>
          <t>10045642</t>
        </is>
      </c>
      <c r="E69" t="inlineStr"/>
      <c r="F69" s="11" t="n">
        <v>127.72</v>
      </c>
      <c r="G69" t="inlineStr"/>
      <c r="I69" t="inlineStr">
        <is>
          <t>TN</t>
        </is>
      </c>
      <c r="J69" t="inlineStr"/>
      <c r="K69" t="inlineStr">
        <is>
          <t>20220516</t>
        </is>
      </c>
      <c r="L69" t="inlineStr">
        <is>
          <t>20241216</t>
        </is>
      </c>
    </row>
    <row r="70">
      <c r="A70" t="inlineStr">
        <is>
          <t>900002370</t>
        </is>
      </c>
      <c r="B70" t="inlineStr">
        <is>
          <t>DW75</t>
        </is>
      </c>
      <c r="C70" t="inlineStr">
        <is>
          <t>D312</t>
        </is>
      </c>
      <c r="D70" t="inlineStr">
        <is>
          <t>10000364</t>
        </is>
      </c>
      <c r="E70" t="inlineStr"/>
      <c r="F70" s="11" t="n">
        <v>146.13</v>
      </c>
      <c r="G70" t="inlineStr"/>
      <c r="I70" t="inlineStr">
        <is>
          <t>TN</t>
        </is>
      </c>
      <c r="J70" t="inlineStr"/>
      <c r="K70" t="inlineStr">
        <is>
          <t>20220516</t>
        </is>
      </c>
      <c r="L70" t="inlineStr">
        <is>
          <t>20241216</t>
        </is>
      </c>
    </row>
    <row r="71">
      <c r="A71" t="inlineStr">
        <is>
          <t>900002370</t>
        </is>
      </c>
      <c r="B71" t="inlineStr">
        <is>
          <t>DW75</t>
        </is>
      </c>
      <c r="C71" t="inlineStr">
        <is>
          <t>D312</t>
        </is>
      </c>
      <c r="D71" t="inlineStr">
        <is>
          <t>10043600</t>
        </is>
      </c>
      <c r="E71" t="inlineStr"/>
      <c r="F71" s="11" t="n">
        <v>218.84</v>
      </c>
      <c r="G71" t="inlineStr"/>
      <c r="I71" t="inlineStr">
        <is>
          <t>TN</t>
        </is>
      </c>
      <c r="J71" t="inlineStr"/>
      <c r="K71" t="inlineStr">
        <is>
          <t>20220516</t>
        </is>
      </c>
      <c r="L71" t="inlineStr">
        <is>
          <t>20241216</t>
        </is>
      </c>
    </row>
    <row r="72">
      <c r="A72" t="inlineStr">
        <is>
          <t>900002370</t>
        </is>
      </c>
      <c r="B72" t="inlineStr">
        <is>
          <t>DW75</t>
        </is>
      </c>
      <c r="C72" t="inlineStr">
        <is>
          <t>D312</t>
        </is>
      </c>
      <c r="D72" t="inlineStr">
        <is>
          <t>10043601</t>
        </is>
      </c>
      <c r="E72" t="inlineStr"/>
      <c r="F72" s="11" t="n">
        <v>219.21</v>
      </c>
      <c r="G72" t="inlineStr"/>
      <c r="I72" t="inlineStr">
        <is>
          <t>TN</t>
        </is>
      </c>
      <c r="J72" t="inlineStr"/>
      <c r="K72" t="inlineStr">
        <is>
          <t>20220516</t>
        </is>
      </c>
      <c r="L72" t="inlineStr">
        <is>
          <t>20241216</t>
        </is>
      </c>
    </row>
    <row r="73">
      <c r="A73" t="inlineStr">
        <is>
          <t>900002370</t>
        </is>
      </c>
      <c r="B73" t="inlineStr">
        <is>
          <t>DW75</t>
        </is>
      </c>
      <c r="C73" t="inlineStr">
        <is>
          <t>D312</t>
        </is>
      </c>
      <c r="D73" t="inlineStr">
        <is>
          <t>10045642</t>
        </is>
      </c>
      <c r="E73" t="inlineStr"/>
      <c r="F73" s="11" t="n">
        <v>190.92</v>
      </c>
      <c r="G73" t="inlineStr"/>
      <c r="I73" t="inlineStr">
        <is>
          <t>TN</t>
        </is>
      </c>
      <c r="J73" t="inlineStr"/>
      <c r="K73" t="inlineStr">
        <is>
          <t>20220516</t>
        </is>
      </c>
      <c r="L73" t="inlineStr">
        <is>
          <t>20241216</t>
        </is>
      </c>
    </row>
    <row r="74">
      <c r="A74" t="inlineStr">
        <is>
          <t>900002370</t>
        </is>
      </c>
      <c r="B74" t="inlineStr">
        <is>
          <t>DW75</t>
        </is>
      </c>
      <c r="C74" t="inlineStr">
        <is>
          <t>D312</t>
        </is>
      </c>
      <c r="D74" t="inlineStr">
        <is>
          <t>10147933</t>
        </is>
      </c>
      <c r="E74" t="inlineStr"/>
      <c r="F74" s="11" t="n">
        <v>204.1</v>
      </c>
      <c r="G74" t="inlineStr"/>
      <c r="I74" t="inlineStr">
        <is>
          <t>TN</t>
        </is>
      </c>
      <c r="J74" t="inlineStr"/>
      <c r="K74" t="inlineStr">
        <is>
          <t>20220516</t>
        </is>
      </c>
      <c r="L74" t="inlineStr">
        <is>
          <t>20241216</t>
        </is>
      </c>
    </row>
    <row r="75">
      <c r="A75" t="inlineStr">
        <is>
          <t>900002370</t>
        </is>
      </c>
      <c r="B75" t="inlineStr">
        <is>
          <t>DW75</t>
        </is>
      </c>
      <c r="C75" t="inlineStr">
        <is>
          <t>D312</t>
        </is>
      </c>
      <c r="D75" t="inlineStr">
        <is>
          <t>10151191</t>
        </is>
      </c>
      <c r="E75" t="inlineStr"/>
      <c r="F75" s="11" t="n">
        <v>200.13</v>
      </c>
      <c r="G75" t="inlineStr"/>
      <c r="I75" t="inlineStr">
        <is>
          <t>TN</t>
        </is>
      </c>
      <c r="J75" t="inlineStr"/>
      <c r="K75" t="inlineStr">
        <is>
          <t>20220516</t>
        </is>
      </c>
      <c r="L75" t="inlineStr">
        <is>
          <t>20241216</t>
        </is>
      </c>
    </row>
    <row r="76">
      <c r="A76" t="inlineStr">
        <is>
          <t>900002370</t>
        </is>
      </c>
      <c r="B76" t="inlineStr">
        <is>
          <t>DW75</t>
        </is>
      </c>
      <c r="C76" t="inlineStr">
        <is>
          <t>D312</t>
        </is>
      </c>
      <c r="D76" t="inlineStr">
        <is>
          <t>10189747</t>
        </is>
      </c>
      <c r="E76" t="inlineStr"/>
      <c r="F76" s="11" t="n">
        <v>217.91</v>
      </c>
      <c r="G76" t="inlineStr"/>
      <c r="I76" t="inlineStr">
        <is>
          <t>TN</t>
        </is>
      </c>
      <c r="J76" t="inlineStr"/>
      <c r="K76" t="inlineStr">
        <is>
          <t>20220516</t>
        </is>
      </c>
      <c r="L76" t="inlineStr">
        <is>
          <t>20241216</t>
        </is>
      </c>
    </row>
    <row r="77">
      <c r="A77" t="inlineStr">
        <is>
          <t>900002370</t>
        </is>
      </c>
      <c r="B77" t="inlineStr">
        <is>
          <t>DW75</t>
        </is>
      </c>
      <c r="C77" t="inlineStr">
        <is>
          <t>D315</t>
        </is>
      </c>
      <c r="D77" t="inlineStr">
        <is>
          <t>10000364</t>
        </is>
      </c>
      <c r="E77" t="inlineStr"/>
      <c r="F77" s="11" t="n">
        <v>288.57</v>
      </c>
      <c r="G77" t="inlineStr"/>
      <c r="I77" t="inlineStr">
        <is>
          <t>TN</t>
        </is>
      </c>
      <c r="J77" t="inlineStr"/>
      <c r="K77" t="inlineStr">
        <is>
          <t>20220516</t>
        </is>
      </c>
      <c r="L77" t="inlineStr">
        <is>
          <t>20241216</t>
        </is>
      </c>
    </row>
    <row r="78">
      <c r="A78" t="inlineStr">
        <is>
          <t>900002370</t>
        </is>
      </c>
      <c r="B78" t="inlineStr">
        <is>
          <t>DW75</t>
        </is>
      </c>
      <c r="C78" t="inlineStr">
        <is>
          <t>D315</t>
        </is>
      </c>
      <c r="D78" t="inlineStr">
        <is>
          <t>10000587</t>
        </is>
      </c>
      <c r="E78" t="inlineStr"/>
      <c r="F78" s="11" t="n">
        <v>67.89</v>
      </c>
      <c r="G78" t="inlineStr"/>
      <c r="I78" t="inlineStr">
        <is>
          <t>TN</t>
        </is>
      </c>
      <c r="J78" t="inlineStr"/>
      <c r="K78" t="inlineStr">
        <is>
          <t>20220516</t>
        </is>
      </c>
      <c r="L78" t="inlineStr">
        <is>
          <t>20241216</t>
        </is>
      </c>
    </row>
    <row r="79">
      <c r="A79" t="inlineStr">
        <is>
          <t>900002370</t>
        </is>
      </c>
      <c r="B79" t="inlineStr">
        <is>
          <t>DW75</t>
        </is>
      </c>
      <c r="C79" t="inlineStr">
        <is>
          <t>D315</t>
        </is>
      </c>
      <c r="D79" t="inlineStr">
        <is>
          <t>10043600</t>
        </is>
      </c>
      <c r="E79" t="inlineStr"/>
      <c r="F79" s="11" t="n">
        <v>178.11</v>
      </c>
      <c r="G79" t="inlineStr"/>
      <c r="I79" t="inlineStr">
        <is>
          <t>TN</t>
        </is>
      </c>
      <c r="J79" t="inlineStr"/>
      <c r="K79" t="inlineStr">
        <is>
          <t>20220516</t>
        </is>
      </c>
      <c r="L79" t="inlineStr">
        <is>
          <t>20241216</t>
        </is>
      </c>
    </row>
    <row r="80">
      <c r="A80" t="inlineStr">
        <is>
          <t>900002370</t>
        </is>
      </c>
      <c r="B80" t="inlineStr">
        <is>
          <t>DW75</t>
        </is>
      </c>
      <c r="C80" t="inlineStr">
        <is>
          <t>D315</t>
        </is>
      </c>
      <c r="D80" t="inlineStr">
        <is>
          <t>10043601</t>
        </is>
      </c>
      <c r="E80" t="inlineStr"/>
      <c r="F80" s="11" t="n">
        <v>178.41</v>
      </c>
      <c r="G80" t="inlineStr"/>
      <c r="I80" t="inlineStr">
        <is>
          <t>TN</t>
        </is>
      </c>
      <c r="J80" t="inlineStr"/>
      <c r="K80" t="inlineStr">
        <is>
          <t>20220516</t>
        </is>
      </c>
      <c r="L80" t="inlineStr">
        <is>
          <t>20241216</t>
        </is>
      </c>
    </row>
    <row r="81">
      <c r="A81" t="inlineStr">
        <is>
          <t>900002370</t>
        </is>
      </c>
      <c r="B81" t="inlineStr">
        <is>
          <t>DW75</t>
        </is>
      </c>
      <c r="C81" t="inlineStr">
        <is>
          <t>D315</t>
        </is>
      </c>
      <c r="D81" t="inlineStr">
        <is>
          <t>10045642</t>
        </is>
      </c>
      <c r="E81" t="inlineStr"/>
      <c r="F81" s="11" t="n">
        <v>155.38</v>
      </c>
      <c r="G81" t="inlineStr"/>
      <c r="I81" t="inlineStr">
        <is>
          <t>TN</t>
        </is>
      </c>
      <c r="J81" t="inlineStr"/>
      <c r="K81" t="inlineStr">
        <is>
          <t>20220516</t>
        </is>
      </c>
      <c r="L81" t="inlineStr">
        <is>
          <t>20241216</t>
        </is>
      </c>
    </row>
    <row r="82">
      <c r="A82" t="inlineStr">
        <is>
          <t>900002370</t>
        </is>
      </c>
      <c r="B82" t="inlineStr">
        <is>
          <t>DW75</t>
        </is>
      </c>
      <c r="C82" t="inlineStr">
        <is>
          <t>D315</t>
        </is>
      </c>
      <c r="D82" t="inlineStr">
        <is>
          <t>10147933</t>
        </is>
      </c>
      <c r="E82" t="inlineStr"/>
      <c r="F82" s="11" t="n">
        <v>166.11</v>
      </c>
      <c r="G82" t="inlineStr"/>
      <c r="I82" t="inlineStr">
        <is>
          <t>TN</t>
        </is>
      </c>
      <c r="J82" t="inlineStr"/>
      <c r="K82" t="inlineStr">
        <is>
          <t>20220516</t>
        </is>
      </c>
      <c r="L82" t="inlineStr">
        <is>
          <t>20241216</t>
        </is>
      </c>
    </row>
    <row r="83">
      <c r="A83" t="inlineStr">
        <is>
          <t>900002370</t>
        </is>
      </c>
      <c r="B83" t="inlineStr">
        <is>
          <t>DW75</t>
        </is>
      </c>
      <c r="C83" t="inlineStr">
        <is>
          <t>D315</t>
        </is>
      </c>
      <c r="D83" t="inlineStr">
        <is>
          <t>10151191</t>
        </is>
      </c>
      <c r="E83" t="inlineStr"/>
      <c r="F83" s="11" t="n">
        <v>162.88</v>
      </c>
      <c r="G83" t="inlineStr"/>
      <c r="I83" t="inlineStr">
        <is>
          <t>TN</t>
        </is>
      </c>
      <c r="J83" t="inlineStr"/>
      <c r="K83" t="inlineStr">
        <is>
          <t>20220516</t>
        </is>
      </c>
      <c r="L83" t="inlineStr">
        <is>
          <t>20241216</t>
        </is>
      </c>
    </row>
    <row r="84">
      <c r="A84" t="inlineStr">
        <is>
          <t>900002370</t>
        </is>
      </c>
      <c r="B84" t="inlineStr">
        <is>
          <t>DW75</t>
        </is>
      </c>
      <c r="C84" t="inlineStr">
        <is>
          <t>D315</t>
        </is>
      </c>
      <c r="D84" t="inlineStr">
        <is>
          <t>10189747</t>
        </is>
      </c>
      <c r="E84" t="inlineStr"/>
      <c r="F84" s="11" t="n">
        <v>177.35</v>
      </c>
      <c r="G84" t="inlineStr"/>
      <c r="I84" t="inlineStr">
        <is>
          <t>TN</t>
        </is>
      </c>
      <c r="J84" t="inlineStr"/>
      <c r="K84" t="inlineStr">
        <is>
          <t>20220516</t>
        </is>
      </c>
      <c r="L84" t="inlineStr">
        <is>
          <t>20241216</t>
        </is>
      </c>
    </row>
    <row r="85">
      <c r="A85" t="inlineStr">
        <is>
          <t>900002370</t>
        </is>
      </c>
      <c r="B85" t="inlineStr">
        <is>
          <t>DW75</t>
        </is>
      </c>
      <c r="C85" t="inlineStr">
        <is>
          <t>D327</t>
        </is>
      </c>
      <c r="D85" t="inlineStr">
        <is>
          <t>10000364</t>
        </is>
      </c>
      <c r="E85" t="inlineStr"/>
      <c r="F85" s="11" t="n">
        <v>146.13</v>
      </c>
      <c r="G85" t="inlineStr"/>
      <c r="I85" t="inlineStr">
        <is>
          <t>TN</t>
        </is>
      </c>
      <c r="J85" t="inlineStr"/>
      <c r="K85" t="inlineStr">
        <is>
          <t>20220516</t>
        </is>
      </c>
      <c r="L85" t="inlineStr">
        <is>
          <t>20241216</t>
        </is>
      </c>
    </row>
    <row r="86">
      <c r="A86" t="inlineStr">
        <is>
          <t>900002370</t>
        </is>
      </c>
      <c r="B86" t="inlineStr">
        <is>
          <t>DW75</t>
        </is>
      </c>
      <c r="C86" t="inlineStr">
        <is>
          <t>D327</t>
        </is>
      </c>
      <c r="D86" t="inlineStr">
        <is>
          <t>10000587</t>
        </is>
      </c>
      <c r="E86" t="inlineStr"/>
      <c r="F86" s="11" t="n">
        <v>80</v>
      </c>
      <c r="G86" t="inlineStr"/>
      <c r="I86" t="inlineStr">
        <is>
          <t>TN</t>
        </is>
      </c>
      <c r="J86" t="inlineStr"/>
      <c r="K86" t="inlineStr">
        <is>
          <t>20220516</t>
        </is>
      </c>
      <c r="L86" t="inlineStr">
        <is>
          <t>20241216</t>
        </is>
      </c>
    </row>
    <row r="87">
      <c r="A87" t="inlineStr">
        <is>
          <t>900002370</t>
        </is>
      </c>
      <c r="B87" t="inlineStr">
        <is>
          <t>DW75</t>
        </is>
      </c>
      <c r="C87" t="inlineStr">
        <is>
          <t>D327</t>
        </is>
      </c>
      <c r="D87" t="inlineStr">
        <is>
          <t>10043600</t>
        </is>
      </c>
      <c r="E87" t="inlineStr"/>
      <c r="F87" s="11" t="n">
        <v>218.84</v>
      </c>
      <c r="G87" t="inlineStr"/>
      <c r="I87" t="inlineStr">
        <is>
          <t>TN</t>
        </is>
      </c>
      <c r="J87" t="inlineStr"/>
      <c r="K87" t="inlineStr">
        <is>
          <t>20220516</t>
        </is>
      </c>
      <c r="L87" t="inlineStr">
        <is>
          <t>20241216</t>
        </is>
      </c>
    </row>
    <row r="88">
      <c r="A88" t="inlineStr">
        <is>
          <t>900002370</t>
        </is>
      </c>
      <c r="B88" t="inlineStr">
        <is>
          <t>DW75</t>
        </is>
      </c>
      <c r="C88" t="inlineStr">
        <is>
          <t>D327</t>
        </is>
      </c>
      <c r="D88" t="inlineStr">
        <is>
          <t>10043601</t>
        </is>
      </c>
      <c r="E88" t="inlineStr"/>
      <c r="F88" s="11" t="n">
        <v>219.21</v>
      </c>
      <c r="G88" t="inlineStr"/>
      <c r="I88" t="inlineStr">
        <is>
          <t>TN</t>
        </is>
      </c>
      <c r="J88" t="inlineStr"/>
      <c r="K88" t="inlineStr">
        <is>
          <t>20220516</t>
        </is>
      </c>
      <c r="L88" t="inlineStr">
        <is>
          <t>20241216</t>
        </is>
      </c>
    </row>
    <row r="89">
      <c r="A89" t="inlineStr">
        <is>
          <t>900002370</t>
        </is>
      </c>
      <c r="B89" t="inlineStr">
        <is>
          <t>DW75</t>
        </is>
      </c>
      <c r="C89" t="inlineStr">
        <is>
          <t>D327</t>
        </is>
      </c>
      <c r="D89" t="inlineStr">
        <is>
          <t>10045642</t>
        </is>
      </c>
      <c r="E89" t="inlineStr"/>
      <c r="F89" s="11" t="n">
        <v>190.92</v>
      </c>
      <c r="G89" t="inlineStr"/>
      <c r="I89" t="inlineStr">
        <is>
          <t>TN</t>
        </is>
      </c>
      <c r="J89" t="inlineStr"/>
      <c r="K89" t="inlineStr">
        <is>
          <t>20220516</t>
        </is>
      </c>
      <c r="L89" t="inlineStr">
        <is>
          <t>20241216</t>
        </is>
      </c>
    </row>
    <row r="90">
      <c r="A90" t="inlineStr">
        <is>
          <t>900002370</t>
        </is>
      </c>
      <c r="B90" t="inlineStr">
        <is>
          <t>DW75</t>
        </is>
      </c>
      <c r="C90" t="inlineStr">
        <is>
          <t>D327</t>
        </is>
      </c>
      <c r="D90" t="inlineStr">
        <is>
          <t>10147933</t>
        </is>
      </c>
      <c r="E90" t="inlineStr"/>
      <c r="F90" s="11" t="n">
        <v>204.1</v>
      </c>
      <c r="G90" t="inlineStr"/>
      <c r="I90" t="inlineStr">
        <is>
          <t>TN</t>
        </is>
      </c>
      <c r="J90" t="inlineStr"/>
      <c r="K90" t="inlineStr">
        <is>
          <t>20220516</t>
        </is>
      </c>
      <c r="L90" t="inlineStr">
        <is>
          <t>20241216</t>
        </is>
      </c>
    </row>
    <row r="91">
      <c r="A91" t="inlineStr">
        <is>
          <t>900002370</t>
        </is>
      </c>
      <c r="B91" t="inlineStr">
        <is>
          <t>DW75</t>
        </is>
      </c>
      <c r="C91" t="inlineStr">
        <is>
          <t>D327</t>
        </is>
      </c>
      <c r="D91" t="inlineStr">
        <is>
          <t>10151191</t>
        </is>
      </c>
      <c r="E91" t="inlineStr"/>
      <c r="F91" s="11" t="n">
        <v>200.13</v>
      </c>
      <c r="G91" t="inlineStr"/>
      <c r="I91" t="inlineStr">
        <is>
          <t>TN</t>
        </is>
      </c>
      <c r="J91" t="inlineStr"/>
      <c r="K91" t="inlineStr">
        <is>
          <t>20220516</t>
        </is>
      </c>
      <c r="L91" t="inlineStr">
        <is>
          <t>20241216</t>
        </is>
      </c>
    </row>
    <row r="92">
      <c r="A92" t="inlineStr">
        <is>
          <t>900002370</t>
        </is>
      </c>
      <c r="B92" t="inlineStr">
        <is>
          <t>DW75</t>
        </is>
      </c>
      <c r="C92" t="inlineStr">
        <is>
          <t>D327</t>
        </is>
      </c>
      <c r="D92" t="inlineStr">
        <is>
          <t>10189747</t>
        </is>
      </c>
      <c r="E92" t="inlineStr"/>
      <c r="F92" s="11" t="n">
        <v>217.91</v>
      </c>
      <c r="G92" t="inlineStr"/>
      <c r="I92" t="inlineStr">
        <is>
          <t>TN</t>
        </is>
      </c>
      <c r="J92" t="inlineStr"/>
      <c r="K92" t="inlineStr">
        <is>
          <t>20220516</t>
        </is>
      </c>
      <c r="L92" t="inlineStr">
        <is>
          <t>20241216</t>
        </is>
      </c>
    </row>
    <row r="93">
      <c r="A93" t="inlineStr">
        <is>
          <t>900002370</t>
        </is>
      </c>
      <c r="B93" t="inlineStr">
        <is>
          <t>DW75</t>
        </is>
      </c>
      <c r="C93" t="inlineStr">
        <is>
          <t>D331</t>
        </is>
      </c>
      <c r="D93" t="inlineStr">
        <is>
          <t>10000364</t>
        </is>
      </c>
      <c r="E93" t="inlineStr"/>
      <c r="F93" s="11" t="n">
        <v>288.57</v>
      </c>
      <c r="G93" t="inlineStr"/>
      <c r="I93" t="inlineStr">
        <is>
          <t>TN</t>
        </is>
      </c>
      <c r="J93" t="inlineStr"/>
      <c r="K93" t="inlineStr">
        <is>
          <t>20220516</t>
        </is>
      </c>
      <c r="L93" t="inlineStr">
        <is>
          <t>20241216</t>
        </is>
      </c>
    </row>
    <row r="94">
      <c r="A94" t="inlineStr">
        <is>
          <t>900002370</t>
        </is>
      </c>
      <c r="B94" t="inlineStr">
        <is>
          <t>DW75</t>
        </is>
      </c>
      <c r="C94" t="inlineStr">
        <is>
          <t>D331</t>
        </is>
      </c>
      <c r="D94" t="inlineStr">
        <is>
          <t>10000587</t>
        </is>
      </c>
      <c r="E94" t="inlineStr"/>
      <c r="F94" s="11" t="n">
        <v>67.89</v>
      </c>
      <c r="G94" t="inlineStr"/>
      <c r="I94" t="inlineStr">
        <is>
          <t>TN</t>
        </is>
      </c>
      <c r="J94" t="inlineStr"/>
      <c r="K94" t="inlineStr">
        <is>
          <t>20220516</t>
        </is>
      </c>
      <c r="L94" t="inlineStr">
        <is>
          <t>20241216</t>
        </is>
      </c>
    </row>
    <row r="95">
      <c r="A95" t="inlineStr">
        <is>
          <t>900002370</t>
        </is>
      </c>
      <c r="B95" t="inlineStr">
        <is>
          <t>DW75</t>
        </is>
      </c>
      <c r="C95" t="inlineStr">
        <is>
          <t>D331</t>
        </is>
      </c>
      <c r="D95" t="inlineStr">
        <is>
          <t>10043600</t>
        </is>
      </c>
      <c r="E95" t="inlineStr"/>
      <c r="F95" s="11" t="n">
        <v>157.24</v>
      </c>
      <c r="G95" t="inlineStr"/>
      <c r="I95" t="inlineStr">
        <is>
          <t>TN</t>
        </is>
      </c>
      <c r="J95" t="inlineStr"/>
      <c r="K95" t="inlineStr">
        <is>
          <t>20220516</t>
        </is>
      </c>
      <c r="L95" t="inlineStr">
        <is>
          <t>20241216</t>
        </is>
      </c>
    </row>
    <row r="96">
      <c r="A96" t="inlineStr">
        <is>
          <t>900002370</t>
        </is>
      </c>
      <c r="B96" t="inlineStr">
        <is>
          <t>DW75</t>
        </is>
      </c>
      <c r="C96" t="inlineStr">
        <is>
          <t>D331</t>
        </is>
      </c>
      <c r="D96" t="inlineStr">
        <is>
          <t>10043601</t>
        </is>
      </c>
      <c r="E96" t="inlineStr"/>
      <c r="F96" s="11" t="n">
        <v>157.51</v>
      </c>
      <c r="G96" t="inlineStr"/>
      <c r="I96" t="inlineStr">
        <is>
          <t>TN</t>
        </is>
      </c>
      <c r="J96" t="inlineStr"/>
      <c r="K96" t="inlineStr">
        <is>
          <t>20220516</t>
        </is>
      </c>
      <c r="L96" t="inlineStr">
        <is>
          <t>20241216</t>
        </is>
      </c>
    </row>
    <row r="97">
      <c r="A97" t="inlineStr">
        <is>
          <t>900002370</t>
        </is>
      </c>
      <c r="B97" t="inlineStr">
        <is>
          <t>DW75</t>
        </is>
      </c>
      <c r="C97" t="inlineStr">
        <is>
          <t>D331</t>
        </is>
      </c>
      <c r="D97" t="inlineStr">
        <is>
          <t>10045642</t>
        </is>
      </c>
      <c r="E97" t="inlineStr"/>
      <c r="F97" s="11" t="n">
        <v>137.18</v>
      </c>
      <c r="G97" t="inlineStr"/>
      <c r="I97" t="inlineStr">
        <is>
          <t>TN</t>
        </is>
      </c>
      <c r="J97" t="inlineStr"/>
      <c r="K97" t="inlineStr">
        <is>
          <t>20220516</t>
        </is>
      </c>
      <c r="L97" t="inlineStr">
        <is>
          <t>20241216</t>
        </is>
      </c>
    </row>
    <row r="98">
      <c r="A98" t="inlineStr">
        <is>
          <t>900002370</t>
        </is>
      </c>
      <c r="B98" t="inlineStr">
        <is>
          <t>DW75</t>
        </is>
      </c>
      <c r="C98" t="inlineStr">
        <is>
          <t>D331</t>
        </is>
      </c>
      <c r="D98" t="inlineStr">
        <is>
          <t>10147933</t>
        </is>
      </c>
      <c r="E98" t="inlineStr"/>
      <c r="F98" s="11" t="n">
        <v>146.65</v>
      </c>
      <c r="G98" t="inlineStr"/>
      <c r="I98" t="inlineStr">
        <is>
          <t>TN</t>
        </is>
      </c>
      <c r="J98" t="inlineStr"/>
      <c r="K98" t="inlineStr">
        <is>
          <t>20220516</t>
        </is>
      </c>
      <c r="L98" t="inlineStr">
        <is>
          <t>20241216</t>
        </is>
      </c>
    </row>
    <row r="99">
      <c r="A99" t="inlineStr">
        <is>
          <t>900002370</t>
        </is>
      </c>
      <c r="B99" t="inlineStr">
        <is>
          <t>DW75</t>
        </is>
      </c>
      <c r="C99" t="inlineStr">
        <is>
          <t>D331</t>
        </is>
      </c>
      <c r="D99" t="inlineStr">
        <is>
          <t>10151191</t>
        </is>
      </c>
      <c r="E99" t="inlineStr"/>
      <c r="F99" s="11" t="n">
        <v>143.8</v>
      </c>
      <c r="G99" t="inlineStr"/>
      <c r="I99" t="inlineStr">
        <is>
          <t>TN</t>
        </is>
      </c>
      <c r="J99" t="inlineStr"/>
      <c r="K99" t="inlineStr">
        <is>
          <t>20220516</t>
        </is>
      </c>
      <c r="L99" t="inlineStr">
        <is>
          <t>20241216</t>
        </is>
      </c>
    </row>
    <row r="100">
      <c r="A100" t="inlineStr">
        <is>
          <t>900002370</t>
        </is>
      </c>
      <c r="B100" t="inlineStr">
        <is>
          <t>DW75</t>
        </is>
      </c>
      <c r="C100" t="inlineStr">
        <is>
          <t>D343</t>
        </is>
      </c>
      <c r="D100" t="inlineStr">
        <is>
          <t>10000364</t>
        </is>
      </c>
      <c r="E100" t="inlineStr"/>
      <c r="F100" s="11" t="n">
        <v>146.13</v>
      </c>
      <c r="G100" t="inlineStr"/>
      <c r="I100" t="inlineStr">
        <is>
          <t>TN</t>
        </is>
      </c>
      <c r="J100" t="inlineStr"/>
      <c r="K100" t="inlineStr">
        <is>
          <t>20220516</t>
        </is>
      </c>
      <c r="L100" t="inlineStr">
        <is>
          <t>20241216</t>
        </is>
      </c>
    </row>
    <row r="101">
      <c r="A101" t="inlineStr">
        <is>
          <t>900002370</t>
        </is>
      </c>
      <c r="B101" t="inlineStr">
        <is>
          <t>DW75</t>
        </is>
      </c>
      <c r="C101" t="inlineStr">
        <is>
          <t>D343</t>
        </is>
      </c>
      <c r="D101" t="inlineStr">
        <is>
          <t>10043600</t>
        </is>
      </c>
      <c r="E101" t="inlineStr"/>
      <c r="F101" s="11" t="n">
        <v>248.31</v>
      </c>
      <c r="G101" t="inlineStr"/>
      <c r="I101" t="inlineStr">
        <is>
          <t>TN</t>
        </is>
      </c>
      <c r="J101" t="inlineStr"/>
      <c r="K101" t="inlineStr">
        <is>
          <t>20250301</t>
        </is>
      </c>
      <c r="L101" t="inlineStr">
        <is>
          <t>99991231</t>
        </is>
      </c>
    </row>
    <row r="102">
      <c r="A102" t="inlineStr">
        <is>
          <t>900002370</t>
        </is>
      </c>
      <c r="B102" t="inlineStr">
        <is>
          <t>DW75</t>
        </is>
      </c>
      <c r="C102" t="inlineStr">
        <is>
          <t>D343</t>
        </is>
      </c>
      <c r="D102" t="inlineStr">
        <is>
          <t>10043601</t>
        </is>
      </c>
      <c r="E102" t="inlineStr"/>
      <c r="F102" s="11" t="n">
        <v>248.73</v>
      </c>
      <c r="G102" t="inlineStr"/>
      <c r="I102" t="inlineStr">
        <is>
          <t>TN</t>
        </is>
      </c>
      <c r="J102" t="inlineStr"/>
      <c r="K102" t="inlineStr">
        <is>
          <t>20250301</t>
        </is>
      </c>
      <c r="L102" t="inlineStr">
        <is>
          <t>99991231</t>
        </is>
      </c>
    </row>
    <row r="103">
      <c r="A103" t="inlineStr">
        <is>
          <t>900002370</t>
        </is>
      </c>
      <c r="B103" t="inlineStr">
        <is>
          <t>DW75</t>
        </is>
      </c>
      <c r="C103" t="inlineStr">
        <is>
          <t>D343</t>
        </is>
      </c>
      <c r="D103" t="inlineStr">
        <is>
          <t>10045642</t>
        </is>
      </c>
      <c r="E103" t="inlineStr"/>
      <c r="F103" s="11" t="n">
        <v>237.12</v>
      </c>
      <c r="G103" t="inlineStr"/>
      <c r="I103" t="inlineStr">
        <is>
          <t>TN</t>
        </is>
      </c>
      <c r="J103" t="inlineStr"/>
      <c r="K103" t="inlineStr">
        <is>
          <t>20250301</t>
        </is>
      </c>
      <c r="L103" t="inlineStr">
        <is>
          <t>20260215</t>
        </is>
      </c>
    </row>
    <row r="104">
      <c r="A104" t="inlineStr">
        <is>
          <t>900002370</t>
        </is>
      </c>
      <c r="B104" t="inlineStr">
        <is>
          <t>DW75</t>
        </is>
      </c>
      <c r="C104" t="inlineStr">
        <is>
          <t>D343</t>
        </is>
      </c>
      <c r="D104" t="inlineStr">
        <is>
          <t>10147933</t>
        </is>
      </c>
      <c r="E104" t="inlineStr"/>
      <c r="F104" s="11" t="n">
        <v>253.49</v>
      </c>
      <c r="G104" t="inlineStr"/>
      <c r="I104" t="inlineStr">
        <is>
          <t>TN</t>
        </is>
      </c>
      <c r="J104" t="inlineStr"/>
      <c r="K104" t="inlineStr">
        <is>
          <t>20250301</t>
        </is>
      </c>
      <c r="L104" t="inlineStr">
        <is>
          <t>20260215</t>
        </is>
      </c>
    </row>
    <row r="105">
      <c r="A105" t="inlineStr">
        <is>
          <t>900002370</t>
        </is>
      </c>
      <c r="B105" t="inlineStr">
        <is>
          <t>DW75</t>
        </is>
      </c>
      <c r="C105" t="inlineStr">
        <is>
          <t>D343</t>
        </is>
      </c>
      <c r="D105" t="inlineStr">
        <is>
          <t>10151191</t>
        </is>
      </c>
      <c r="E105" t="inlineStr"/>
      <c r="F105" s="11" t="n">
        <v>227.09</v>
      </c>
      <c r="G105" t="inlineStr"/>
      <c r="I105" t="inlineStr">
        <is>
          <t>TN</t>
        </is>
      </c>
      <c r="J105" t="inlineStr"/>
      <c r="K105" t="inlineStr">
        <is>
          <t>20250301</t>
        </is>
      </c>
      <c r="L105" t="inlineStr">
        <is>
          <t>99991231</t>
        </is>
      </c>
    </row>
    <row r="106">
      <c r="A106" t="inlineStr">
        <is>
          <t>900002370</t>
        </is>
      </c>
      <c r="B106" t="inlineStr">
        <is>
          <t>DW75</t>
        </is>
      </c>
      <c r="C106" t="inlineStr">
        <is>
          <t>D343</t>
        </is>
      </c>
      <c r="D106" t="inlineStr">
        <is>
          <t>10189747</t>
        </is>
      </c>
      <c r="E106" t="inlineStr"/>
      <c r="F106" s="11" t="n">
        <v>235.35</v>
      </c>
      <c r="G106" t="inlineStr"/>
      <c r="I106" t="inlineStr">
        <is>
          <t>TN</t>
        </is>
      </c>
      <c r="J106" t="inlineStr"/>
      <c r="K106" t="inlineStr">
        <is>
          <t>20220516</t>
        </is>
      </c>
      <c r="L106" t="inlineStr">
        <is>
          <t>20241216</t>
        </is>
      </c>
    </row>
    <row r="107">
      <c r="A107" t="inlineStr">
        <is>
          <t>900002370</t>
        </is>
      </c>
      <c r="B107" t="inlineStr">
        <is>
          <t>DW75</t>
        </is>
      </c>
      <c r="C107" t="inlineStr">
        <is>
          <t>D349</t>
        </is>
      </c>
      <c r="D107" t="inlineStr">
        <is>
          <t>10000364</t>
        </is>
      </c>
      <c r="E107" t="inlineStr"/>
      <c r="F107" s="11" t="n">
        <v>146.13</v>
      </c>
      <c r="G107" t="inlineStr"/>
      <c r="I107" t="inlineStr">
        <is>
          <t>TN</t>
        </is>
      </c>
      <c r="J107" t="inlineStr"/>
      <c r="K107" t="inlineStr">
        <is>
          <t>20220516</t>
        </is>
      </c>
      <c r="L107" t="inlineStr">
        <is>
          <t>20241216</t>
        </is>
      </c>
    </row>
    <row r="108">
      <c r="A108" t="inlineStr">
        <is>
          <t>900002370</t>
        </is>
      </c>
      <c r="B108" t="inlineStr">
        <is>
          <t>DW75</t>
        </is>
      </c>
      <c r="C108" t="inlineStr">
        <is>
          <t>D349</t>
        </is>
      </c>
      <c r="D108" t="inlineStr">
        <is>
          <t>10000587</t>
        </is>
      </c>
      <c r="E108" t="inlineStr"/>
      <c r="F108" s="11" t="n">
        <v>75.73</v>
      </c>
      <c r="G108" t="inlineStr"/>
      <c r="I108" t="inlineStr">
        <is>
          <t>TN</t>
        </is>
      </c>
      <c r="J108" t="inlineStr"/>
      <c r="K108" t="inlineStr">
        <is>
          <t>20220516</t>
        </is>
      </c>
      <c r="L108" t="inlineStr">
        <is>
          <t>20241216</t>
        </is>
      </c>
    </row>
    <row r="109">
      <c r="A109" t="inlineStr">
        <is>
          <t>900002370</t>
        </is>
      </c>
      <c r="B109" t="inlineStr">
        <is>
          <t>DW75</t>
        </is>
      </c>
      <c r="C109" t="inlineStr">
        <is>
          <t>D349</t>
        </is>
      </c>
      <c r="D109" t="inlineStr">
        <is>
          <t>10043600</t>
        </is>
      </c>
      <c r="E109" t="inlineStr"/>
      <c r="F109" s="11" t="n">
        <v>248.31</v>
      </c>
      <c r="G109" t="inlineStr"/>
      <c r="I109" t="inlineStr">
        <is>
          <t>TN</t>
        </is>
      </c>
      <c r="J109" t="inlineStr"/>
      <c r="K109" t="inlineStr">
        <is>
          <t>20250301</t>
        </is>
      </c>
      <c r="L109" t="inlineStr">
        <is>
          <t>20260215</t>
        </is>
      </c>
    </row>
    <row r="110">
      <c r="A110" t="inlineStr">
        <is>
          <t>900002370</t>
        </is>
      </c>
      <c r="B110" t="inlineStr">
        <is>
          <t>DW75</t>
        </is>
      </c>
      <c r="C110" t="inlineStr">
        <is>
          <t>D349</t>
        </is>
      </c>
      <c r="D110" t="inlineStr">
        <is>
          <t>10043601</t>
        </is>
      </c>
      <c r="E110" t="inlineStr"/>
      <c r="F110" s="11" t="n">
        <v>248.73</v>
      </c>
      <c r="G110" t="inlineStr"/>
      <c r="I110" t="inlineStr">
        <is>
          <t>TN</t>
        </is>
      </c>
      <c r="J110" t="inlineStr"/>
      <c r="K110" t="inlineStr">
        <is>
          <t>20250301</t>
        </is>
      </c>
      <c r="L110" t="inlineStr">
        <is>
          <t>99991231</t>
        </is>
      </c>
    </row>
    <row r="111">
      <c r="A111" t="inlineStr">
        <is>
          <t>900002370</t>
        </is>
      </c>
      <c r="B111" t="inlineStr">
        <is>
          <t>DW75</t>
        </is>
      </c>
      <c r="C111" t="inlineStr">
        <is>
          <t>D349</t>
        </is>
      </c>
      <c r="D111" t="inlineStr">
        <is>
          <t>10045642</t>
        </is>
      </c>
      <c r="E111" t="inlineStr"/>
      <c r="F111" s="11" t="n">
        <v>237.12</v>
      </c>
      <c r="G111" t="inlineStr"/>
      <c r="I111" t="inlineStr">
        <is>
          <t>TN</t>
        </is>
      </c>
      <c r="J111" t="inlineStr"/>
      <c r="K111" t="inlineStr">
        <is>
          <t>20250301</t>
        </is>
      </c>
      <c r="L111" t="inlineStr">
        <is>
          <t>20260215</t>
        </is>
      </c>
    </row>
    <row r="112">
      <c r="A112" t="inlineStr">
        <is>
          <t>900002370</t>
        </is>
      </c>
      <c r="B112" t="inlineStr">
        <is>
          <t>DW75</t>
        </is>
      </c>
      <c r="C112" t="inlineStr">
        <is>
          <t>D349</t>
        </is>
      </c>
      <c r="D112" t="inlineStr">
        <is>
          <t>10147933</t>
        </is>
      </c>
      <c r="E112" t="inlineStr"/>
      <c r="F112" s="11" t="n">
        <v>253.49</v>
      </c>
      <c r="G112" t="inlineStr"/>
      <c r="I112" t="inlineStr">
        <is>
          <t>TN</t>
        </is>
      </c>
      <c r="J112" t="inlineStr"/>
      <c r="K112" t="inlineStr">
        <is>
          <t>20250301</t>
        </is>
      </c>
      <c r="L112" t="inlineStr">
        <is>
          <t>20260215</t>
        </is>
      </c>
    </row>
    <row r="113">
      <c r="A113" t="inlineStr">
        <is>
          <t>900002370</t>
        </is>
      </c>
      <c r="B113" t="inlineStr">
        <is>
          <t>DW75</t>
        </is>
      </c>
      <c r="C113" t="inlineStr">
        <is>
          <t>D349</t>
        </is>
      </c>
      <c r="D113" t="inlineStr">
        <is>
          <t>10151191</t>
        </is>
      </c>
      <c r="E113" t="inlineStr"/>
      <c r="F113" s="11" t="n">
        <v>227.09</v>
      </c>
      <c r="G113" t="inlineStr"/>
      <c r="I113" t="inlineStr">
        <is>
          <t>TN</t>
        </is>
      </c>
      <c r="J113" t="inlineStr"/>
      <c r="K113" t="inlineStr">
        <is>
          <t>20260603</t>
        </is>
      </c>
      <c r="L113" t="inlineStr">
        <is>
          <t>99991231</t>
        </is>
      </c>
    </row>
    <row r="114">
      <c r="A114" t="inlineStr">
        <is>
          <t>900002370</t>
        </is>
      </c>
      <c r="B114" t="inlineStr">
        <is>
          <t>DW75</t>
        </is>
      </c>
      <c r="C114" t="inlineStr">
        <is>
          <t>D349</t>
        </is>
      </c>
      <c r="D114" t="inlineStr">
        <is>
          <t>10189747</t>
        </is>
      </c>
      <c r="E114" t="inlineStr"/>
      <c r="F114" s="11" t="n">
        <v>235.35</v>
      </c>
      <c r="G114" t="inlineStr"/>
      <c r="I114" t="inlineStr">
        <is>
          <t>TN</t>
        </is>
      </c>
      <c r="J114" t="inlineStr"/>
      <c r="K114" t="inlineStr">
        <is>
          <t>20220516</t>
        </is>
      </c>
      <c r="L114" t="inlineStr">
        <is>
          <t>20241216</t>
        </is>
      </c>
    </row>
    <row r="115">
      <c r="A115" t="inlineStr">
        <is>
          <t>900002370</t>
        </is>
      </c>
      <c r="B115" t="inlineStr">
        <is>
          <t>DW75</t>
        </is>
      </c>
      <c r="C115" t="inlineStr">
        <is>
          <t>D358</t>
        </is>
      </c>
      <c r="D115" t="inlineStr">
        <is>
          <t>10043600</t>
        </is>
      </c>
      <c r="E115" t="inlineStr"/>
      <c r="F115" s="11" t="n">
        <v>248.31</v>
      </c>
      <c r="G115" t="inlineStr"/>
      <c r="I115" t="inlineStr">
        <is>
          <t>TN</t>
        </is>
      </c>
      <c r="J115" t="inlineStr"/>
      <c r="K115" t="inlineStr">
        <is>
          <t>20250301</t>
        </is>
      </c>
      <c r="L115" t="inlineStr">
        <is>
          <t>99991231</t>
        </is>
      </c>
    </row>
    <row r="116">
      <c r="A116" t="inlineStr">
        <is>
          <t>900002370</t>
        </is>
      </c>
      <c r="B116" t="inlineStr">
        <is>
          <t>DW75</t>
        </is>
      </c>
      <c r="C116" t="inlineStr">
        <is>
          <t>D358</t>
        </is>
      </c>
      <c r="D116" t="inlineStr">
        <is>
          <t>10043601</t>
        </is>
      </c>
      <c r="E116" t="inlineStr"/>
      <c r="F116" s="11" t="n">
        <v>248.73</v>
      </c>
      <c r="G116" t="inlineStr"/>
      <c r="I116" t="inlineStr">
        <is>
          <t>TN</t>
        </is>
      </c>
      <c r="J116" t="inlineStr"/>
      <c r="K116" t="inlineStr">
        <is>
          <t>20250301</t>
        </is>
      </c>
      <c r="L116" t="inlineStr">
        <is>
          <t>99991231</t>
        </is>
      </c>
    </row>
    <row r="117">
      <c r="A117" t="inlineStr">
        <is>
          <t>900002370</t>
        </is>
      </c>
      <c r="B117" t="inlineStr">
        <is>
          <t>DW75</t>
        </is>
      </c>
      <c r="C117" t="inlineStr">
        <is>
          <t>D358</t>
        </is>
      </c>
      <c r="D117" t="inlineStr">
        <is>
          <t>10045642</t>
        </is>
      </c>
      <c r="E117" t="inlineStr"/>
      <c r="F117" s="11" t="n">
        <v>237.12</v>
      </c>
      <c r="G117" t="inlineStr"/>
      <c r="I117" t="inlineStr">
        <is>
          <t>TN</t>
        </is>
      </c>
      <c r="J117" t="inlineStr"/>
      <c r="K117" t="inlineStr">
        <is>
          <t>20250301</t>
        </is>
      </c>
      <c r="L117" t="inlineStr">
        <is>
          <t>20260215</t>
        </is>
      </c>
    </row>
    <row r="118">
      <c r="A118" t="inlineStr">
        <is>
          <t>900002370</t>
        </is>
      </c>
      <c r="B118" t="inlineStr">
        <is>
          <t>DW75</t>
        </is>
      </c>
      <c r="C118" t="inlineStr">
        <is>
          <t>D358</t>
        </is>
      </c>
      <c r="D118" t="inlineStr">
        <is>
          <t>10147933</t>
        </is>
      </c>
      <c r="E118" t="inlineStr"/>
      <c r="F118" s="11" t="n">
        <v>253.49</v>
      </c>
      <c r="G118" t="inlineStr"/>
      <c r="I118" t="inlineStr">
        <is>
          <t>TN</t>
        </is>
      </c>
      <c r="J118" t="inlineStr"/>
      <c r="K118" t="inlineStr">
        <is>
          <t>20250301</t>
        </is>
      </c>
      <c r="L118" t="inlineStr">
        <is>
          <t>20251031</t>
        </is>
      </c>
    </row>
    <row r="119">
      <c r="A119" t="inlineStr">
        <is>
          <t>900002370</t>
        </is>
      </c>
      <c r="B119" t="inlineStr">
        <is>
          <t>DW75</t>
        </is>
      </c>
      <c r="C119" t="inlineStr">
        <is>
          <t>D358</t>
        </is>
      </c>
      <c r="D119" t="inlineStr">
        <is>
          <t>10151191</t>
        </is>
      </c>
      <c r="E119" t="inlineStr"/>
      <c r="F119" s="11" t="n">
        <v>227.09</v>
      </c>
      <c r="G119" t="inlineStr"/>
      <c r="I119" t="inlineStr">
        <is>
          <t>TN</t>
        </is>
      </c>
      <c r="J119" t="inlineStr"/>
      <c r="K119" t="inlineStr">
        <is>
          <t>20260414</t>
        </is>
      </c>
      <c r="L119" t="inlineStr">
        <is>
          <t>99991231</t>
        </is>
      </c>
    </row>
    <row r="120">
      <c r="A120" t="inlineStr">
        <is>
          <t>900002370</t>
        </is>
      </c>
      <c r="B120" t="inlineStr">
        <is>
          <t>DW75</t>
        </is>
      </c>
      <c r="C120" t="inlineStr">
        <is>
          <t>D678</t>
        </is>
      </c>
      <c r="D120" t="inlineStr">
        <is>
          <t>10000364</t>
        </is>
      </c>
      <c r="E120" t="inlineStr"/>
      <c r="F120" s="11" t="n">
        <v>288.57</v>
      </c>
      <c r="G120" t="inlineStr"/>
      <c r="I120" t="inlineStr">
        <is>
          <t>TN</t>
        </is>
      </c>
      <c r="J120" t="inlineStr"/>
      <c r="K120" t="inlineStr">
        <is>
          <t>20220516</t>
        </is>
      </c>
      <c r="L120" t="inlineStr">
        <is>
          <t>20241216</t>
        </is>
      </c>
    </row>
    <row r="121">
      <c r="A121" t="inlineStr">
        <is>
          <t>900002370</t>
        </is>
      </c>
      <c r="B121" t="inlineStr">
        <is>
          <t>DW75</t>
        </is>
      </c>
      <c r="C121" t="inlineStr">
        <is>
          <t>D678</t>
        </is>
      </c>
      <c r="D121" t="inlineStr">
        <is>
          <t>10000587</t>
        </is>
      </c>
      <c r="E121" t="inlineStr"/>
      <c r="F121" s="11" t="n">
        <v>67.89</v>
      </c>
      <c r="G121" t="inlineStr"/>
      <c r="I121" t="inlineStr">
        <is>
          <t>TN</t>
        </is>
      </c>
      <c r="J121" t="inlineStr"/>
      <c r="K121" t="inlineStr">
        <is>
          <t>20220516</t>
        </is>
      </c>
      <c r="L121" t="inlineStr">
        <is>
          <t>20241216</t>
        </is>
      </c>
    </row>
    <row r="122">
      <c r="A122" t="inlineStr">
        <is>
          <t>900002370</t>
        </is>
      </c>
      <c r="B122" t="inlineStr">
        <is>
          <t>DW75</t>
        </is>
      </c>
      <c r="C122" t="inlineStr">
        <is>
          <t>D678</t>
        </is>
      </c>
      <c r="D122" t="inlineStr">
        <is>
          <t>10043600</t>
        </is>
      </c>
      <c r="E122" t="inlineStr"/>
      <c r="F122" s="11" t="n">
        <v>157.24</v>
      </c>
      <c r="G122" t="inlineStr"/>
      <c r="I122" t="inlineStr">
        <is>
          <t>TN</t>
        </is>
      </c>
      <c r="J122" t="inlineStr"/>
      <c r="K122" t="inlineStr">
        <is>
          <t>20220516</t>
        </is>
      </c>
      <c r="L122" t="inlineStr">
        <is>
          <t>20241216</t>
        </is>
      </c>
    </row>
    <row r="123">
      <c r="A123" t="inlineStr">
        <is>
          <t>900002370</t>
        </is>
      </c>
      <c r="B123" t="inlineStr">
        <is>
          <t>DW75</t>
        </is>
      </c>
      <c r="C123" t="inlineStr">
        <is>
          <t>D678</t>
        </is>
      </c>
      <c r="D123" t="inlineStr">
        <is>
          <t>10043601</t>
        </is>
      </c>
      <c r="E123" t="inlineStr"/>
      <c r="F123" s="11" t="n">
        <v>157.51</v>
      </c>
      <c r="G123" t="inlineStr"/>
      <c r="I123" t="inlineStr">
        <is>
          <t>TN</t>
        </is>
      </c>
      <c r="J123" t="inlineStr"/>
      <c r="K123" t="inlineStr">
        <is>
          <t>20220516</t>
        </is>
      </c>
      <c r="L123" t="inlineStr">
        <is>
          <t>20241216</t>
        </is>
      </c>
    </row>
    <row r="124">
      <c r="A124" t="inlineStr">
        <is>
          <t>900002370</t>
        </is>
      </c>
      <c r="B124" t="inlineStr">
        <is>
          <t>DW75</t>
        </is>
      </c>
      <c r="C124" t="inlineStr">
        <is>
          <t>D678</t>
        </is>
      </c>
      <c r="D124" t="inlineStr">
        <is>
          <t>10045642</t>
        </is>
      </c>
      <c r="E124" t="inlineStr"/>
      <c r="F124" s="11" t="n">
        <v>137.18</v>
      </c>
      <c r="G124" t="inlineStr"/>
      <c r="I124" t="inlineStr">
        <is>
          <t>TN</t>
        </is>
      </c>
      <c r="J124" t="inlineStr"/>
      <c r="K124" t="inlineStr">
        <is>
          <t>20220516</t>
        </is>
      </c>
      <c r="L124" t="inlineStr">
        <is>
          <t>20241216</t>
        </is>
      </c>
    </row>
    <row r="125">
      <c r="A125" t="inlineStr">
        <is>
          <t>900002370</t>
        </is>
      </c>
      <c r="B125" t="inlineStr">
        <is>
          <t>DW75</t>
        </is>
      </c>
      <c r="C125" t="inlineStr">
        <is>
          <t>D678</t>
        </is>
      </c>
      <c r="D125" t="inlineStr">
        <is>
          <t>10147933</t>
        </is>
      </c>
      <c r="E125" t="inlineStr"/>
      <c r="F125" s="11" t="n">
        <v>146.65</v>
      </c>
      <c r="G125" t="inlineStr"/>
      <c r="I125" t="inlineStr">
        <is>
          <t>TN</t>
        </is>
      </c>
      <c r="J125" t="inlineStr"/>
      <c r="K125" t="inlineStr">
        <is>
          <t>20220516</t>
        </is>
      </c>
      <c r="L125" t="inlineStr">
        <is>
          <t>20241216</t>
        </is>
      </c>
    </row>
    <row r="126">
      <c r="A126" t="inlineStr">
        <is>
          <t>900002370</t>
        </is>
      </c>
      <c r="B126" t="inlineStr">
        <is>
          <t>DW75</t>
        </is>
      </c>
      <c r="C126" t="inlineStr">
        <is>
          <t>D678</t>
        </is>
      </c>
      <c r="D126" t="inlineStr">
        <is>
          <t>10151191</t>
        </is>
      </c>
      <c r="E126" t="inlineStr"/>
      <c r="F126" s="11" t="n">
        <v>143.8</v>
      </c>
      <c r="G126" t="inlineStr"/>
      <c r="I126" t="inlineStr">
        <is>
          <t>TN</t>
        </is>
      </c>
      <c r="J126" t="inlineStr"/>
      <c r="K126" t="inlineStr">
        <is>
          <t>20220516</t>
        </is>
      </c>
      <c r="L126" t="inlineStr">
        <is>
          <t>20241216</t>
        </is>
      </c>
    </row>
    <row r="127">
      <c r="A127" t="inlineStr">
        <is>
          <t>900002370</t>
        </is>
      </c>
      <c r="B127" t="inlineStr">
        <is>
          <t>DW75</t>
        </is>
      </c>
      <c r="C127" t="inlineStr">
        <is>
          <t>E674</t>
        </is>
      </c>
      <c r="D127" t="inlineStr">
        <is>
          <t>10043600</t>
        </is>
      </c>
      <c r="E127" t="inlineStr"/>
      <c r="F127" s="11" t="n">
        <v>218.84</v>
      </c>
      <c r="G127" t="inlineStr"/>
      <c r="I127" t="inlineStr">
        <is>
          <t>TN</t>
        </is>
      </c>
      <c r="J127" t="inlineStr"/>
      <c r="K127" t="inlineStr">
        <is>
          <t>20250301</t>
        </is>
      </c>
      <c r="L127" t="inlineStr">
        <is>
          <t>20251031</t>
        </is>
      </c>
    </row>
    <row r="128">
      <c r="A128" t="inlineStr">
        <is>
          <t>900002370</t>
        </is>
      </c>
      <c r="B128" t="inlineStr">
        <is>
          <t>DW75</t>
        </is>
      </c>
      <c r="C128" t="inlineStr">
        <is>
          <t>E674</t>
        </is>
      </c>
      <c r="D128" t="inlineStr">
        <is>
          <t>10043601</t>
        </is>
      </c>
      <c r="E128" t="inlineStr"/>
      <c r="F128" s="11" t="n">
        <v>192.8</v>
      </c>
      <c r="G128" t="inlineStr"/>
      <c r="I128" t="inlineStr">
        <is>
          <t>TN</t>
        </is>
      </c>
      <c r="J128" t="inlineStr"/>
      <c r="K128" t="inlineStr">
        <is>
          <t>20220516</t>
        </is>
      </c>
      <c r="L128" t="inlineStr">
        <is>
          <t>20241216</t>
        </is>
      </c>
    </row>
    <row r="129">
      <c r="A129" t="inlineStr">
        <is>
          <t>900002370</t>
        </is>
      </c>
      <c r="B129" t="inlineStr">
        <is>
          <t>DW75</t>
        </is>
      </c>
      <c r="C129" t="inlineStr">
        <is>
          <t>E674</t>
        </is>
      </c>
      <c r="D129" t="inlineStr">
        <is>
          <t>10045642</t>
        </is>
      </c>
      <c r="E129" t="inlineStr"/>
      <c r="F129" s="11" t="n">
        <v>167.91</v>
      </c>
      <c r="G129" t="inlineStr"/>
      <c r="I129" t="inlineStr">
        <is>
          <t>TN</t>
        </is>
      </c>
      <c r="J129" t="inlineStr"/>
      <c r="K129" t="inlineStr">
        <is>
          <t>20220516</t>
        </is>
      </c>
      <c r="L129" t="inlineStr">
        <is>
          <t>20241216</t>
        </is>
      </c>
    </row>
    <row r="130">
      <c r="A130" t="inlineStr">
        <is>
          <t>900002370</t>
        </is>
      </c>
      <c r="B130" t="inlineStr">
        <is>
          <t>DW75</t>
        </is>
      </c>
      <c r="C130" t="inlineStr">
        <is>
          <t>E674</t>
        </is>
      </c>
      <c r="D130" t="inlineStr">
        <is>
          <t>10147933</t>
        </is>
      </c>
      <c r="E130" t="inlineStr"/>
      <c r="F130" s="11" t="n">
        <v>179.51</v>
      </c>
      <c r="G130" t="inlineStr"/>
      <c r="I130" t="inlineStr">
        <is>
          <t>TN</t>
        </is>
      </c>
      <c r="J130" t="inlineStr"/>
      <c r="K130" t="inlineStr">
        <is>
          <t>20220516</t>
        </is>
      </c>
      <c r="L130" t="inlineStr">
        <is>
          <t>20241216</t>
        </is>
      </c>
    </row>
    <row r="131">
      <c r="A131" t="inlineStr">
        <is>
          <t>900002370</t>
        </is>
      </c>
      <c r="B131" t="inlineStr">
        <is>
          <t>DW75</t>
        </is>
      </c>
      <c r="C131" t="inlineStr">
        <is>
          <t>E674</t>
        </is>
      </c>
      <c r="D131" t="inlineStr">
        <is>
          <t>10151191</t>
        </is>
      </c>
      <c r="E131" t="inlineStr"/>
      <c r="F131" s="11" t="n">
        <v>176.02</v>
      </c>
      <c r="G131" t="inlineStr"/>
      <c r="I131" t="inlineStr">
        <is>
          <t>TN</t>
        </is>
      </c>
      <c r="J131" t="inlineStr"/>
      <c r="K131" t="inlineStr">
        <is>
          <t>20220516</t>
        </is>
      </c>
      <c r="L131" t="inlineStr">
        <is>
          <t>20241216</t>
        </is>
      </c>
    </row>
    <row r="132">
      <c r="A132" t="inlineStr">
        <is>
          <t>900002370</t>
        </is>
      </c>
      <c r="B132" t="inlineStr">
        <is>
          <t>DW75</t>
        </is>
      </c>
      <c r="C132" t="inlineStr">
        <is>
          <t>E674</t>
        </is>
      </c>
      <c r="D132" t="inlineStr">
        <is>
          <t>10189747</t>
        </is>
      </c>
      <c r="E132" t="inlineStr"/>
      <c r="F132" s="11" t="n">
        <v>191.66</v>
      </c>
      <c r="G132" t="inlineStr"/>
      <c r="I132" t="inlineStr">
        <is>
          <t>TN</t>
        </is>
      </c>
      <c r="J132" t="inlineStr"/>
      <c r="K132" t="inlineStr">
        <is>
          <t>20220516</t>
        </is>
      </c>
      <c r="L132" t="inlineStr">
        <is>
          <t>20241216</t>
        </is>
      </c>
    </row>
    <row r="133">
      <c r="A133" t="inlineStr">
        <is>
          <t>900003833</t>
        </is>
      </c>
      <c r="B133" t="inlineStr">
        <is>
          <t>DW75</t>
        </is>
      </c>
      <c r="C133" t="inlineStr">
        <is>
          <t>D278</t>
        </is>
      </c>
      <c r="D133" t="inlineStr">
        <is>
          <t>10222859</t>
        </is>
      </c>
      <c r="E133" t="inlineStr"/>
      <c r="F133" s="11" t="n">
        <v>164.96</v>
      </c>
      <c r="G133" t="inlineStr"/>
      <c r="I133" t="inlineStr">
        <is>
          <t>TN</t>
        </is>
      </c>
      <c r="J133" t="inlineStr"/>
      <c r="K133" t="inlineStr">
        <is>
          <t>20220516</t>
        </is>
      </c>
      <c r="L133" t="inlineStr">
        <is>
          <t>20241216</t>
        </is>
      </c>
    </row>
    <row r="134">
      <c r="A134" t="inlineStr">
        <is>
          <t>900003833</t>
        </is>
      </c>
      <c r="B134" t="inlineStr">
        <is>
          <t>DW75</t>
        </is>
      </c>
      <c r="C134" t="inlineStr">
        <is>
          <t>D327</t>
        </is>
      </c>
      <c r="D134" t="inlineStr">
        <is>
          <t>10222859</t>
        </is>
      </c>
      <c r="E134" t="inlineStr"/>
      <c r="F134" s="11" t="n">
        <v>164.96</v>
      </c>
      <c r="G134" t="inlineStr"/>
      <c r="I134" t="inlineStr">
        <is>
          <t>TN</t>
        </is>
      </c>
      <c r="J134" t="inlineStr"/>
      <c r="K134" t="inlineStr">
        <is>
          <t>20220516</t>
        </is>
      </c>
      <c r="L134" t="inlineStr">
        <is>
          <t>20241216</t>
        </is>
      </c>
    </row>
    <row r="135">
      <c r="A135" t="inlineStr">
        <is>
          <t>900003833</t>
        </is>
      </c>
      <c r="B135" t="inlineStr">
        <is>
          <t>DW75</t>
        </is>
      </c>
      <c r="C135" t="inlineStr">
        <is>
          <t>D343</t>
        </is>
      </c>
      <c r="D135" t="inlineStr">
        <is>
          <t>10222859</t>
        </is>
      </c>
      <c r="E135" t="inlineStr"/>
      <c r="F135" s="11" t="n">
        <v>164.96</v>
      </c>
      <c r="G135" t="inlineStr"/>
      <c r="I135" t="inlineStr">
        <is>
          <t>TN</t>
        </is>
      </c>
      <c r="J135" t="inlineStr"/>
      <c r="K135" t="inlineStr">
        <is>
          <t>20220516</t>
        </is>
      </c>
      <c r="L135" t="inlineStr">
        <is>
          <t>20241216</t>
        </is>
      </c>
    </row>
    <row r="136">
      <c r="A136" t="inlineStr">
        <is>
          <t>900003833</t>
        </is>
      </c>
      <c r="B136" t="inlineStr">
        <is>
          <t>DW75</t>
        </is>
      </c>
      <c r="C136" t="inlineStr">
        <is>
          <t>E674</t>
        </is>
      </c>
      <c r="D136" t="inlineStr">
        <is>
          <t>10222859</t>
        </is>
      </c>
      <c r="E136" t="inlineStr"/>
      <c r="F136" s="11" t="n">
        <v>164.96</v>
      </c>
      <c r="G136" t="inlineStr"/>
      <c r="I136" t="inlineStr">
        <is>
          <t>TN</t>
        </is>
      </c>
      <c r="J136" t="inlineStr"/>
      <c r="K136" t="inlineStr">
        <is>
          <t>20221003</t>
        </is>
      </c>
      <c r="L136" t="inlineStr">
        <is>
          <t>20240801</t>
        </is>
      </c>
    </row>
    <row r="137">
      <c r="A137" t="inlineStr">
        <is>
          <t>900003903</t>
        </is>
      </c>
      <c r="B137" t="inlineStr">
        <is>
          <t>DW75</t>
        </is>
      </c>
      <c r="C137" t="inlineStr">
        <is>
          <t>E674</t>
        </is>
      </c>
      <c r="D137" t="inlineStr">
        <is>
          <t>10000826</t>
        </is>
      </c>
      <c r="E137" t="inlineStr"/>
      <c r="F137" s="11" t="n">
        <v>41.38</v>
      </c>
      <c r="G137" t="inlineStr"/>
      <c r="I137" t="inlineStr">
        <is>
          <t>TN</t>
        </is>
      </c>
      <c r="J137" t="inlineStr"/>
      <c r="K137" t="inlineStr">
        <is>
          <t>20240726</t>
        </is>
      </c>
      <c r="L137" t="inlineStr">
        <is>
          <t>20241023</t>
        </is>
      </c>
    </row>
    <row r="138">
      <c r="A138" t="inlineStr">
        <is>
          <t>900005305</t>
        </is>
      </c>
      <c r="B138" t="inlineStr">
        <is>
          <t>DW75</t>
        </is>
      </c>
      <c r="C138" t="inlineStr">
        <is>
          <t>D063</t>
        </is>
      </c>
      <c r="D138" t="inlineStr">
        <is>
          <t>10151196</t>
        </is>
      </c>
      <c r="E138" t="inlineStr"/>
      <c r="F138" s="11" t="n">
        <v>199.7</v>
      </c>
      <c r="G138" t="inlineStr"/>
      <c r="I138" t="inlineStr">
        <is>
          <t>TN</t>
        </is>
      </c>
      <c r="J138" t="inlineStr"/>
      <c r="K138" t="inlineStr">
        <is>
          <t>20240726</t>
        </is>
      </c>
      <c r="L138" t="inlineStr">
        <is>
          <t>20241023</t>
        </is>
      </c>
    </row>
    <row r="139">
      <c r="A139" t="inlineStr">
        <is>
          <t>900005305</t>
        </is>
      </c>
      <c r="B139" t="inlineStr">
        <is>
          <t>DW75</t>
        </is>
      </c>
      <c r="C139" t="inlineStr">
        <is>
          <t>D112</t>
        </is>
      </c>
      <c r="D139" t="inlineStr">
        <is>
          <t>10151196</t>
        </is>
      </c>
      <c r="E139" t="inlineStr"/>
      <c r="F139" s="11" t="n">
        <v>199.7</v>
      </c>
      <c r="G139" t="inlineStr"/>
      <c r="I139" t="inlineStr">
        <is>
          <t>TN</t>
        </is>
      </c>
      <c r="J139" t="inlineStr"/>
      <c r="K139" t="inlineStr">
        <is>
          <t>20240726</t>
        </is>
      </c>
      <c r="L139" t="inlineStr">
        <is>
          <t>20241023</t>
        </is>
      </c>
    </row>
    <row r="140">
      <c r="A140" t="inlineStr">
        <is>
          <t>900005305</t>
        </is>
      </c>
      <c r="B140" t="inlineStr">
        <is>
          <t>DW75</t>
        </is>
      </c>
      <c r="C140" t="inlineStr">
        <is>
          <t>D278</t>
        </is>
      </c>
      <c r="D140" t="inlineStr">
        <is>
          <t>10151196</t>
        </is>
      </c>
      <c r="E140" t="inlineStr"/>
      <c r="F140" s="11" t="n">
        <v>199.7</v>
      </c>
      <c r="G140" t="inlineStr"/>
      <c r="I140" t="inlineStr">
        <is>
          <t>TN</t>
        </is>
      </c>
      <c r="J140" t="inlineStr"/>
      <c r="K140" t="inlineStr">
        <is>
          <t>20240726</t>
        </is>
      </c>
      <c r="L140" t="inlineStr">
        <is>
          <t>20241023</t>
        </is>
      </c>
    </row>
    <row r="141">
      <c r="A141" t="inlineStr">
        <is>
          <t>900005305</t>
        </is>
      </c>
      <c r="B141" t="inlineStr">
        <is>
          <t>DW75</t>
        </is>
      </c>
      <c r="C141" t="inlineStr">
        <is>
          <t>D343</t>
        </is>
      </c>
      <c r="D141" t="inlineStr">
        <is>
          <t>10151196</t>
        </is>
      </c>
      <c r="E141" t="inlineStr"/>
      <c r="F141" s="11" t="n">
        <v>199.7</v>
      </c>
      <c r="G141" t="inlineStr"/>
      <c r="I141" t="inlineStr">
        <is>
          <t>TN</t>
        </is>
      </c>
      <c r="J141" t="inlineStr"/>
      <c r="K141" t="inlineStr">
        <is>
          <t>20240726</t>
        </is>
      </c>
      <c r="L141" t="inlineStr">
        <is>
          <t>20241023</t>
        </is>
      </c>
    </row>
    <row r="142">
      <c r="A142" t="inlineStr">
        <is>
          <t>900005305</t>
        </is>
      </c>
      <c r="B142" t="inlineStr">
        <is>
          <t>DW75</t>
        </is>
      </c>
      <c r="C142" t="inlineStr">
        <is>
          <t>D349</t>
        </is>
      </c>
      <c r="D142" t="inlineStr">
        <is>
          <t>10151196</t>
        </is>
      </c>
      <c r="E142" t="inlineStr"/>
      <c r="F142" s="11" t="n">
        <v>199.7</v>
      </c>
      <c r="G142" t="inlineStr"/>
      <c r="I142" t="inlineStr">
        <is>
          <t>TN</t>
        </is>
      </c>
      <c r="J142" t="inlineStr"/>
      <c r="K142" t="inlineStr">
        <is>
          <t>20240726</t>
        </is>
      </c>
      <c r="L142" t="inlineStr">
        <is>
          <t>20241023</t>
        </is>
      </c>
    </row>
    <row r="143">
      <c r="A143" t="inlineStr">
        <is>
          <t>900005465</t>
        </is>
      </c>
      <c r="B143" t="inlineStr">
        <is>
          <t>DW75</t>
        </is>
      </c>
      <c r="C143" t="inlineStr">
        <is>
          <t>D063</t>
        </is>
      </c>
      <c r="D143" t="inlineStr">
        <is>
          <t>10000716</t>
        </is>
      </c>
      <c r="E143" t="inlineStr"/>
      <c r="F143" s="11" t="n">
        <v>329.95</v>
      </c>
      <c r="G143" t="inlineStr"/>
      <c r="I143" t="inlineStr">
        <is>
          <t>TN</t>
        </is>
      </c>
      <c r="J143" t="inlineStr"/>
      <c r="K143" t="inlineStr">
        <is>
          <t>20240726</t>
        </is>
      </c>
      <c r="L143" t="inlineStr">
        <is>
          <t>20241023</t>
        </is>
      </c>
    </row>
    <row r="144">
      <c r="A144" t="inlineStr">
        <is>
          <t>900005465</t>
        </is>
      </c>
      <c r="B144" t="inlineStr">
        <is>
          <t>DW75</t>
        </is>
      </c>
      <c r="C144" t="inlineStr">
        <is>
          <t>D063</t>
        </is>
      </c>
      <c r="D144" t="inlineStr">
        <is>
          <t>10147933</t>
        </is>
      </c>
      <c r="E144" t="inlineStr"/>
      <c r="F144" s="11" t="n">
        <v>290.7</v>
      </c>
      <c r="G144" t="inlineStr"/>
      <c r="I144" t="inlineStr">
        <is>
          <t>TN</t>
        </is>
      </c>
      <c r="J144" t="inlineStr"/>
      <c r="K144" t="inlineStr">
        <is>
          <t>20240726</t>
        </is>
      </c>
      <c r="L144" t="inlineStr">
        <is>
          <t>20241023</t>
        </is>
      </c>
    </row>
    <row r="145">
      <c r="A145" t="inlineStr">
        <is>
          <t>900005465</t>
        </is>
      </c>
      <c r="B145" t="inlineStr">
        <is>
          <t>DW75</t>
        </is>
      </c>
      <c r="C145" t="inlineStr">
        <is>
          <t>D063</t>
        </is>
      </c>
      <c r="D145" t="inlineStr">
        <is>
          <t>10149958</t>
        </is>
      </c>
      <c r="E145" t="inlineStr"/>
      <c r="F145" s="11" t="n">
        <v>290.91</v>
      </c>
      <c r="G145" t="inlineStr"/>
      <c r="I145" t="inlineStr">
        <is>
          <t>TN</t>
        </is>
      </c>
      <c r="J145" t="inlineStr"/>
      <c r="K145" t="inlineStr">
        <is>
          <t>20240726</t>
        </is>
      </c>
      <c r="L145" t="inlineStr">
        <is>
          <t>20241023</t>
        </is>
      </c>
    </row>
    <row r="146">
      <c r="A146" t="inlineStr">
        <is>
          <t>900005465</t>
        </is>
      </c>
      <c r="B146" t="inlineStr">
        <is>
          <t>DW75</t>
        </is>
      </c>
      <c r="C146" t="inlineStr">
        <is>
          <t>D063</t>
        </is>
      </c>
      <c r="D146" t="inlineStr">
        <is>
          <t>10150617</t>
        </is>
      </c>
      <c r="E146" t="inlineStr"/>
      <c r="F146" s="11" t="n">
        <v>350.72</v>
      </c>
      <c r="G146" t="inlineStr"/>
      <c r="I146" t="inlineStr">
        <is>
          <t>TN</t>
        </is>
      </c>
      <c r="J146" t="inlineStr"/>
      <c r="K146" t="inlineStr">
        <is>
          <t>20240726</t>
        </is>
      </c>
      <c r="L146" t="inlineStr">
        <is>
          <t>20241023</t>
        </is>
      </c>
    </row>
    <row r="147">
      <c r="A147" t="inlineStr">
        <is>
          <t>900005465</t>
        </is>
      </c>
      <c r="B147" t="inlineStr">
        <is>
          <t>DW75</t>
        </is>
      </c>
      <c r="C147" t="inlineStr">
        <is>
          <t>D063</t>
        </is>
      </c>
      <c r="D147" t="inlineStr">
        <is>
          <t>10151192</t>
        </is>
      </c>
      <c r="E147" t="inlineStr"/>
      <c r="F147" s="11" t="n">
        <v>333.62</v>
      </c>
      <c r="G147" t="inlineStr"/>
      <c r="I147" t="inlineStr">
        <is>
          <t>TN</t>
        </is>
      </c>
      <c r="J147" t="inlineStr"/>
      <c r="K147" t="inlineStr">
        <is>
          <t>20240726</t>
        </is>
      </c>
      <c r="L147" t="inlineStr">
        <is>
          <t>20241023</t>
        </is>
      </c>
    </row>
    <row r="148">
      <c r="A148" t="inlineStr">
        <is>
          <t>900005465</t>
        </is>
      </c>
      <c r="B148" t="inlineStr">
        <is>
          <t>DW75</t>
        </is>
      </c>
      <c r="C148" t="inlineStr">
        <is>
          <t>D112</t>
        </is>
      </c>
      <c r="D148" t="inlineStr">
        <is>
          <t>10000716</t>
        </is>
      </c>
      <c r="E148" t="inlineStr"/>
      <c r="F148" s="11" t="n">
        <v>329.95</v>
      </c>
      <c r="G148" t="inlineStr"/>
      <c r="I148" t="inlineStr">
        <is>
          <t>TN</t>
        </is>
      </c>
      <c r="J148" t="inlineStr"/>
      <c r="K148" t="inlineStr">
        <is>
          <t>20240726</t>
        </is>
      </c>
      <c r="L148" t="inlineStr">
        <is>
          <t>20241023</t>
        </is>
      </c>
    </row>
    <row r="149">
      <c r="A149" t="inlineStr">
        <is>
          <t>900005465</t>
        </is>
      </c>
      <c r="B149" t="inlineStr">
        <is>
          <t>DW75</t>
        </is>
      </c>
      <c r="C149" t="inlineStr">
        <is>
          <t>D112</t>
        </is>
      </c>
      <c r="D149" t="inlineStr">
        <is>
          <t>10147933</t>
        </is>
      </c>
      <c r="E149" t="inlineStr"/>
      <c r="F149" s="11" t="n">
        <v>290.7</v>
      </c>
      <c r="G149" t="inlineStr"/>
      <c r="I149" t="inlineStr">
        <is>
          <t>TN</t>
        </is>
      </c>
      <c r="J149" t="inlineStr"/>
      <c r="K149" t="inlineStr">
        <is>
          <t>20240726</t>
        </is>
      </c>
      <c r="L149" t="inlineStr">
        <is>
          <t>20241023</t>
        </is>
      </c>
    </row>
    <row r="150">
      <c r="A150" t="inlineStr">
        <is>
          <t>900005465</t>
        </is>
      </c>
      <c r="B150" t="inlineStr">
        <is>
          <t>DW75</t>
        </is>
      </c>
      <c r="C150" t="inlineStr">
        <is>
          <t>D112</t>
        </is>
      </c>
      <c r="D150" t="inlineStr">
        <is>
          <t>10149958</t>
        </is>
      </c>
      <c r="E150" t="inlineStr"/>
      <c r="F150" s="11" t="n">
        <v>290.91</v>
      </c>
      <c r="G150" t="inlineStr"/>
      <c r="I150" t="inlineStr">
        <is>
          <t>TN</t>
        </is>
      </c>
      <c r="J150" t="inlineStr"/>
      <c r="K150" t="inlineStr">
        <is>
          <t>20240726</t>
        </is>
      </c>
      <c r="L150" t="inlineStr">
        <is>
          <t>20241023</t>
        </is>
      </c>
    </row>
    <row r="151">
      <c r="A151" t="inlineStr">
        <is>
          <t>900005465</t>
        </is>
      </c>
      <c r="B151" t="inlineStr">
        <is>
          <t>DW75</t>
        </is>
      </c>
      <c r="C151" t="inlineStr">
        <is>
          <t>D112</t>
        </is>
      </c>
      <c r="D151" t="inlineStr">
        <is>
          <t>10150617</t>
        </is>
      </c>
      <c r="E151" t="inlineStr"/>
      <c r="F151" s="11" t="n">
        <v>350.72</v>
      </c>
      <c r="G151" t="inlineStr"/>
      <c r="I151" t="inlineStr">
        <is>
          <t>TN</t>
        </is>
      </c>
      <c r="J151" t="inlineStr"/>
      <c r="K151" t="inlineStr">
        <is>
          <t>20240726</t>
        </is>
      </c>
      <c r="L151" t="inlineStr">
        <is>
          <t>20241023</t>
        </is>
      </c>
    </row>
    <row r="152">
      <c r="A152" t="inlineStr">
        <is>
          <t>900005465</t>
        </is>
      </c>
      <c r="B152" t="inlineStr">
        <is>
          <t>DW75</t>
        </is>
      </c>
      <c r="C152" t="inlineStr">
        <is>
          <t>D112</t>
        </is>
      </c>
      <c r="D152" t="inlineStr">
        <is>
          <t>10151192</t>
        </is>
      </c>
      <c r="E152" t="inlineStr"/>
      <c r="F152" s="11" t="n">
        <v>333.62</v>
      </c>
      <c r="G152" t="inlineStr"/>
      <c r="I152" t="inlineStr">
        <is>
          <t>TN</t>
        </is>
      </c>
      <c r="J152" t="inlineStr"/>
      <c r="K152" t="inlineStr">
        <is>
          <t>20240726</t>
        </is>
      </c>
      <c r="L152" t="inlineStr">
        <is>
          <t>20241023</t>
        </is>
      </c>
    </row>
    <row r="153">
      <c r="A153" t="inlineStr">
        <is>
          <t>900005465</t>
        </is>
      </c>
      <c r="B153" t="inlineStr">
        <is>
          <t>DW75</t>
        </is>
      </c>
      <c r="C153" t="inlineStr">
        <is>
          <t>D278</t>
        </is>
      </c>
      <c r="D153" t="inlineStr">
        <is>
          <t>10000716</t>
        </is>
      </c>
      <c r="E153" t="inlineStr"/>
      <c r="F153" s="11" t="n">
        <v>329.95</v>
      </c>
      <c r="G153" t="inlineStr"/>
      <c r="I153" t="inlineStr">
        <is>
          <t>TN</t>
        </is>
      </c>
      <c r="J153" t="inlineStr"/>
      <c r="K153" t="inlineStr">
        <is>
          <t>20240726</t>
        </is>
      </c>
      <c r="L153" t="inlineStr">
        <is>
          <t>20241023</t>
        </is>
      </c>
    </row>
    <row r="154">
      <c r="A154" t="inlineStr">
        <is>
          <t>900005465</t>
        </is>
      </c>
      <c r="B154" t="inlineStr">
        <is>
          <t>DW75</t>
        </is>
      </c>
      <c r="C154" t="inlineStr">
        <is>
          <t>D278</t>
        </is>
      </c>
      <c r="D154" t="inlineStr">
        <is>
          <t>10147933</t>
        </is>
      </c>
      <c r="E154" t="inlineStr"/>
      <c r="F154" s="11" t="n">
        <v>290.7</v>
      </c>
      <c r="G154" t="inlineStr"/>
      <c r="I154" t="inlineStr">
        <is>
          <t>TN</t>
        </is>
      </c>
      <c r="J154" t="inlineStr"/>
      <c r="K154" t="inlineStr">
        <is>
          <t>20240726</t>
        </is>
      </c>
      <c r="L154" t="inlineStr">
        <is>
          <t>20241023</t>
        </is>
      </c>
    </row>
    <row r="155">
      <c r="A155" t="inlineStr">
        <is>
          <t>900005465</t>
        </is>
      </c>
      <c r="B155" t="inlineStr">
        <is>
          <t>DW75</t>
        </is>
      </c>
      <c r="C155" t="inlineStr">
        <is>
          <t>D278</t>
        </is>
      </c>
      <c r="D155" t="inlineStr">
        <is>
          <t>10149958</t>
        </is>
      </c>
      <c r="E155" t="inlineStr"/>
      <c r="F155" s="11" t="n">
        <v>290.91</v>
      </c>
      <c r="G155" t="inlineStr"/>
      <c r="I155" t="inlineStr">
        <is>
          <t>TN</t>
        </is>
      </c>
      <c r="J155" t="inlineStr"/>
      <c r="K155" t="inlineStr">
        <is>
          <t>20240726</t>
        </is>
      </c>
      <c r="L155" t="inlineStr">
        <is>
          <t>20241023</t>
        </is>
      </c>
    </row>
    <row r="156">
      <c r="A156" t="inlineStr">
        <is>
          <t>900005465</t>
        </is>
      </c>
      <c r="B156" t="inlineStr">
        <is>
          <t>DW75</t>
        </is>
      </c>
      <c r="C156" t="inlineStr">
        <is>
          <t>D278</t>
        </is>
      </c>
      <c r="D156" t="inlineStr">
        <is>
          <t>10150617</t>
        </is>
      </c>
      <c r="E156" t="inlineStr"/>
      <c r="F156" s="11" t="n">
        <v>350.72</v>
      </c>
      <c r="G156" t="inlineStr"/>
      <c r="I156" t="inlineStr">
        <is>
          <t>TN</t>
        </is>
      </c>
      <c r="J156" t="inlineStr"/>
      <c r="K156" t="inlineStr">
        <is>
          <t>20240726</t>
        </is>
      </c>
      <c r="L156" t="inlineStr">
        <is>
          <t>20241023</t>
        </is>
      </c>
    </row>
    <row r="157">
      <c r="A157" t="inlineStr">
        <is>
          <t>900005465</t>
        </is>
      </c>
      <c r="B157" t="inlineStr">
        <is>
          <t>DW75</t>
        </is>
      </c>
      <c r="C157" t="inlineStr">
        <is>
          <t>D278</t>
        </is>
      </c>
      <c r="D157" t="inlineStr">
        <is>
          <t>10151192</t>
        </is>
      </c>
      <c r="E157" t="inlineStr"/>
      <c r="F157" s="11" t="n">
        <v>333.62</v>
      </c>
      <c r="G157" t="inlineStr"/>
      <c r="I157" t="inlineStr">
        <is>
          <t>TN</t>
        </is>
      </c>
      <c r="J157" t="inlineStr"/>
      <c r="K157" t="inlineStr">
        <is>
          <t>20240726</t>
        </is>
      </c>
      <c r="L157" t="inlineStr">
        <is>
          <t>20241023</t>
        </is>
      </c>
    </row>
    <row r="158">
      <c r="A158" t="inlineStr">
        <is>
          <t>900005465</t>
        </is>
      </c>
      <c r="B158" t="inlineStr">
        <is>
          <t>DW75</t>
        </is>
      </c>
      <c r="C158" t="inlineStr">
        <is>
          <t>D312</t>
        </is>
      </c>
      <c r="D158" t="inlineStr">
        <is>
          <t>10000716</t>
        </is>
      </c>
      <c r="E158" t="inlineStr"/>
      <c r="F158" s="11" t="n">
        <v>329.95</v>
      </c>
      <c r="G158" t="inlineStr"/>
      <c r="I158" t="inlineStr">
        <is>
          <t>TN</t>
        </is>
      </c>
      <c r="J158" t="inlineStr"/>
      <c r="K158" t="inlineStr">
        <is>
          <t>20240726</t>
        </is>
      </c>
      <c r="L158" t="inlineStr">
        <is>
          <t>20241023</t>
        </is>
      </c>
    </row>
    <row r="159">
      <c r="A159" t="inlineStr">
        <is>
          <t>900005465</t>
        </is>
      </c>
      <c r="B159" t="inlineStr">
        <is>
          <t>DW75</t>
        </is>
      </c>
      <c r="C159" t="inlineStr">
        <is>
          <t>D312</t>
        </is>
      </c>
      <c r="D159" t="inlineStr">
        <is>
          <t>10147933</t>
        </is>
      </c>
      <c r="E159" t="inlineStr"/>
      <c r="F159" s="11" t="n">
        <v>290.7</v>
      </c>
      <c r="G159" t="inlineStr"/>
      <c r="I159" t="inlineStr">
        <is>
          <t>TN</t>
        </is>
      </c>
      <c r="J159" t="inlineStr"/>
      <c r="K159" t="inlineStr">
        <is>
          <t>20240726</t>
        </is>
      </c>
      <c r="L159" t="inlineStr">
        <is>
          <t>20241023</t>
        </is>
      </c>
    </row>
    <row r="160">
      <c r="A160" t="inlineStr">
        <is>
          <t>900005465</t>
        </is>
      </c>
      <c r="B160" t="inlineStr">
        <is>
          <t>DW75</t>
        </is>
      </c>
      <c r="C160" t="inlineStr">
        <is>
          <t>D312</t>
        </is>
      </c>
      <c r="D160" t="inlineStr">
        <is>
          <t>10149958</t>
        </is>
      </c>
      <c r="E160" t="inlineStr"/>
      <c r="F160" s="11" t="n">
        <v>290.91</v>
      </c>
      <c r="G160" t="inlineStr"/>
      <c r="I160" t="inlineStr">
        <is>
          <t>TN</t>
        </is>
      </c>
      <c r="J160" t="inlineStr"/>
      <c r="K160" t="inlineStr">
        <is>
          <t>20240726</t>
        </is>
      </c>
      <c r="L160" t="inlineStr">
        <is>
          <t>20241023</t>
        </is>
      </c>
    </row>
    <row r="161">
      <c r="A161" t="inlineStr">
        <is>
          <t>900005465</t>
        </is>
      </c>
      <c r="B161" t="inlineStr">
        <is>
          <t>DW75</t>
        </is>
      </c>
      <c r="C161" t="inlineStr">
        <is>
          <t>D312</t>
        </is>
      </c>
      <c r="D161" t="inlineStr">
        <is>
          <t>10150617</t>
        </is>
      </c>
      <c r="E161" t="inlineStr"/>
      <c r="F161" s="11" t="n">
        <v>350.72</v>
      </c>
      <c r="G161" t="inlineStr"/>
      <c r="I161" t="inlineStr">
        <is>
          <t>TN</t>
        </is>
      </c>
      <c r="J161" t="inlineStr"/>
      <c r="K161" t="inlineStr">
        <is>
          <t>20240726</t>
        </is>
      </c>
      <c r="L161" t="inlineStr">
        <is>
          <t>20241023</t>
        </is>
      </c>
    </row>
    <row r="162">
      <c r="A162" t="inlineStr">
        <is>
          <t>900005465</t>
        </is>
      </c>
      <c r="B162" t="inlineStr">
        <is>
          <t>DW75</t>
        </is>
      </c>
      <c r="C162" t="inlineStr">
        <is>
          <t>D312</t>
        </is>
      </c>
      <c r="D162" t="inlineStr">
        <is>
          <t>10151192</t>
        </is>
      </c>
      <c r="E162" t="inlineStr"/>
      <c r="F162" s="11" t="n">
        <v>333.62</v>
      </c>
      <c r="G162" t="inlineStr"/>
      <c r="I162" t="inlineStr">
        <is>
          <t>TN</t>
        </is>
      </c>
      <c r="J162" t="inlineStr"/>
      <c r="K162" t="inlineStr">
        <is>
          <t>20240726</t>
        </is>
      </c>
      <c r="L162" t="inlineStr">
        <is>
          <t>20241023</t>
        </is>
      </c>
    </row>
    <row r="163">
      <c r="A163" t="inlineStr">
        <is>
          <t>900005465</t>
        </is>
      </c>
      <c r="B163" t="inlineStr">
        <is>
          <t>DW75</t>
        </is>
      </c>
      <c r="C163" t="inlineStr">
        <is>
          <t>D315</t>
        </is>
      </c>
      <c r="D163" t="inlineStr">
        <is>
          <t>10000716</t>
        </is>
      </c>
      <c r="E163" t="inlineStr"/>
      <c r="F163" s="11" t="n">
        <v>160.3</v>
      </c>
      <c r="G163" t="inlineStr"/>
      <c r="I163" t="inlineStr">
        <is>
          <t>TN</t>
        </is>
      </c>
      <c r="J163" t="inlineStr"/>
      <c r="K163" t="inlineStr">
        <is>
          <t>20240726</t>
        </is>
      </c>
      <c r="L163" t="inlineStr">
        <is>
          <t>20241023</t>
        </is>
      </c>
    </row>
    <row r="164">
      <c r="A164" t="inlineStr">
        <is>
          <t>900005465</t>
        </is>
      </c>
      <c r="B164" t="inlineStr">
        <is>
          <t>DW75</t>
        </is>
      </c>
      <c r="C164" t="inlineStr">
        <is>
          <t>D315</t>
        </is>
      </c>
      <c r="D164" t="inlineStr">
        <is>
          <t>10149958</t>
        </is>
      </c>
      <c r="E164" t="inlineStr"/>
      <c r="F164" s="11" t="n">
        <v>145.45</v>
      </c>
      <c r="G164" t="inlineStr"/>
      <c r="I164" t="inlineStr">
        <is>
          <t>TN</t>
        </is>
      </c>
      <c r="J164" t="inlineStr"/>
      <c r="K164" t="inlineStr">
        <is>
          <t>20240726</t>
        </is>
      </c>
      <c r="L164" t="inlineStr">
        <is>
          <t>20241023</t>
        </is>
      </c>
    </row>
    <row r="165">
      <c r="A165" t="inlineStr">
        <is>
          <t>900005465</t>
        </is>
      </c>
      <c r="B165" t="inlineStr">
        <is>
          <t>DW75</t>
        </is>
      </c>
      <c r="C165" t="inlineStr">
        <is>
          <t>D315</t>
        </is>
      </c>
      <c r="D165" t="inlineStr">
        <is>
          <t>10150617</t>
        </is>
      </c>
      <c r="E165" t="inlineStr"/>
      <c r="F165" s="11" t="n">
        <v>175.12</v>
      </c>
      <c r="G165" t="inlineStr"/>
      <c r="I165" t="inlineStr">
        <is>
          <t>TN</t>
        </is>
      </c>
      <c r="J165" t="inlineStr"/>
      <c r="K165" t="inlineStr">
        <is>
          <t>20240726</t>
        </is>
      </c>
      <c r="L165" t="inlineStr">
        <is>
          <t>20241023</t>
        </is>
      </c>
    </row>
    <row r="166">
      <c r="A166" t="inlineStr">
        <is>
          <t>900005465</t>
        </is>
      </c>
      <c r="B166" t="inlineStr">
        <is>
          <t>DW75</t>
        </is>
      </c>
      <c r="C166" t="inlineStr">
        <is>
          <t>D315</t>
        </is>
      </c>
      <c r="D166" t="inlineStr">
        <is>
          <t>10151192</t>
        </is>
      </c>
      <c r="E166" t="inlineStr"/>
      <c r="F166" s="11" t="n">
        <v>166.58</v>
      </c>
      <c r="G166" t="inlineStr"/>
      <c r="I166" t="inlineStr">
        <is>
          <t>TN</t>
        </is>
      </c>
      <c r="J166" t="inlineStr"/>
      <c r="K166" t="inlineStr">
        <is>
          <t>20240726</t>
        </is>
      </c>
      <c r="L166" t="inlineStr">
        <is>
          <t>20241023</t>
        </is>
      </c>
    </row>
    <row r="167">
      <c r="A167" t="inlineStr">
        <is>
          <t>900005465</t>
        </is>
      </c>
      <c r="B167" t="inlineStr">
        <is>
          <t>DW75</t>
        </is>
      </c>
      <c r="C167" t="inlineStr">
        <is>
          <t>D327</t>
        </is>
      </c>
      <c r="D167" t="inlineStr">
        <is>
          <t>10000716</t>
        </is>
      </c>
      <c r="E167" t="inlineStr"/>
      <c r="F167" s="11" t="n">
        <v>329.95</v>
      </c>
      <c r="G167" t="inlineStr"/>
      <c r="I167" t="inlineStr">
        <is>
          <t>TN</t>
        </is>
      </c>
      <c r="J167" t="inlineStr"/>
      <c r="K167" t="inlineStr">
        <is>
          <t>20240726</t>
        </is>
      </c>
      <c r="L167" t="inlineStr">
        <is>
          <t>20241023</t>
        </is>
      </c>
    </row>
    <row r="168">
      <c r="A168" t="inlineStr">
        <is>
          <t>900005465</t>
        </is>
      </c>
      <c r="B168" t="inlineStr">
        <is>
          <t>DW75</t>
        </is>
      </c>
      <c r="C168" t="inlineStr">
        <is>
          <t>D327</t>
        </is>
      </c>
      <c r="D168" t="inlineStr">
        <is>
          <t>10147933</t>
        </is>
      </c>
      <c r="E168" t="inlineStr"/>
      <c r="F168" s="11" t="n">
        <v>290.7</v>
      </c>
      <c r="G168" t="inlineStr"/>
      <c r="I168" t="inlineStr">
        <is>
          <t>TN</t>
        </is>
      </c>
      <c r="J168" t="inlineStr"/>
      <c r="K168" t="inlineStr">
        <is>
          <t>20240726</t>
        </is>
      </c>
      <c r="L168" t="inlineStr">
        <is>
          <t>20241023</t>
        </is>
      </c>
    </row>
    <row r="169">
      <c r="A169" t="inlineStr">
        <is>
          <t>900005465</t>
        </is>
      </c>
      <c r="B169" t="inlineStr">
        <is>
          <t>DW75</t>
        </is>
      </c>
      <c r="C169" t="inlineStr">
        <is>
          <t>D327</t>
        </is>
      </c>
      <c r="D169" t="inlineStr">
        <is>
          <t>10149958</t>
        </is>
      </c>
      <c r="E169" t="inlineStr"/>
      <c r="F169" s="11" t="n">
        <v>290.91</v>
      </c>
      <c r="G169" t="inlineStr"/>
      <c r="I169" t="inlineStr">
        <is>
          <t>TN</t>
        </is>
      </c>
      <c r="J169" t="inlineStr"/>
      <c r="K169" t="inlineStr">
        <is>
          <t>20240726</t>
        </is>
      </c>
      <c r="L169" t="inlineStr">
        <is>
          <t>20241023</t>
        </is>
      </c>
    </row>
    <row r="170">
      <c r="A170" t="inlineStr">
        <is>
          <t>900005465</t>
        </is>
      </c>
      <c r="B170" t="inlineStr">
        <is>
          <t>DW75</t>
        </is>
      </c>
      <c r="C170" t="inlineStr">
        <is>
          <t>D327</t>
        </is>
      </c>
      <c r="D170" t="inlineStr">
        <is>
          <t>10150617</t>
        </is>
      </c>
      <c r="E170" t="inlineStr"/>
      <c r="F170" s="11" t="n">
        <v>350.72</v>
      </c>
      <c r="G170" t="inlineStr"/>
      <c r="I170" t="inlineStr">
        <is>
          <t>TN</t>
        </is>
      </c>
      <c r="J170" t="inlineStr"/>
      <c r="K170" t="inlineStr">
        <is>
          <t>20240726</t>
        </is>
      </c>
      <c r="L170" t="inlineStr">
        <is>
          <t>20241023</t>
        </is>
      </c>
    </row>
    <row r="171">
      <c r="A171" t="inlineStr">
        <is>
          <t>900005465</t>
        </is>
      </c>
      <c r="B171" t="inlineStr">
        <is>
          <t>DW75</t>
        </is>
      </c>
      <c r="C171" t="inlineStr">
        <is>
          <t>D327</t>
        </is>
      </c>
      <c r="D171" t="inlineStr">
        <is>
          <t>10151192</t>
        </is>
      </c>
      <c r="E171" t="inlineStr"/>
      <c r="F171" s="11" t="n">
        <v>333.62</v>
      </c>
      <c r="G171" t="inlineStr"/>
      <c r="I171" t="inlineStr">
        <is>
          <t>TN</t>
        </is>
      </c>
      <c r="J171" t="inlineStr"/>
      <c r="K171" t="inlineStr">
        <is>
          <t>20240726</t>
        </is>
      </c>
      <c r="L171" t="inlineStr">
        <is>
          <t>20241023</t>
        </is>
      </c>
    </row>
    <row r="172">
      <c r="A172" t="inlineStr">
        <is>
          <t>900005465</t>
        </is>
      </c>
      <c r="B172" t="inlineStr">
        <is>
          <t>DW75</t>
        </is>
      </c>
      <c r="C172" t="inlineStr">
        <is>
          <t>D331</t>
        </is>
      </c>
      <c r="D172" t="inlineStr">
        <is>
          <t>10000716</t>
        </is>
      </c>
      <c r="E172" t="inlineStr"/>
      <c r="F172" s="11" t="n">
        <v>176.73</v>
      </c>
      <c r="G172" t="inlineStr"/>
      <c r="I172" t="inlineStr">
        <is>
          <t>TN</t>
        </is>
      </c>
      <c r="J172" t="inlineStr"/>
      <c r="K172" t="inlineStr">
        <is>
          <t>20220516</t>
        </is>
      </c>
      <c r="L172" t="inlineStr">
        <is>
          <t>20241216</t>
        </is>
      </c>
    </row>
    <row r="173">
      <c r="A173" t="inlineStr">
        <is>
          <t>900005465</t>
        </is>
      </c>
      <c r="B173" t="inlineStr">
        <is>
          <t>DW75</t>
        </is>
      </c>
      <c r="C173" t="inlineStr">
        <is>
          <t>D331</t>
        </is>
      </c>
      <c r="D173" t="inlineStr">
        <is>
          <t>10147933</t>
        </is>
      </c>
      <c r="E173" t="inlineStr"/>
      <c r="F173" s="11" t="n">
        <v>156.03</v>
      </c>
      <c r="G173" t="inlineStr"/>
      <c r="I173" t="inlineStr">
        <is>
          <t>TN</t>
        </is>
      </c>
      <c r="J173" t="inlineStr"/>
      <c r="K173" t="inlineStr">
        <is>
          <t>20220516</t>
        </is>
      </c>
      <c r="L173" t="inlineStr">
        <is>
          <t>20241216</t>
        </is>
      </c>
    </row>
    <row r="174">
      <c r="A174" t="inlineStr">
        <is>
          <t>900005465</t>
        </is>
      </c>
      <c r="B174" t="inlineStr">
        <is>
          <t>DW75</t>
        </is>
      </c>
      <c r="C174" t="inlineStr">
        <is>
          <t>D331</t>
        </is>
      </c>
      <c r="D174" t="inlineStr">
        <is>
          <t>10149958</t>
        </is>
      </c>
      <c r="E174" t="inlineStr"/>
      <c r="F174" s="11" t="n">
        <v>156.14</v>
      </c>
      <c r="G174" t="inlineStr"/>
      <c r="I174" t="inlineStr">
        <is>
          <t>TN</t>
        </is>
      </c>
      <c r="J174" t="inlineStr"/>
      <c r="K174" t="inlineStr">
        <is>
          <t>20220516</t>
        </is>
      </c>
      <c r="L174" t="inlineStr">
        <is>
          <t>20241216</t>
        </is>
      </c>
    </row>
    <row r="175">
      <c r="A175" t="inlineStr">
        <is>
          <t>900005465</t>
        </is>
      </c>
      <c r="B175" t="inlineStr">
        <is>
          <t>DW75</t>
        </is>
      </c>
      <c r="C175" t="inlineStr">
        <is>
          <t>D331</t>
        </is>
      </c>
      <c r="D175" t="inlineStr">
        <is>
          <t>10150617</t>
        </is>
      </c>
      <c r="E175" t="inlineStr"/>
      <c r="F175" s="11" t="n">
        <v>187.85</v>
      </c>
      <c r="G175" t="inlineStr"/>
      <c r="I175" t="inlineStr">
        <is>
          <t>TN</t>
        </is>
      </c>
      <c r="J175" t="inlineStr"/>
      <c r="K175" t="inlineStr">
        <is>
          <t>20220516</t>
        </is>
      </c>
      <c r="L175" t="inlineStr">
        <is>
          <t>20241216</t>
        </is>
      </c>
    </row>
    <row r="176">
      <c r="A176" t="inlineStr">
        <is>
          <t>900005465</t>
        </is>
      </c>
      <c r="B176" t="inlineStr">
        <is>
          <t>DW75</t>
        </is>
      </c>
      <c r="C176" t="inlineStr">
        <is>
          <t>D331</t>
        </is>
      </c>
      <c r="D176" t="inlineStr">
        <is>
          <t>10151192</t>
        </is>
      </c>
      <c r="E176" t="inlineStr"/>
      <c r="F176" s="11" t="n">
        <v>178.7</v>
      </c>
      <c r="G176" t="inlineStr"/>
      <c r="I176" t="inlineStr">
        <is>
          <t>TN</t>
        </is>
      </c>
      <c r="J176" t="inlineStr"/>
      <c r="K176" t="inlineStr">
        <is>
          <t>20220516</t>
        </is>
      </c>
      <c r="L176" t="inlineStr">
        <is>
          <t>20241216</t>
        </is>
      </c>
    </row>
    <row r="177">
      <c r="A177" t="inlineStr">
        <is>
          <t>900005465</t>
        </is>
      </c>
      <c r="B177" t="inlineStr">
        <is>
          <t>DW75</t>
        </is>
      </c>
      <c r="C177" t="inlineStr">
        <is>
          <t>D343</t>
        </is>
      </c>
      <c r="D177" t="inlineStr">
        <is>
          <t>10000716</t>
        </is>
      </c>
      <c r="E177" t="inlineStr"/>
      <c r="F177" s="11" t="n">
        <v>329.95</v>
      </c>
      <c r="G177" t="inlineStr"/>
      <c r="I177" t="inlineStr">
        <is>
          <t>TN</t>
        </is>
      </c>
      <c r="J177" t="inlineStr"/>
      <c r="K177" t="inlineStr">
        <is>
          <t>20240726</t>
        </is>
      </c>
      <c r="L177" t="inlineStr">
        <is>
          <t>20241023</t>
        </is>
      </c>
    </row>
    <row r="178">
      <c r="A178" t="inlineStr">
        <is>
          <t>900005465</t>
        </is>
      </c>
      <c r="B178" t="inlineStr">
        <is>
          <t>DW75</t>
        </is>
      </c>
      <c r="C178" t="inlineStr">
        <is>
          <t>D343</t>
        </is>
      </c>
      <c r="D178" t="inlineStr">
        <is>
          <t>10147933</t>
        </is>
      </c>
      <c r="E178" t="inlineStr"/>
      <c r="F178" s="11" t="n">
        <v>290.7</v>
      </c>
      <c r="G178" t="inlineStr"/>
      <c r="I178" t="inlineStr">
        <is>
          <t>TN</t>
        </is>
      </c>
      <c r="J178" t="inlineStr"/>
      <c r="K178" t="inlineStr">
        <is>
          <t>20240726</t>
        </is>
      </c>
      <c r="L178" t="inlineStr">
        <is>
          <t>20241023</t>
        </is>
      </c>
    </row>
    <row r="179">
      <c r="A179" t="inlineStr">
        <is>
          <t>900005465</t>
        </is>
      </c>
      <c r="B179" t="inlineStr">
        <is>
          <t>DW75</t>
        </is>
      </c>
      <c r="C179" t="inlineStr">
        <is>
          <t>D343</t>
        </is>
      </c>
      <c r="D179" t="inlineStr">
        <is>
          <t>10149958</t>
        </is>
      </c>
      <c r="E179" t="inlineStr"/>
      <c r="F179" s="11" t="n">
        <v>290.91</v>
      </c>
      <c r="G179" t="inlineStr"/>
      <c r="I179" t="inlineStr">
        <is>
          <t>TN</t>
        </is>
      </c>
      <c r="J179" t="inlineStr"/>
      <c r="K179" t="inlineStr">
        <is>
          <t>20240726</t>
        </is>
      </c>
      <c r="L179" t="inlineStr">
        <is>
          <t>20241023</t>
        </is>
      </c>
    </row>
    <row r="180">
      <c r="A180" t="inlineStr">
        <is>
          <t>900005465</t>
        </is>
      </c>
      <c r="B180" t="inlineStr">
        <is>
          <t>DW75</t>
        </is>
      </c>
      <c r="C180" t="inlineStr">
        <is>
          <t>D343</t>
        </is>
      </c>
      <c r="D180" t="inlineStr">
        <is>
          <t>10150617</t>
        </is>
      </c>
      <c r="E180" t="inlineStr"/>
      <c r="F180" s="11" t="n">
        <v>350.72</v>
      </c>
      <c r="G180" t="inlineStr"/>
      <c r="I180" t="inlineStr">
        <is>
          <t>TN</t>
        </is>
      </c>
      <c r="J180" t="inlineStr"/>
      <c r="K180" t="inlineStr">
        <is>
          <t>20240726</t>
        </is>
      </c>
      <c r="L180" t="inlineStr">
        <is>
          <t>20241023</t>
        </is>
      </c>
    </row>
    <row r="181">
      <c r="A181" t="inlineStr">
        <is>
          <t>900005465</t>
        </is>
      </c>
      <c r="B181" t="inlineStr">
        <is>
          <t>DW75</t>
        </is>
      </c>
      <c r="C181" t="inlineStr">
        <is>
          <t>D343</t>
        </is>
      </c>
      <c r="D181" t="inlineStr">
        <is>
          <t>10151192</t>
        </is>
      </c>
      <c r="E181" t="inlineStr"/>
      <c r="F181" s="11" t="n">
        <v>333.62</v>
      </c>
      <c r="G181" t="inlineStr"/>
      <c r="I181" t="inlineStr">
        <is>
          <t>TN</t>
        </is>
      </c>
      <c r="J181" t="inlineStr"/>
      <c r="K181" t="inlineStr">
        <is>
          <t>20240726</t>
        </is>
      </c>
      <c r="L181" t="inlineStr">
        <is>
          <t>20241023</t>
        </is>
      </c>
    </row>
    <row r="182">
      <c r="A182" t="inlineStr">
        <is>
          <t>900005465</t>
        </is>
      </c>
      <c r="B182" t="inlineStr">
        <is>
          <t>DW75</t>
        </is>
      </c>
      <c r="C182" t="inlineStr">
        <is>
          <t>D349</t>
        </is>
      </c>
      <c r="D182" t="inlineStr">
        <is>
          <t>10000716</t>
        </is>
      </c>
      <c r="E182" t="inlineStr"/>
      <c r="F182" s="11" t="n">
        <v>329.95</v>
      </c>
      <c r="G182" t="inlineStr"/>
      <c r="I182" t="inlineStr">
        <is>
          <t>TN</t>
        </is>
      </c>
      <c r="J182" t="inlineStr"/>
      <c r="K182" t="inlineStr">
        <is>
          <t>20240726</t>
        </is>
      </c>
      <c r="L182" t="inlineStr">
        <is>
          <t>20241023</t>
        </is>
      </c>
    </row>
    <row r="183">
      <c r="A183" t="inlineStr">
        <is>
          <t>900005465</t>
        </is>
      </c>
      <c r="B183" t="inlineStr">
        <is>
          <t>DW75</t>
        </is>
      </c>
      <c r="C183" t="inlineStr">
        <is>
          <t>D349</t>
        </is>
      </c>
      <c r="D183" t="inlineStr">
        <is>
          <t>10147933</t>
        </is>
      </c>
      <c r="E183" t="inlineStr"/>
      <c r="F183" s="11" t="n">
        <v>290.7</v>
      </c>
      <c r="G183" t="inlineStr"/>
      <c r="I183" t="inlineStr">
        <is>
          <t>TN</t>
        </is>
      </c>
      <c r="J183" t="inlineStr"/>
      <c r="K183" t="inlineStr">
        <is>
          <t>20240726</t>
        </is>
      </c>
      <c r="L183" t="inlineStr">
        <is>
          <t>20241023</t>
        </is>
      </c>
    </row>
    <row r="184">
      <c r="A184" t="inlineStr">
        <is>
          <t>900005465</t>
        </is>
      </c>
      <c r="B184" t="inlineStr">
        <is>
          <t>DW75</t>
        </is>
      </c>
      <c r="C184" t="inlineStr">
        <is>
          <t>D349</t>
        </is>
      </c>
      <c r="D184" t="inlineStr">
        <is>
          <t>10149958</t>
        </is>
      </c>
      <c r="E184" t="inlineStr"/>
      <c r="F184" s="11" t="n">
        <v>290.91</v>
      </c>
      <c r="G184" t="inlineStr"/>
      <c r="I184" t="inlineStr">
        <is>
          <t>TN</t>
        </is>
      </c>
      <c r="J184" t="inlineStr"/>
      <c r="K184" t="inlineStr">
        <is>
          <t>20240726</t>
        </is>
      </c>
      <c r="L184" t="inlineStr">
        <is>
          <t>20241023</t>
        </is>
      </c>
    </row>
    <row r="185">
      <c r="A185" t="inlineStr">
        <is>
          <t>900005465</t>
        </is>
      </c>
      <c r="B185" t="inlineStr">
        <is>
          <t>DW75</t>
        </is>
      </c>
      <c r="C185" t="inlineStr">
        <is>
          <t>D349</t>
        </is>
      </c>
      <c r="D185" t="inlineStr">
        <is>
          <t>10150617</t>
        </is>
      </c>
      <c r="E185" t="inlineStr"/>
      <c r="F185" s="11" t="n">
        <v>350.72</v>
      </c>
      <c r="G185" t="inlineStr"/>
      <c r="I185" t="inlineStr">
        <is>
          <t>TN</t>
        </is>
      </c>
      <c r="J185" t="inlineStr"/>
      <c r="K185" t="inlineStr">
        <is>
          <t>20240726</t>
        </is>
      </c>
      <c r="L185" t="inlineStr">
        <is>
          <t>20241023</t>
        </is>
      </c>
    </row>
    <row r="186">
      <c r="A186" t="inlineStr">
        <is>
          <t>900005465</t>
        </is>
      </c>
      <c r="B186" t="inlineStr">
        <is>
          <t>DW75</t>
        </is>
      </c>
      <c r="C186" t="inlineStr">
        <is>
          <t>D349</t>
        </is>
      </c>
      <c r="D186" t="inlineStr">
        <is>
          <t>10151192</t>
        </is>
      </c>
      <c r="E186" t="inlineStr"/>
      <c r="F186" s="11" t="n">
        <v>333.62</v>
      </c>
      <c r="G186" t="inlineStr"/>
      <c r="I186" t="inlineStr">
        <is>
          <t>TN</t>
        </is>
      </c>
      <c r="J186" t="inlineStr"/>
      <c r="K186" t="inlineStr">
        <is>
          <t>20240726</t>
        </is>
      </c>
      <c r="L186" t="inlineStr">
        <is>
          <t>20241023</t>
        </is>
      </c>
    </row>
    <row r="187">
      <c r="A187" t="inlineStr">
        <is>
          <t>900005465</t>
        </is>
      </c>
      <c r="B187" t="inlineStr">
        <is>
          <t>DW75</t>
        </is>
      </c>
      <c r="C187" t="inlineStr">
        <is>
          <t>D678</t>
        </is>
      </c>
      <c r="D187" t="inlineStr">
        <is>
          <t>10000716</t>
        </is>
      </c>
      <c r="E187" t="inlineStr"/>
      <c r="F187" s="11" t="n">
        <v>160.3</v>
      </c>
      <c r="G187" t="inlineStr"/>
      <c r="I187" t="inlineStr">
        <is>
          <t>TN</t>
        </is>
      </c>
      <c r="J187" t="inlineStr"/>
      <c r="K187" t="inlineStr">
        <is>
          <t>20240726</t>
        </is>
      </c>
      <c r="L187" t="inlineStr">
        <is>
          <t>20241023</t>
        </is>
      </c>
    </row>
    <row r="188">
      <c r="A188" t="inlineStr">
        <is>
          <t>900005465</t>
        </is>
      </c>
      <c r="B188" t="inlineStr">
        <is>
          <t>DW75</t>
        </is>
      </c>
      <c r="C188" t="inlineStr">
        <is>
          <t>D678</t>
        </is>
      </c>
      <c r="D188" t="inlineStr">
        <is>
          <t>10149958</t>
        </is>
      </c>
      <c r="E188" t="inlineStr"/>
      <c r="F188" s="11" t="n">
        <v>141.63</v>
      </c>
      <c r="G188" t="inlineStr"/>
      <c r="I188" t="inlineStr">
        <is>
          <t>TN</t>
        </is>
      </c>
      <c r="J188" t="inlineStr"/>
      <c r="K188" t="inlineStr">
        <is>
          <t>20240726</t>
        </is>
      </c>
      <c r="L188" t="inlineStr">
        <is>
          <t>20241023</t>
        </is>
      </c>
    </row>
    <row r="189">
      <c r="A189" t="inlineStr">
        <is>
          <t>900005465</t>
        </is>
      </c>
      <c r="B189" t="inlineStr">
        <is>
          <t>DW75</t>
        </is>
      </c>
      <c r="C189" t="inlineStr">
        <is>
          <t>D678</t>
        </is>
      </c>
      <c r="D189" t="inlineStr">
        <is>
          <t>10150617</t>
        </is>
      </c>
      <c r="E189" t="inlineStr"/>
      <c r="F189" s="11" t="n">
        <v>170.39</v>
      </c>
      <c r="G189" t="inlineStr"/>
      <c r="I189" t="inlineStr">
        <is>
          <t>TN</t>
        </is>
      </c>
      <c r="J189" t="inlineStr"/>
      <c r="K189" t="inlineStr">
        <is>
          <t>20240726</t>
        </is>
      </c>
      <c r="L189" t="inlineStr">
        <is>
          <t>20241023</t>
        </is>
      </c>
    </row>
    <row r="190">
      <c r="A190" t="inlineStr">
        <is>
          <t>900005465</t>
        </is>
      </c>
      <c r="B190" t="inlineStr">
        <is>
          <t>DW75</t>
        </is>
      </c>
      <c r="C190" t="inlineStr">
        <is>
          <t>D678</t>
        </is>
      </c>
      <c r="D190" t="inlineStr">
        <is>
          <t>10151192</t>
        </is>
      </c>
      <c r="E190" t="inlineStr"/>
      <c r="F190" s="11" t="n">
        <v>162.08</v>
      </c>
      <c r="G190" t="inlineStr"/>
      <c r="I190" t="inlineStr">
        <is>
          <t>TN</t>
        </is>
      </c>
      <c r="J190" t="inlineStr"/>
      <c r="K190" t="inlineStr">
        <is>
          <t>20240726</t>
        </is>
      </c>
      <c r="L190" t="inlineStr">
        <is>
          <t>20241023</t>
        </is>
      </c>
    </row>
    <row r="191">
      <c r="A191" t="inlineStr">
        <is>
          <t>900005465</t>
        </is>
      </c>
      <c r="B191" t="inlineStr">
        <is>
          <t>DW75</t>
        </is>
      </c>
      <c r="C191" t="inlineStr">
        <is>
          <t>E674</t>
        </is>
      </c>
      <c r="D191" t="inlineStr">
        <is>
          <t>10000716</t>
        </is>
      </c>
      <c r="E191" t="inlineStr"/>
      <c r="F191" s="11" t="n">
        <v>329.95</v>
      </c>
      <c r="G191" t="inlineStr"/>
      <c r="I191" t="inlineStr">
        <is>
          <t>TN</t>
        </is>
      </c>
      <c r="J191" t="inlineStr"/>
      <c r="K191" t="inlineStr">
        <is>
          <t>20240726</t>
        </is>
      </c>
      <c r="L191" t="inlineStr">
        <is>
          <t>20241023</t>
        </is>
      </c>
    </row>
    <row r="192">
      <c r="A192" t="inlineStr">
        <is>
          <t>900005465</t>
        </is>
      </c>
      <c r="B192" t="inlineStr">
        <is>
          <t>DW75</t>
        </is>
      </c>
      <c r="C192" t="inlineStr">
        <is>
          <t>E674</t>
        </is>
      </c>
      <c r="D192" t="inlineStr">
        <is>
          <t>10147933</t>
        </is>
      </c>
      <c r="E192" t="inlineStr"/>
      <c r="F192" s="11" t="n">
        <v>290.7</v>
      </c>
      <c r="G192" t="inlineStr"/>
      <c r="I192" t="inlineStr">
        <is>
          <t>TN</t>
        </is>
      </c>
      <c r="J192" t="inlineStr"/>
      <c r="K192" t="inlineStr">
        <is>
          <t>20240726</t>
        </is>
      </c>
      <c r="L192" t="inlineStr">
        <is>
          <t>20241023</t>
        </is>
      </c>
    </row>
    <row r="193">
      <c r="A193" t="inlineStr">
        <is>
          <t>900005465</t>
        </is>
      </c>
      <c r="B193" t="inlineStr">
        <is>
          <t>DW75</t>
        </is>
      </c>
      <c r="C193" t="inlineStr">
        <is>
          <t>E674</t>
        </is>
      </c>
      <c r="D193" t="inlineStr">
        <is>
          <t>10149958</t>
        </is>
      </c>
      <c r="E193" t="inlineStr"/>
      <c r="F193" s="11" t="n">
        <v>290.91</v>
      </c>
      <c r="G193" t="inlineStr"/>
      <c r="I193" t="inlineStr">
        <is>
          <t>TN</t>
        </is>
      </c>
      <c r="J193" t="inlineStr"/>
      <c r="K193" t="inlineStr">
        <is>
          <t>20240726</t>
        </is>
      </c>
      <c r="L193" t="inlineStr">
        <is>
          <t>20241023</t>
        </is>
      </c>
    </row>
    <row r="194">
      <c r="A194" t="inlineStr">
        <is>
          <t>900005465</t>
        </is>
      </c>
      <c r="B194" t="inlineStr">
        <is>
          <t>DW75</t>
        </is>
      </c>
      <c r="C194" t="inlineStr">
        <is>
          <t>E674</t>
        </is>
      </c>
      <c r="D194" t="inlineStr">
        <is>
          <t>10150617</t>
        </is>
      </c>
      <c r="E194" t="inlineStr"/>
      <c r="F194" s="11" t="n">
        <v>350.72</v>
      </c>
      <c r="G194" t="inlineStr"/>
      <c r="I194" t="inlineStr">
        <is>
          <t>TN</t>
        </is>
      </c>
      <c r="J194" t="inlineStr"/>
      <c r="K194" t="inlineStr">
        <is>
          <t>20240726</t>
        </is>
      </c>
      <c r="L194" t="inlineStr">
        <is>
          <t>20241023</t>
        </is>
      </c>
    </row>
    <row r="195">
      <c r="A195" t="inlineStr">
        <is>
          <t>900005465</t>
        </is>
      </c>
      <c r="B195" t="inlineStr">
        <is>
          <t>DW75</t>
        </is>
      </c>
      <c r="C195" t="inlineStr">
        <is>
          <t>E674</t>
        </is>
      </c>
      <c r="D195" t="inlineStr">
        <is>
          <t>10151192</t>
        </is>
      </c>
      <c r="E195" t="inlineStr"/>
      <c r="F195" s="11" t="n">
        <v>333.62</v>
      </c>
      <c r="G195" t="inlineStr"/>
      <c r="I195" t="inlineStr">
        <is>
          <t>TN</t>
        </is>
      </c>
      <c r="J195" t="inlineStr"/>
      <c r="K195" t="inlineStr">
        <is>
          <t>20240726</t>
        </is>
      </c>
      <c r="L195" t="inlineStr">
        <is>
          <t>20241023</t>
        </is>
      </c>
    </row>
    <row r="196">
      <c r="A196" t="inlineStr">
        <is>
          <t>900005467</t>
        </is>
      </c>
      <c r="B196" t="inlineStr">
        <is>
          <t>DW75</t>
        </is>
      </c>
      <c r="C196" t="inlineStr">
        <is>
          <t>D278</t>
        </is>
      </c>
      <c r="D196" t="inlineStr">
        <is>
          <t>10000716</t>
        </is>
      </c>
      <c r="E196" t="inlineStr"/>
      <c r="F196" s="11" t="n">
        <v>260.58</v>
      </c>
      <c r="G196" t="inlineStr"/>
      <c r="I196" t="inlineStr">
        <is>
          <t>TN</t>
        </is>
      </c>
      <c r="J196" t="inlineStr"/>
      <c r="K196" t="inlineStr">
        <is>
          <t>20240726</t>
        </is>
      </c>
      <c r="L196" t="inlineStr">
        <is>
          <t>20241023</t>
        </is>
      </c>
    </row>
    <row r="197">
      <c r="A197" t="inlineStr">
        <is>
          <t>900005467</t>
        </is>
      </c>
      <c r="B197" t="inlineStr">
        <is>
          <t>DW75</t>
        </is>
      </c>
      <c r="C197" t="inlineStr">
        <is>
          <t>D278</t>
        </is>
      </c>
      <c r="D197" t="inlineStr">
        <is>
          <t>10147933</t>
        </is>
      </c>
      <c r="E197" t="inlineStr"/>
      <c r="F197" s="11" t="n">
        <v>239.83</v>
      </c>
      <c r="G197" t="inlineStr"/>
      <c r="I197" t="inlineStr">
        <is>
          <t>TN</t>
        </is>
      </c>
      <c r="J197" t="inlineStr"/>
      <c r="K197" t="inlineStr">
        <is>
          <t>20240726</t>
        </is>
      </c>
      <c r="L197" t="inlineStr">
        <is>
          <t>20241023</t>
        </is>
      </c>
    </row>
    <row r="198">
      <c r="A198" t="inlineStr">
        <is>
          <t>900005467</t>
        </is>
      </c>
      <c r="B198" t="inlineStr">
        <is>
          <t>DW75</t>
        </is>
      </c>
      <c r="C198" t="inlineStr">
        <is>
          <t>D278</t>
        </is>
      </c>
      <c r="D198" t="inlineStr">
        <is>
          <t>10149958</t>
        </is>
      </c>
      <c r="E198" t="inlineStr"/>
      <c r="F198" s="11" t="n">
        <v>240</v>
      </c>
      <c r="G198" t="inlineStr"/>
      <c r="I198" t="inlineStr">
        <is>
          <t>TN</t>
        </is>
      </c>
      <c r="J198" t="inlineStr"/>
      <c r="K198" t="inlineStr">
        <is>
          <t>20240726</t>
        </is>
      </c>
      <c r="L198" t="inlineStr">
        <is>
          <t>20241023</t>
        </is>
      </c>
    </row>
    <row r="199">
      <c r="A199" t="inlineStr">
        <is>
          <t>900005467</t>
        </is>
      </c>
      <c r="B199" t="inlineStr">
        <is>
          <t>DW75</t>
        </is>
      </c>
      <c r="C199" t="inlineStr">
        <is>
          <t>D278</t>
        </is>
      </c>
      <c r="D199" t="inlineStr">
        <is>
          <t>10150617</t>
        </is>
      </c>
      <c r="E199" t="inlineStr"/>
      <c r="F199" s="11" t="n">
        <v>276.98</v>
      </c>
      <c r="G199" t="inlineStr"/>
      <c r="I199" t="inlineStr">
        <is>
          <t>TN</t>
        </is>
      </c>
      <c r="J199" t="inlineStr"/>
      <c r="K199" t="inlineStr">
        <is>
          <t>20240726</t>
        </is>
      </c>
      <c r="L199" t="inlineStr">
        <is>
          <t>20241023</t>
        </is>
      </c>
    </row>
    <row r="200">
      <c r="A200" t="inlineStr">
        <is>
          <t>900005467</t>
        </is>
      </c>
      <c r="B200" t="inlineStr">
        <is>
          <t>DW75</t>
        </is>
      </c>
      <c r="C200" t="inlineStr">
        <is>
          <t>D278</t>
        </is>
      </c>
      <c r="D200" t="inlineStr">
        <is>
          <t>10151192</t>
        </is>
      </c>
      <c r="E200" t="inlineStr"/>
      <c r="F200" s="11" t="n">
        <v>263.47</v>
      </c>
      <c r="G200" t="inlineStr"/>
      <c r="I200" t="inlineStr">
        <is>
          <t>TN</t>
        </is>
      </c>
      <c r="J200" t="inlineStr"/>
      <c r="K200" t="inlineStr">
        <is>
          <t>20240726</t>
        </is>
      </c>
      <c r="L200" t="inlineStr">
        <is>
          <t>20241023</t>
        </is>
      </c>
    </row>
    <row r="201">
      <c r="A201" t="inlineStr">
        <is>
          <t>900005467</t>
        </is>
      </c>
      <c r="B201" t="inlineStr">
        <is>
          <t>DW75</t>
        </is>
      </c>
      <c r="C201" t="inlineStr">
        <is>
          <t>D312</t>
        </is>
      </c>
      <c r="D201" t="inlineStr">
        <is>
          <t>10000716</t>
        </is>
      </c>
      <c r="E201" t="inlineStr"/>
      <c r="F201" s="11" t="n">
        <v>260.58</v>
      </c>
      <c r="G201" t="inlineStr"/>
      <c r="I201" t="inlineStr">
        <is>
          <t>TN</t>
        </is>
      </c>
      <c r="J201" t="inlineStr"/>
      <c r="K201" t="inlineStr">
        <is>
          <t>20240726</t>
        </is>
      </c>
      <c r="L201" t="inlineStr">
        <is>
          <t>20241023</t>
        </is>
      </c>
    </row>
    <row r="202">
      <c r="A202" t="inlineStr">
        <is>
          <t>900005467</t>
        </is>
      </c>
      <c r="B202" t="inlineStr">
        <is>
          <t>DW75</t>
        </is>
      </c>
      <c r="C202" t="inlineStr">
        <is>
          <t>D312</t>
        </is>
      </c>
      <c r="D202" t="inlineStr">
        <is>
          <t>10147933</t>
        </is>
      </c>
      <c r="E202" t="inlineStr"/>
      <c r="F202" s="11" t="n">
        <v>239.83</v>
      </c>
      <c r="G202" t="inlineStr"/>
      <c r="I202" t="inlineStr">
        <is>
          <t>TN</t>
        </is>
      </c>
      <c r="J202" t="inlineStr"/>
      <c r="K202" t="inlineStr">
        <is>
          <t>20240726</t>
        </is>
      </c>
      <c r="L202" t="inlineStr">
        <is>
          <t>20241023</t>
        </is>
      </c>
    </row>
    <row r="203">
      <c r="A203" t="inlineStr">
        <is>
          <t>900005467</t>
        </is>
      </c>
      <c r="B203" t="inlineStr">
        <is>
          <t>DW75</t>
        </is>
      </c>
      <c r="C203" t="inlineStr">
        <is>
          <t>D312</t>
        </is>
      </c>
      <c r="D203" t="inlineStr">
        <is>
          <t>10149958</t>
        </is>
      </c>
      <c r="E203" t="inlineStr"/>
      <c r="F203" s="11" t="n">
        <v>240</v>
      </c>
      <c r="G203" t="inlineStr"/>
      <c r="I203" t="inlineStr">
        <is>
          <t>TN</t>
        </is>
      </c>
      <c r="J203" t="inlineStr"/>
      <c r="K203" t="inlineStr">
        <is>
          <t>20240726</t>
        </is>
      </c>
      <c r="L203" t="inlineStr">
        <is>
          <t>20241023</t>
        </is>
      </c>
    </row>
    <row r="204">
      <c r="A204" t="inlineStr">
        <is>
          <t>900005467</t>
        </is>
      </c>
      <c r="B204" t="inlineStr">
        <is>
          <t>DW75</t>
        </is>
      </c>
      <c r="C204" t="inlineStr">
        <is>
          <t>D312</t>
        </is>
      </c>
      <c r="D204" t="inlineStr">
        <is>
          <t>10150617</t>
        </is>
      </c>
      <c r="E204" t="inlineStr"/>
      <c r="F204" s="11" t="n">
        <v>276.98</v>
      </c>
      <c r="G204" t="inlineStr"/>
      <c r="I204" t="inlineStr">
        <is>
          <t>TN</t>
        </is>
      </c>
      <c r="J204" t="inlineStr"/>
      <c r="K204" t="inlineStr">
        <is>
          <t>20240726</t>
        </is>
      </c>
      <c r="L204" t="inlineStr">
        <is>
          <t>20241023</t>
        </is>
      </c>
    </row>
    <row r="205">
      <c r="A205" t="inlineStr">
        <is>
          <t>900005467</t>
        </is>
      </c>
      <c r="B205" t="inlineStr">
        <is>
          <t>DW75</t>
        </is>
      </c>
      <c r="C205" t="inlineStr">
        <is>
          <t>D312</t>
        </is>
      </c>
      <c r="D205" t="inlineStr">
        <is>
          <t>10151192</t>
        </is>
      </c>
      <c r="E205" t="inlineStr"/>
      <c r="F205" s="11" t="n">
        <v>263.47</v>
      </c>
      <c r="G205" t="inlineStr"/>
      <c r="I205" t="inlineStr">
        <is>
          <t>TN</t>
        </is>
      </c>
      <c r="J205" t="inlineStr"/>
      <c r="K205" t="inlineStr">
        <is>
          <t>20240726</t>
        </is>
      </c>
      <c r="L205" t="inlineStr">
        <is>
          <t>20241023</t>
        </is>
      </c>
    </row>
    <row r="206">
      <c r="A206" t="inlineStr">
        <is>
          <t>900005467</t>
        </is>
      </c>
      <c r="B206" t="inlineStr">
        <is>
          <t>DW75</t>
        </is>
      </c>
      <c r="C206" t="inlineStr">
        <is>
          <t>D315</t>
        </is>
      </c>
      <c r="D206" t="inlineStr">
        <is>
          <t>10000716</t>
        </is>
      </c>
      <c r="E206" t="inlineStr"/>
      <c r="F206" s="11" t="n">
        <v>236.89</v>
      </c>
      <c r="G206" t="inlineStr"/>
      <c r="I206" t="inlineStr">
        <is>
          <t>TN</t>
        </is>
      </c>
      <c r="J206" t="inlineStr"/>
      <c r="K206" t="inlineStr">
        <is>
          <t>20240726</t>
        </is>
      </c>
      <c r="L206" t="inlineStr">
        <is>
          <t>20241023</t>
        </is>
      </c>
    </row>
    <row r="207">
      <c r="A207" t="inlineStr">
        <is>
          <t>900005467</t>
        </is>
      </c>
      <c r="B207" t="inlineStr">
        <is>
          <t>DW75</t>
        </is>
      </c>
      <c r="C207" t="inlineStr">
        <is>
          <t>D315</t>
        </is>
      </c>
      <c r="D207" t="inlineStr">
        <is>
          <t>10147933</t>
        </is>
      </c>
      <c r="E207" t="inlineStr"/>
      <c r="F207" s="11" t="n">
        <v>218.02</v>
      </c>
      <c r="G207" t="inlineStr"/>
      <c r="I207" t="inlineStr">
        <is>
          <t>TN</t>
        </is>
      </c>
      <c r="J207" t="inlineStr"/>
      <c r="K207" t="inlineStr">
        <is>
          <t>20240726</t>
        </is>
      </c>
      <c r="L207" t="inlineStr">
        <is>
          <t>20241023</t>
        </is>
      </c>
    </row>
    <row r="208">
      <c r="A208" t="inlineStr">
        <is>
          <t>900005467</t>
        </is>
      </c>
      <c r="B208" t="inlineStr">
        <is>
          <t>DW75</t>
        </is>
      </c>
      <c r="C208" t="inlineStr">
        <is>
          <t>D315</t>
        </is>
      </c>
      <c r="D208" t="inlineStr">
        <is>
          <t>10149958</t>
        </is>
      </c>
      <c r="E208" t="inlineStr"/>
      <c r="F208" s="11" t="n">
        <v>218.18</v>
      </c>
      <c r="G208" t="inlineStr"/>
      <c r="I208" t="inlineStr">
        <is>
          <t>TN</t>
        </is>
      </c>
      <c r="J208" t="inlineStr"/>
      <c r="K208" t="inlineStr">
        <is>
          <t>20240726</t>
        </is>
      </c>
      <c r="L208" t="inlineStr">
        <is>
          <t>20241023</t>
        </is>
      </c>
    </row>
    <row r="209">
      <c r="A209" t="inlineStr">
        <is>
          <t>900005467</t>
        </is>
      </c>
      <c r="B209" t="inlineStr">
        <is>
          <t>DW75</t>
        </is>
      </c>
      <c r="C209" t="inlineStr">
        <is>
          <t>D315</t>
        </is>
      </c>
      <c r="D209" t="inlineStr">
        <is>
          <t>10150617</t>
        </is>
      </c>
      <c r="E209" t="inlineStr"/>
      <c r="F209" s="11" t="n">
        <v>251.8</v>
      </c>
      <c r="G209" t="inlineStr"/>
      <c r="I209" t="inlineStr">
        <is>
          <t>TN</t>
        </is>
      </c>
      <c r="J209" t="inlineStr"/>
      <c r="K209" t="inlineStr">
        <is>
          <t>20240726</t>
        </is>
      </c>
      <c r="L209" t="inlineStr">
        <is>
          <t>20241023</t>
        </is>
      </c>
    </row>
    <row r="210">
      <c r="A210" t="inlineStr">
        <is>
          <t>900005467</t>
        </is>
      </c>
      <c r="B210" t="inlineStr">
        <is>
          <t>DW75</t>
        </is>
      </c>
      <c r="C210" t="inlineStr">
        <is>
          <t>D315</t>
        </is>
      </c>
      <c r="D210" t="inlineStr">
        <is>
          <t>10151192</t>
        </is>
      </c>
      <c r="E210" t="inlineStr"/>
      <c r="F210" s="11" t="n">
        <v>239.52</v>
      </c>
      <c r="G210" t="inlineStr"/>
      <c r="I210" t="inlineStr">
        <is>
          <t>TN</t>
        </is>
      </c>
      <c r="J210" t="inlineStr"/>
      <c r="K210" t="inlineStr">
        <is>
          <t>20240726</t>
        </is>
      </c>
      <c r="L210" t="inlineStr">
        <is>
          <t>20241023</t>
        </is>
      </c>
    </row>
    <row r="211">
      <c r="A211" t="inlineStr">
        <is>
          <t>900005467</t>
        </is>
      </c>
      <c r="B211" t="inlineStr">
        <is>
          <t>DW75</t>
        </is>
      </c>
      <c r="C211" t="inlineStr">
        <is>
          <t>D327</t>
        </is>
      </c>
      <c r="D211" t="inlineStr">
        <is>
          <t>10000716</t>
        </is>
      </c>
      <c r="E211" t="inlineStr"/>
      <c r="F211" s="11" t="n">
        <v>260.58</v>
      </c>
      <c r="G211" t="inlineStr"/>
      <c r="I211" t="inlineStr">
        <is>
          <t>TN</t>
        </is>
      </c>
      <c r="J211" t="inlineStr"/>
      <c r="K211" t="inlineStr">
        <is>
          <t>20240726</t>
        </is>
      </c>
      <c r="L211" t="inlineStr">
        <is>
          <t>20241023</t>
        </is>
      </c>
    </row>
    <row r="212">
      <c r="A212" t="inlineStr">
        <is>
          <t>900005467</t>
        </is>
      </c>
      <c r="B212" t="inlineStr">
        <is>
          <t>DW75</t>
        </is>
      </c>
      <c r="C212" t="inlineStr">
        <is>
          <t>D327</t>
        </is>
      </c>
      <c r="D212" t="inlineStr">
        <is>
          <t>10147933</t>
        </is>
      </c>
      <c r="E212" t="inlineStr"/>
      <c r="F212" s="11" t="n">
        <v>239.83</v>
      </c>
      <c r="G212" t="inlineStr"/>
      <c r="I212" t="inlineStr">
        <is>
          <t>TN</t>
        </is>
      </c>
      <c r="J212" t="inlineStr"/>
      <c r="K212" t="inlineStr">
        <is>
          <t>20240726</t>
        </is>
      </c>
      <c r="L212" t="inlineStr">
        <is>
          <t>20241023</t>
        </is>
      </c>
    </row>
    <row r="213">
      <c r="A213" t="inlineStr">
        <is>
          <t>900005467</t>
        </is>
      </c>
      <c r="B213" t="inlineStr">
        <is>
          <t>DW75</t>
        </is>
      </c>
      <c r="C213" t="inlineStr">
        <is>
          <t>D327</t>
        </is>
      </c>
      <c r="D213" t="inlineStr">
        <is>
          <t>10149958</t>
        </is>
      </c>
      <c r="E213" t="inlineStr"/>
      <c r="F213" s="11" t="n">
        <v>240</v>
      </c>
      <c r="G213" t="inlineStr"/>
      <c r="I213" t="inlineStr">
        <is>
          <t>TN</t>
        </is>
      </c>
      <c r="J213" t="inlineStr"/>
      <c r="K213" t="inlineStr">
        <is>
          <t>20240726</t>
        </is>
      </c>
      <c r="L213" t="inlineStr">
        <is>
          <t>20241023</t>
        </is>
      </c>
    </row>
    <row r="214">
      <c r="A214" t="inlineStr">
        <is>
          <t>900005467</t>
        </is>
      </c>
      <c r="B214" t="inlineStr">
        <is>
          <t>DW75</t>
        </is>
      </c>
      <c r="C214" t="inlineStr">
        <is>
          <t>D327</t>
        </is>
      </c>
      <c r="D214" t="inlineStr">
        <is>
          <t>10150617</t>
        </is>
      </c>
      <c r="E214" t="inlineStr"/>
      <c r="F214" s="11" t="n">
        <v>276.98</v>
      </c>
      <c r="G214" t="inlineStr"/>
      <c r="I214" t="inlineStr">
        <is>
          <t>TN</t>
        </is>
      </c>
      <c r="J214" t="inlineStr"/>
      <c r="K214" t="inlineStr">
        <is>
          <t>20240726</t>
        </is>
      </c>
      <c r="L214" t="inlineStr">
        <is>
          <t>20241023</t>
        </is>
      </c>
    </row>
    <row r="215">
      <c r="A215" t="inlineStr">
        <is>
          <t>900005467</t>
        </is>
      </c>
      <c r="B215" t="inlineStr">
        <is>
          <t>DW75</t>
        </is>
      </c>
      <c r="C215" t="inlineStr">
        <is>
          <t>D327</t>
        </is>
      </c>
      <c r="D215" t="inlineStr">
        <is>
          <t>10151192</t>
        </is>
      </c>
      <c r="E215" t="inlineStr"/>
      <c r="F215" s="11" t="n">
        <v>263.47</v>
      </c>
      <c r="G215" t="inlineStr"/>
      <c r="I215" t="inlineStr">
        <is>
          <t>TN</t>
        </is>
      </c>
      <c r="J215" t="inlineStr"/>
      <c r="K215" t="inlineStr">
        <is>
          <t>20240726</t>
        </is>
      </c>
      <c r="L215" t="inlineStr">
        <is>
          <t>20241023</t>
        </is>
      </c>
    </row>
    <row r="216">
      <c r="A216" t="inlineStr">
        <is>
          <t>900005467</t>
        </is>
      </c>
      <c r="B216" t="inlineStr">
        <is>
          <t>DW75</t>
        </is>
      </c>
      <c r="C216" t="inlineStr">
        <is>
          <t>D331</t>
        </is>
      </c>
      <c r="D216" t="inlineStr">
        <is>
          <t>10000587</t>
        </is>
      </c>
      <c r="E216" t="inlineStr"/>
      <c r="F216" s="11" t="n">
        <v>73.33</v>
      </c>
      <c r="G216" t="inlineStr"/>
      <c r="I216" t="inlineStr">
        <is>
          <t>TN</t>
        </is>
      </c>
      <c r="J216" t="inlineStr"/>
      <c r="K216" t="inlineStr">
        <is>
          <t>20240726</t>
        </is>
      </c>
      <c r="L216" t="inlineStr">
        <is>
          <t>20241023</t>
        </is>
      </c>
    </row>
    <row r="217">
      <c r="A217" t="inlineStr">
        <is>
          <t>900005467</t>
        </is>
      </c>
      <c r="B217" t="inlineStr">
        <is>
          <t>DW75</t>
        </is>
      </c>
      <c r="C217" t="inlineStr">
        <is>
          <t>D331</t>
        </is>
      </c>
      <c r="D217" t="inlineStr">
        <is>
          <t>10000716</t>
        </is>
      </c>
      <c r="E217" t="inlineStr"/>
      <c r="F217" s="11" t="n">
        <v>176.73</v>
      </c>
      <c r="G217" t="inlineStr"/>
      <c r="I217" t="inlineStr">
        <is>
          <t>TN</t>
        </is>
      </c>
      <c r="J217" t="inlineStr"/>
      <c r="K217" t="inlineStr">
        <is>
          <t>20220516</t>
        </is>
      </c>
      <c r="L217" t="inlineStr">
        <is>
          <t>20241216</t>
        </is>
      </c>
    </row>
    <row r="218">
      <c r="A218" t="inlineStr">
        <is>
          <t>900005467</t>
        </is>
      </c>
      <c r="B218" t="inlineStr">
        <is>
          <t>DW75</t>
        </is>
      </c>
      <c r="C218" t="inlineStr">
        <is>
          <t>D331</t>
        </is>
      </c>
      <c r="D218" t="inlineStr">
        <is>
          <t>10147933</t>
        </is>
      </c>
      <c r="E218" t="inlineStr"/>
      <c r="F218" s="11" t="n">
        <v>156.03</v>
      </c>
      <c r="G218" t="inlineStr"/>
      <c r="I218" t="inlineStr">
        <is>
          <t>TN</t>
        </is>
      </c>
      <c r="J218" t="inlineStr"/>
      <c r="K218" t="inlineStr">
        <is>
          <t>20220516</t>
        </is>
      </c>
      <c r="L218" t="inlineStr">
        <is>
          <t>20241216</t>
        </is>
      </c>
    </row>
    <row r="219">
      <c r="A219" t="inlineStr">
        <is>
          <t>900005467</t>
        </is>
      </c>
      <c r="B219" t="inlineStr">
        <is>
          <t>DW75</t>
        </is>
      </c>
      <c r="C219" t="inlineStr">
        <is>
          <t>D331</t>
        </is>
      </c>
      <c r="D219" t="inlineStr">
        <is>
          <t>10149958</t>
        </is>
      </c>
      <c r="E219" t="inlineStr"/>
      <c r="F219" s="11" t="n">
        <v>156.14</v>
      </c>
      <c r="G219" t="inlineStr"/>
      <c r="I219" t="inlineStr">
        <is>
          <t>TN</t>
        </is>
      </c>
      <c r="J219" t="inlineStr"/>
      <c r="K219" t="inlineStr">
        <is>
          <t>20220516</t>
        </is>
      </c>
      <c r="L219" t="inlineStr">
        <is>
          <t>20241216</t>
        </is>
      </c>
    </row>
    <row r="220">
      <c r="A220" t="inlineStr">
        <is>
          <t>900005467</t>
        </is>
      </c>
      <c r="B220" t="inlineStr">
        <is>
          <t>DW75</t>
        </is>
      </c>
      <c r="C220" t="inlineStr">
        <is>
          <t>D331</t>
        </is>
      </c>
      <c r="D220" t="inlineStr">
        <is>
          <t>10150617</t>
        </is>
      </c>
      <c r="E220" t="inlineStr"/>
      <c r="F220" s="11" t="n">
        <v>187.85</v>
      </c>
      <c r="G220" t="inlineStr"/>
      <c r="I220" t="inlineStr">
        <is>
          <t>TN</t>
        </is>
      </c>
      <c r="J220" t="inlineStr"/>
      <c r="K220" t="inlineStr">
        <is>
          <t>20220516</t>
        </is>
      </c>
      <c r="L220" t="inlineStr">
        <is>
          <t>20241216</t>
        </is>
      </c>
    </row>
    <row r="221">
      <c r="A221" t="inlineStr">
        <is>
          <t>900005467</t>
        </is>
      </c>
      <c r="B221" t="inlineStr">
        <is>
          <t>DW75</t>
        </is>
      </c>
      <c r="C221" t="inlineStr">
        <is>
          <t>D331</t>
        </is>
      </c>
      <c r="D221" t="inlineStr">
        <is>
          <t>10151192</t>
        </is>
      </c>
      <c r="E221" t="inlineStr"/>
      <c r="F221" s="11" t="n">
        <v>178.7</v>
      </c>
      <c r="G221" t="inlineStr"/>
      <c r="I221" t="inlineStr">
        <is>
          <t>TN</t>
        </is>
      </c>
      <c r="J221" t="inlineStr"/>
      <c r="K221" t="inlineStr">
        <is>
          <t>20220516</t>
        </is>
      </c>
      <c r="L221" t="inlineStr">
        <is>
          <t>20241216</t>
        </is>
      </c>
    </row>
    <row r="222">
      <c r="A222" t="inlineStr">
        <is>
          <t>900005467</t>
        </is>
      </c>
      <c r="B222" t="inlineStr">
        <is>
          <t>DW75</t>
        </is>
      </c>
      <c r="C222" t="inlineStr">
        <is>
          <t>D343</t>
        </is>
      </c>
      <c r="D222" t="inlineStr">
        <is>
          <t>10000716</t>
        </is>
      </c>
      <c r="E222" t="inlineStr"/>
      <c r="F222" s="11" t="n">
        <v>260.58</v>
      </c>
      <c r="G222" t="inlineStr"/>
      <c r="I222" t="inlineStr">
        <is>
          <t>TN</t>
        </is>
      </c>
      <c r="J222" t="inlineStr"/>
      <c r="K222" t="inlineStr">
        <is>
          <t>20240726</t>
        </is>
      </c>
      <c r="L222" t="inlineStr">
        <is>
          <t>20241023</t>
        </is>
      </c>
    </row>
    <row r="223">
      <c r="A223" t="inlineStr">
        <is>
          <t>900005467</t>
        </is>
      </c>
      <c r="B223" t="inlineStr">
        <is>
          <t>DW75</t>
        </is>
      </c>
      <c r="C223" t="inlineStr">
        <is>
          <t>D343</t>
        </is>
      </c>
      <c r="D223" t="inlineStr">
        <is>
          <t>10147933</t>
        </is>
      </c>
      <c r="E223" t="inlineStr"/>
      <c r="F223" s="11" t="n">
        <v>239.83</v>
      </c>
      <c r="G223" t="inlineStr"/>
      <c r="I223" t="inlineStr">
        <is>
          <t>TN</t>
        </is>
      </c>
      <c r="J223" t="inlineStr"/>
      <c r="K223" t="inlineStr">
        <is>
          <t>20240726</t>
        </is>
      </c>
      <c r="L223" t="inlineStr">
        <is>
          <t>20241023</t>
        </is>
      </c>
    </row>
    <row r="224">
      <c r="A224" t="inlineStr">
        <is>
          <t>900005467</t>
        </is>
      </c>
      <c r="B224" t="inlineStr">
        <is>
          <t>DW75</t>
        </is>
      </c>
      <c r="C224" t="inlineStr">
        <is>
          <t>D343</t>
        </is>
      </c>
      <c r="D224" t="inlineStr">
        <is>
          <t>10149958</t>
        </is>
      </c>
      <c r="E224" t="inlineStr"/>
      <c r="F224" s="11" t="n">
        <v>240</v>
      </c>
      <c r="G224" t="inlineStr"/>
      <c r="I224" t="inlineStr">
        <is>
          <t>TN</t>
        </is>
      </c>
      <c r="J224" t="inlineStr"/>
      <c r="K224" t="inlineStr">
        <is>
          <t>20240726</t>
        </is>
      </c>
      <c r="L224" t="inlineStr">
        <is>
          <t>20241023</t>
        </is>
      </c>
    </row>
    <row r="225">
      <c r="A225" t="inlineStr">
        <is>
          <t>900005467</t>
        </is>
      </c>
      <c r="B225" t="inlineStr">
        <is>
          <t>DW75</t>
        </is>
      </c>
      <c r="C225" t="inlineStr">
        <is>
          <t>D343</t>
        </is>
      </c>
      <c r="D225" t="inlineStr">
        <is>
          <t>10150617</t>
        </is>
      </c>
      <c r="E225" t="inlineStr"/>
      <c r="F225" s="11" t="n">
        <v>276.98</v>
      </c>
      <c r="G225" t="inlineStr"/>
      <c r="I225" t="inlineStr">
        <is>
          <t>TN</t>
        </is>
      </c>
      <c r="J225" t="inlineStr"/>
      <c r="K225" t="inlineStr">
        <is>
          <t>20240726</t>
        </is>
      </c>
      <c r="L225" t="inlineStr">
        <is>
          <t>20241023</t>
        </is>
      </c>
    </row>
    <row r="226">
      <c r="A226" t="inlineStr">
        <is>
          <t>900005467</t>
        </is>
      </c>
      <c r="B226" t="inlineStr">
        <is>
          <t>DW75</t>
        </is>
      </c>
      <c r="C226" t="inlineStr">
        <is>
          <t>D343</t>
        </is>
      </c>
      <c r="D226" t="inlineStr">
        <is>
          <t>10151192</t>
        </is>
      </c>
      <c r="E226" t="inlineStr"/>
      <c r="F226" s="11" t="n">
        <v>263.47</v>
      </c>
      <c r="G226" t="inlineStr"/>
      <c r="I226" t="inlineStr">
        <is>
          <t>TN</t>
        </is>
      </c>
      <c r="J226" t="inlineStr"/>
      <c r="K226" t="inlineStr">
        <is>
          <t>20240726</t>
        </is>
      </c>
      <c r="L226" t="inlineStr">
        <is>
          <t>20241023</t>
        </is>
      </c>
    </row>
    <row r="227">
      <c r="A227" t="inlineStr">
        <is>
          <t>900005467</t>
        </is>
      </c>
      <c r="B227" t="inlineStr">
        <is>
          <t>DW75</t>
        </is>
      </c>
      <c r="C227" t="inlineStr">
        <is>
          <t>D349</t>
        </is>
      </c>
      <c r="D227" t="inlineStr">
        <is>
          <t>10000716</t>
        </is>
      </c>
      <c r="E227" t="inlineStr"/>
      <c r="F227" s="11" t="n">
        <v>260.58</v>
      </c>
      <c r="G227" t="inlineStr"/>
      <c r="I227" t="inlineStr">
        <is>
          <t>TN</t>
        </is>
      </c>
      <c r="J227" t="inlineStr"/>
      <c r="K227" t="inlineStr">
        <is>
          <t>20240726</t>
        </is>
      </c>
      <c r="L227" t="inlineStr">
        <is>
          <t>20241023</t>
        </is>
      </c>
    </row>
    <row r="228">
      <c r="A228" t="inlineStr">
        <is>
          <t>900005467</t>
        </is>
      </c>
      <c r="B228" t="inlineStr">
        <is>
          <t>DW75</t>
        </is>
      </c>
      <c r="C228" t="inlineStr">
        <is>
          <t>D349</t>
        </is>
      </c>
      <c r="D228" t="inlineStr">
        <is>
          <t>10147933</t>
        </is>
      </c>
      <c r="E228" t="inlineStr"/>
      <c r="F228" s="11" t="n">
        <v>239.83</v>
      </c>
      <c r="G228" t="inlineStr"/>
      <c r="I228" t="inlineStr">
        <is>
          <t>TN</t>
        </is>
      </c>
      <c r="J228" t="inlineStr"/>
      <c r="K228" t="inlineStr">
        <is>
          <t>20240726</t>
        </is>
      </c>
      <c r="L228" t="inlineStr">
        <is>
          <t>20241023</t>
        </is>
      </c>
    </row>
    <row r="229">
      <c r="A229" t="inlineStr">
        <is>
          <t>900005467</t>
        </is>
      </c>
      <c r="B229" t="inlineStr">
        <is>
          <t>DW75</t>
        </is>
      </c>
      <c r="C229" t="inlineStr">
        <is>
          <t>D349</t>
        </is>
      </c>
      <c r="D229" t="inlineStr">
        <is>
          <t>10149958</t>
        </is>
      </c>
      <c r="E229" t="inlineStr"/>
      <c r="F229" s="11" t="n">
        <v>240</v>
      </c>
      <c r="G229" t="inlineStr"/>
      <c r="I229" t="inlineStr">
        <is>
          <t>TN</t>
        </is>
      </c>
      <c r="J229" t="inlineStr"/>
      <c r="K229" t="inlineStr">
        <is>
          <t>20240726</t>
        </is>
      </c>
      <c r="L229" t="inlineStr">
        <is>
          <t>20241023</t>
        </is>
      </c>
    </row>
    <row r="230">
      <c r="A230" t="inlineStr">
        <is>
          <t>900005467</t>
        </is>
      </c>
      <c r="B230" t="inlineStr">
        <is>
          <t>DW75</t>
        </is>
      </c>
      <c r="C230" t="inlineStr">
        <is>
          <t>D349</t>
        </is>
      </c>
      <c r="D230" t="inlineStr">
        <is>
          <t>10150617</t>
        </is>
      </c>
      <c r="E230" t="inlineStr"/>
      <c r="F230" s="11" t="n">
        <v>276.98</v>
      </c>
      <c r="G230" t="inlineStr"/>
      <c r="I230" t="inlineStr">
        <is>
          <t>TN</t>
        </is>
      </c>
      <c r="J230" t="inlineStr"/>
      <c r="K230" t="inlineStr">
        <is>
          <t>20240726</t>
        </is>
      </c>
      <c r="L230" t="inlineStr">
        <is>
          <t>20241023</t>
        </is>
      </c>
    </row>
    <row r="231">
      <c r="A231" t="inlineStr">
        <is>
          <t>900005467</t>
        </is>
      </c>
      <c r="B231" t="inlineStr">
        <is>
          <t>DW75</t>
        </is>
      </c>
      <c r="C231" t="inlineStr">
        <is>
          <t>D349</t>
        </is>
      </c>
      <c r="D231" t="inlineStr">
        <is>
          <t>10151192</t>
        </is>
      </c>
      <c r="E231" t="inlineStr"/>
      <c r="F231" s="11" t="n">
        <v>263.47</v>
      </c>
      <c r="G231" t="inlineStr"/>
      <c r="I231" t="inlineStr">
        <is>
          <t>TN</t>
        </is>
      </c>
      <c r="J231" t="inlineStr"/>
      <c r="K231" t="inlineStr">
        <is>
          <t>20240726</t>
        </is>
      </c>
      <c r="L231" t="inlineStr">
        <is>
          <t>20241023</t>
        </is>
      </c>
    </row>
    <row r="232">
      <c r="A232" t="inlineStr">
        <is>
          <t>900005822</t>
        </is>
      </c>
      <c r="B232" t="inlineStr">
        <is>
          <t>DW75</t>
        </is>
      </c>
      <c r="C232" t="inlineStr">
        <is>
          <t>D278</t>
        </is>
      </c>
      <c r="D232" t="inlineStr">
        <is>
          <t>10159865</t>
        </is>
      </c>
      <c r="E232" t="inlineStr"/>
      <c r="F232" s="11" t="n">
        <v>232.56</v>
      </c>
      <c r="G232" t="inlineStr"/>
      <c r="I232" t="inlineStr">
        <is>
          <t>TN</t>
        </is>
      </c>
      <c r="J232" t="inlineStr"/>
      <c r="K232" t="inlineStr">
        <is>
          <t>20240726</t>
        </is>
      </c>
      <c r="L232" t="inlineStr">
        <is>
          <t>20241023</t>
        </is>
      </c>
    </row>
    <row r="233">
      <c r="A233" t="inlineStr">
        <is>
          <t>900005822</t>
        </is>
      </c>
      <c r="B233" t="inlineStr">
        <is>
          <t>DW75</t>
        </is>
      </c>
      <c r="C233" t="inlineStr">
        <is>
          <t>D312</t>
        </is>
      </c>
      <c r="D233" t="inlineStr">
        <is>
          <t>10159865</t>
        </is>
      </c>
      <c r="E233" t="inlineStr"/>
      <c r="F233" s="11" t="n">
        <v>232.56</v>
      </c>
      <c r="G233" t="inlineStr"/>
      <c r="I233" t="inlineStr">
        <is>
          <t>TN</t>
        </is>
      </c>
      <c r="J233" t="inlineStr"/>
      <c r="K233" t="inlineStr">
        <is>
          <t>20240726</t>
        </is>
      </c>
      <c r="L233" t="inlineStr">
        <is>
          <t>20241023</t>
        </is>
      </c>
    </row>
    <row r="234">
      <c r="A234" t="inlineStr">
        <is>
          <t>900005822</t>
        </is>
      </c>
      <c r="B234" t="inlineStr">
        <is>
          <t>DW75</t>
        </is>
      </c>
      <c r="C234" t="inlineStr">
        <is>
          <t>D327</t>
        </is>
      </c>
      <c r="D234" t="inlineStr">
        <is>
          <t>10159865</t>
        </is>
      </c>
      <c r="E234" t="inlineStr"/>
      <c r="F234" s="11" t="n">
        <v>232.56</v>
      </c>
      <c r="G234" t="inlineStr"/>
      <c r="I234" t="inlineStr">
        <is>
          <t>TN</t>
        </is>
      </c>
      <c r="J234" t="inlineStr"/>
      <c r="K234" t="inlineStr">
        <is>
          <t>20240726</t>
        </is>
      </c>
      <c r="L234" t="inlineStr">
        <is>
          <t>20241023</t>
        </is>
      </c>
    </row>
    <row r="235">
      <c r="A235" t="inlineStr">
        <is>
          <t>900005822</t>
        </is>
      </c>
      <c r="B235" t="inlineStr">
        <is>
          <t>DW75</t>
        </is>
      </c>
      <c r="C235" t="inlineStr">
        <is>
          <t>D343</t>
        </is>
      </c>
      <c r="D235" t="inlineStr">
        <is>
          <t>10159865</t>
        </is>
      </c>
      <c r="E235" t="inlineStr"/>
      <c r="F235" s="11" t="n">
        <v>232.56</v>
      </c>
      <c r="G235" t="inlineStr"/>
      <c r="I235" t="inlineStr">
        <is>
          <t>TN</t>
        </is>
      </c>
      <c r="J235" t="inlineStr"/>
      <c r="K235" t="inlineStr">
        <is>
          <t>20240726</t>
        </is>
      </c>
      <c r="L235" t="inlineStr">
        <is>
          <t>20241023</t>
        </is>
      </c>
    </row>
    <row r="236">
      <c r="A236" t="inlineStr">
        <is>
          <t>900005822</t>
        </is>
      </c>
      <c r="B236" t="inlineStr">
        <is>
          <t>DW75</t>
        </is>
      </c>
      <c r="C236" t="inlineStr">
        <is>
          <t>D349</t>
        </is>
      </c>
      <c r="D236" t="inlineStr">
        <is>
          <t>10043601</t>
        </is>
      </c>
      <c r="E236" t="inlineStr"/>
      <c r="F236" s="11" t="n">
        <v>297.87</v>
      </c>
      <c r="G236" t="inlineStr"/>
      <c r="I236" t="inlineStr">
        <is>
          <t>TN</t>
        </is>
      </c>
      <c r="J236" t="inlineStr"/>
      <c r="K236" t="inlineStr">
        <is>
          <t>20260603</t>
        </is>
      </c>
      <c r="L236" t="inlineStr">
        <is>
          <t>99991231</t>
        </is>
      </c>
    </row>
    <row r="237">
      <c r="A237" t="inlineStr">
        <is>
          <t>900005845</t>
        </is>
      </c>
      <c r="B237" t="inlineStr">
        <is>
          <t>DW75</t>
        </is>
      </c>
      <c r="C237" t="inlineStr">
        <is>
          <t>EQ86</t>
        </is>
      </c>
      <c r="D237" t="inlineStr">
        <is>
          <t>10266819</t>
        </is>
      </c>
      <c r="E237" t="inlineStr"/>
      <c r="F237" s="11" t="n">
        <v>305.01</v>
      </c>
      <c r="G237" t="inlineStr"/>
      <c r="I237" t="inlineStr">
        <is>
          <t>TN</t>
        </is>
      </c>
      <c r="J237" t="inlineStr"/>
      <c r="K237" t="inlineStr">
        <is>
          <t>20251009</t>
        </is>
      </c>
      <c r="L237" t="inlineStr">
        <is>
          <t>99991231</t>
        </is>
      </c>
    </row>
    <row r="238">
      <c r="A238" t="inlineStr">
        <is>
          <t>900006058</t>
        </is>
      </c>
      <c r="B238" t="inlineStr">
        <is>
          <t>DW75</t>
        </is>
      </c>
      <c r="C238" t="inlineStr">
        <is>
          <t>D315</t>
        </is>
      </c>
      <c r="D238" t="inlineStr">
        <is>
          <t>10032115</t>
        </is>
      </c>
      <c r="E238" t="inlineStr"/>
      <c r="F238" s="11" t="n">
        <v>153.6</v>
      </c>
      <c r="G238" t="inlineStr"/>
      <c r="I238" t="inlineStr">
        <is>
          <t>TN</t>
        </is>
      </c>
      <c r="J238" t="inlineStr"/>
      <c r="K238" t="inlineStr">
        <is>
          <t>20240726</t>
        </is>
      </c>
      <c r="L238" t="inlineStr">
        <is>
          <t>20241023</t>
        </is>
      </c>
    </row>
    <row r="239">
      <c r="A239" t="inlineStr">
        <is>
          <t>900006058</t>
        </is>
      </c>
      <c r="B239" t="inlineStr">
        <is>
          <t>DW75</t>
        </is>
      </c>
      <c r="C239" t="inlineStr">
        <is>
          <t>D327</t>
        </is>
      </c>
      <c r="D239" t="inlineStr">
        <is>
          <t>10032115</t>
        </is>
      </c>
      <c r="E239" t="inlineStr"/>
      <c r="F239" s="11" t="n">
        <v>153.6</v>
      </c>
      <c r="G239" t="inlineStr"/>
      <c r="I239" t="inlineStr">
        <is>
          <t>TN</t>
        </is>
      </c>
      <c r="J239" t="inlineStr"/>
      <c r="K239" t="inlineStr">
        <is>
          <t>20240726</t>
        </is>
      </c>
      <c r="L239" t="inlineStr">
        <is>
          <t>20241023</t>
        </is>
      </c>
    </row>
    <row r="240">
      <c r="A240" t="inlineStr">
        <is>
          <t>900006058</t>
        </is>
      </c>
      <c r="B240" t="inlineStr">
        <is>
          <t>DW75</t>
        </is>
      </c>
      <c r="C240" t="inlineStr">
        <is>
          <t>D349</t>
        </is>
      </c>
      <c r="D240" t="inlineStr">
        <is>
          <t>10000742</t>
        </is>
      </c>
      <c r="E240" t="inlineStr"/>
      <c r="F240" s="11" t="n">
        <v>200.73</v>
      </c>
      <c r="G240" t="inlineStr"/>
      <c r="I240" t="inlineStr">
        <is>
          <t>TN</t>
        </is>
      </c>
      <c r="J240" t="inlineStr"/>
      <c r="K240" t="inlineStr">
        <is>
          <t>20240726</t>
        </is>
      </c>
      <c r="L240" t="inlineStr">
        <is>
          <t>20241023</t>
        </is>
      </c>
    </row>
    <row r="241">
      <c r="A241" t="inlineStr">
        <is>
          <t>900006058</t>
        </is>
      </c>
      <c r="B241" t="inlineStr">
        <is>
          <t>DW75</t>
        </is>
      </c>
      <c r="C241" t="inlineStr">
        <is>
          <t>D349</t>
        </is>
      </c>
      <c r="D241" t="inlineStr">
        <is>
          <t>10009436</t>
        </is>
      </c>
      <c r="E241" t="inlineStr"/>
      <c r="F241" s="11" t="n">
        <v>205.68</v>
      </c>
      <c r="G241" t="inlineStr"/>
      <c r="I241" t="inlineStr">
        <is>
          <t>TN</t>
        </is>
      </c>
      <c r="J241" t="inlineStr"/>
      <c r="K241" t="inlineStr">
        <is>
          <t>20240726</t>
        </is>
      </c>
      <c r="L241" t="inlineStr">
        <is>
          <t>20241023</t>
        </is>
      </c>
    </row>
    <row r="242">
      <c r="A242" t="inlineStr">
        <is>
          <t>900006058</t>
        </is>
      </c>
      <c r="B242" t="inlineStr">
        <is>
          <t>DW75</t>
        </is>
      </c>
      <c r="C242" t="inlineStr">
        <is>
          <t>D349</t>
        </is>
      </c>
      <c r="D242" t="inlineStr">
        <is>
          <t>10032115</t>
        </is>
      </c>
      <c r="E242" t="inlineStr"/>
      <c r="F242" s="11" t="n">
        <v>173.56</v>
      </c>
      <c r="G242" t="inlineStr"/>
      <c r="I242" t="inlineStr">
        <is>
          <t>TN</t>
        </is>
      </c>
      <c r="J242" t="inlineStr"/>
      <c r="K242" t="inlineStr">
        <is>
          <t>20240726</t>
        </is>
      </c>
      <c r="L242" t="inlineStr">
        <is>
          <t>20241023</t>
        </is>
      </c>
    </row>
    <row r="243">
      <c r="A243" t="inlineStr">
        <is>
          <t>900006058</t>
        </is>
      </c>
      <c r="B243" t="inlineStr">
        <is>
          <t>DW75</t>
        </is>
      </c>
      <c r="C243" t="inlineStr">
        <is>
          <t>D349</t>
        </is>
      </c>
      <c r="D243" t="inlineStr">
        <is>
          <t>10161246</t>
        </is>
      </c>
      <c r="E243" t="inlineStr"/>
      <c r="F243" s="11" t="n">
        <v>174.46</v>
      </c>
      <c r="G243" t="inlineStr"/>
      <c r="I243" t="inlineStr">
        <is>
          <t>TN</t>
        </is>
      </c>
      <c r="J243" t="inlineStr"/>
      <c r="K243" t="inlineStr">
        <is>
          <t>20240726</t>
        </is>
      </c>
      <c r="L243" t="inlineStr">
        <is>
          <t>20241023</t>
        </is>
      </c>
    </row>
    <row r="244">
      <c r="A244" t="inlineStr">
        <is>
          <t>900006554</t>
        </is>
      </c>
      <c r="B244" t="inlineStr">
        <is>
          <t>DW75</t>
        </is>
      </c>
      <c r="C244" t="inlineStr">
        <is>
          <t>D278</t>
        </is>
      </c>
      <c r="D244" t="inlineStr">
        <is>
          <t>10000364</t>
        </is>
      </c>
      <c r="E244" t="inlineStr"/>
      <c r="F244" s="11" t="n">
        <v>146.13</v>
      </c>
      <c r="G244" t="inlineStr"/>
      <c r="I244" t="inlineStr">
        <is>
          <t>TN</t>
        </is>
      </c>
      <c r="J244" t="inlineStr"/>
      <c r="K244" t="inlineStr">
        <is>
          <t>20220516</t>
        </is>
      </c>
      <c r="L244" t="inlineStr">
        <is>
          <t>20241216</t>
        </is>
      </c>
    </row>
    <row r="245">
      <c r="A245" t="inlineStr">
        <is>
          <t>900006554</t>
        </is>
      </c>
      <c r="B245" t="inlineStr">
        <is>
          <t>DW75</t>
        </is>
      </c>
      <c r="C245" t="inlineStr">
        <is>
          <t>D278</t>
        </is>
      </c>
      <c r="D245" t="inlineStr">
        <is>
          <t>10043600</t>
        </is>
      </c>
      <c r="E245" t="inlineStr"/>
      <c r="F245" s="11" t="n">
        <v>248.31</v>
      </c>
      <c r="G245" t="inlineStr"/>
      <c r="I245" t="inlineStr">
        <is>
          <t>TN</t>
        </is>
      </c>
      <c r="J245" t="inlineStr"/>
      <c r="K245" t="inlineStr">
        <is>
          <t>20250301</t>
        </is>
      </c>
      <c r="L245" t="inlineStr">
        <is>
          <t>99991231</t>
        </is>
      </c>
    </row>
    <row r="246">
      <c r="A246" t="inlineStr">
        <is>
          <t>900006554</t>
        </is>
      </c>
      <c r="B246" t="inlineStr">
        <is>
          <t>DW75</t>
        </is>
      </c>
      <c r="C246" t="inlineStr">
        <is>
          <t>D278</t>
        </is>
      </c>
      <c r="D246" t="inlineStr">
        <is>
          <t>10043601</t>
        </is>
      </c>
      <c r="E246" t="inlineStr"/>
      <c r="F246" s="11" t="n">
        <v>248.73</v>
      </c>
      <c r="G246" t="inlineStr"/>
      <c r="I246" t="inlineStr">
        <is>
          <t>TN</t>
        </is>
      </c>
      <c r="J246" t="inlineStr"/>
      <c r="K246" t="inlineStr">
        <is>
          <t>20250301</t>
        </is>
      </c>
      <c r="L246" t="inlineStr">
        <is>
          <t>99991231</t>
        </is>
      </c>
    </row>
    <row r="247">
      <c r="A247" t="inlineStr">
        <is>
          <t>900006554</t>
        </is>
      </c>
      <c r="B247" t="inlineStr">
        <is>
          <t>DW75</t>
        </is>
      </c>
      <c r="C247" t="inlineStr">
        <is>
          <t>D278</t>
        </is>
      </c>
      <c r="D247" t="inlineStr">
        <is>
          <t>10045642</t>
        </is>
      </c>
      <c r="E247" t="inlineStr"/>
      <c r="F247" s="11" t="n">
        <v>237.12</v>
      </c>
      <c r="G247" t="inlineStr"/>
      <c r="I247" t="inlineStr">
        <is>
          <t>TN</t>
        </is>
      </c>
      <c r="J247" t="inlineStr"/>
      <c r="K247" t="inlineStr">
        <is>
          <t>20250301</t>
        </is>
      </c>
      <c r="L247" t="inlineStr">
        <is>
          <t>99991231</t>
        </is>
      </c>
    </row>
    <row r="248">
      <c r="A248" t="inlineStr">
        <is>
          <t>900006554</t>
        </is>
      </c>
      <c r="B248" t="inlineStr">
        <is>
          <t>DW75</t>
        </is>
      </c>
      <c r="C248" t="inlineStr">
        <is>
          <t>D278</t>
        </is>
      </c>
      <c r="D248" t="inlineStr">
        <is>
          <t>10147933</t>
        </is>
      </c>
      <c r="E248" t="inlineStr"/>
      <c r="F248" s="11" t="n">
        <v>253.49</v>
      </c>
      <c r="G248" t="inlineStr"/>
      <c r="I248" t="inlineStr">
        <is>
          <t>TN</t>
        </is>
      </c>
      <c r="J248" t="inlineStr"/>
      <c r="K248" t="inlineStr">
        <is>
          <t>20250301</t>
        </is>
      </c>
      <c r="L248" t="inlineStr">
        <is>
          <t>20260215</t>
        </is>
      </c>
    </row>
    <row r="249">
      <c r="A249" t="inlineStr">
        <is>
          <t>900006554</t>
        </is>
      </c>
      <c r="B249" t="inlineStr">
        <is>
          <t>DW75</t>
        </is>
      </c>
      <c r="C249" t="inlineStr">
        <is>
          <t>D278</t>
        </is>
      </c>
      <c r="D249" t="inlineStr">
        <is>
          <t>10151191</t>
        </is>
      </c>
      <c r="E249" t="inlineStr"/>
      <c r="F249" s="11" t="n">
        <v>227.09</v>
      </c>
      <c r="G249" t="inlineStr"/>
      <c r="I249" t="inlineStr">
        <is>
          <t>TN</t>
        </is>
      </c>
      <c r="J249" t="inlineStr"/>
      <c r="K249" t="inlineStr">
        <is>
          <t>20250301</t>
        </is>
      </c>
      <c r="L249" t="inlineStr">
        <is>
          <t>20260215</t>
        </is>
      </c>
    </row>
    <row r="250">
      <c r="A250" t="inlineStr">
        <is>
          <t>900006554</t>
        </is>
      </c>
      <c r="B250" t="inlineStr">
        <is>
          <t>DW75</t>
        </is>
      </c>
      <c r="C250" t="inlineStr">
        <is>
          <t>D278</t>
        </is>
      </c>
      <c r="D250" t="inlineStr">
        <is>
          <t>10189747</t>
        </is>
      </c>
      <c r="E250" t="inlineStr"/>
      <c r="F250" s="11" t="n">
        <v>247.26</v>
      </c>
      <c r="G250" t="inlineStr"/>
      <c r="I250" t="inlineStr">
        <is>
          <t>TN</t>
        </is>
      </c>
      <c r="J250" t="inlineStr"/>
      <c r="K250" t="inlineStr">
        <is>
          <t>20250301</t>
        </is>
      </c>
      <c r="L250" t="inlineStr">
        <is>
          <t>20260215</t>
        </is>
      </c>
    </row>
    <row r="251">
      <c r="A251" t="inlineStr">
        <is>
          <t>900006554</t>
        </is>
      </c>
      <c r="B251" t="inlineStr">
        <is>
          <t>DW75</t>
        </is>
      </c>
      <c r="C251" t="inlineStr">
        <is>
          <t>D312</t>
        </is>
      </c>
      <c r="D251" t="inlineStr">
        <is>
          <t>10000364</t>
        </is>
      </c>
      <c r="E251" t="inlineStr"/>
      <c r="F251" s="11" t="n">
        <v>146.13</v>
      </c>
      <c r="G251" t="inlineStr"/>
      <c r="I251" t="inlineStr">
        <is>
          <t>TN</t>
        </is>
      </c>
      <c r="J251" t="inlineStr"/>
      <c r="K251" t="inlineStr">
        <is>
          <t>20220516</t>
        </is>
      </c>
      <c r="L251" t="inlineStr">
        <is>
          <t>20241216</t>
        </is>
      </c>
    </row>
    <row r="252">
      <c r="A252" t="inlineStr">
        <is>
          <t>900006554</t>
        </is>
      </c>
      <c r="B252" t="inlineStr">
        <is>
          <t>DW75</t>
        </is>
      </c>
      <c r="C252" t="inlineStr">
        <is>
          <t>D312</t>
        </is>
      </c>
      <c r="D252" t="inlineStr">
        <is>
          <t>10043600</t>
        </is>
      </c>
      <c r="E252" t="inlineStr"/>
      <c r="F252" s="11" t="n">
        <v>218.84</v>
      </c>
      <c r="G252" t="inlineStr"/>
      <c r="I252" t="inlineStr">
        <is>
          <t>TN</t>
        </is>
      </c>
      <c r="J252" t="inlineStr"/>
      <c r="K252" t="inlineStr">
        <is>
          <t>20220516</t>
        </is>
      </c>
      <c r="L252" t="inlineStr">
        <is>
          <t>20241216</t>
        </is>
      </c>
    </row>
    <row r="253">
      <c r="A253" t="inlineStr">
        <is>
          <t>900006554</t>
        </is>
      </c>
      <c r="B253" t="inlineStr">
        <is>
          <t>DW75</t>
        </is>
      </c>
      <c r="C253" t="inlineStr">
        <is>
          <t>D312</t>
        </is>
      </c>
      <c r="D253" t="inlineStr">
        <is>
          <t>10043601</t>
        </is>
      </c>
      <c r="E253" t="inlineStr"/>
      <c r="F253" s="11" t="n">
        <v>219.21</v>
      </c>
      <c r="G253" t="inlineStr"/>
      <c r="I253" t="inlineStr">
        <is>
          <t>TN</t>
        </is>
      </c>
      <c r="J253" t="inlineStr"/>
      <c r="K253" t="inlineStr">
        <is>
          <t>20220516</t>
        </is>
      </c>
      <c r="L253" t="inlineStr">
        <is>
          <t>20241216</t>
        </is>
      </c>
    </row>
    <row r="254">
      <c r="A254" t="inlineStr">
        <is>
          <t>900006554</t>
        </is>
      </c>
      <c r="B254" t="inlineStr">
        <is>
          <t>DW75</t>
        </is>
      </c>
      <c r="C254" t="inlineStr">
        <is>
          <t>D312</t>
        </is>
      </c>
      <c r="D254" t="inlineStr">
        <is>
          <t>10045642</t>
        </is>
      </c>
      <c r="E254" t="inlineStr"/>
      <c r="F254" s="11" t="n">
        <v>190.92</v>
      </c>
      <c r="G254" t="inlineStr"/>
      <c r="I254" t="inlineStr">
        <is>
          <t>TN</t>
        </is>
      </c>
      <c r="J254" t="inlineStr"/>
      <c r="K254" t="inlineStr">
        <is>
          <t>20220516</t>
        </is>
      </c>
      <c r="L254" t="inlineStr">
        <is>
          <t>20241216</t>
        </is>
      </c>
    </row>
    <row r="255">
      <c r="A255" t="inlineStr">
        <is>
          <t>900006554</t>
        </is>
      </c>
      <c r="B255" t="inlineStr">
        <is>
          <t>DW75</t>
        </is>
      </c>
      <c r="C255" t="inlineStr">
        <is>
          <t>D312</t>
        </is>
      </c>
      <c r="D255" t="inlineStr">
        <is>
          <t>10147933</t>
        </is>
      </c>
      <c r="E255" t="inlineStr"/>
      <c r="F255" s="11" t="n">
        <v>204.1</v>
      </c>
      <c r="G255" t="inlineStr"/>
      <c r="I255" t="inlineStr">
        <is>
          <t>TN</t>
        </is>
      </c>
      <c r="J255" t="inlineStr"/>
      <c r="K255" t="inlineStr">
        <is>
          <t>20220516</t>
        </is>
      </c>
      <c r="L255" t="inlineStr">
        <is>
          <t>20241216</t>
        </is>
      </c>
    </row>
    <row r="256">
      <c r="A256" t="inlineStr">
        <is>
          <t>900006554</t>
        </is>
      </c>
      <c r="B256" t="inlineStr">
        <is>
          <t>DW75</t>
        </is>
      </c>
      <c r="C256" t="inlineStr">
        <is>
          <t>D312</t>
        </is>
      </c>
      <c r="D256" t="inlineStr">
        <is>
          <t>10151191</t>
        </is>
      </c>
      <c r="E256" t="inlineStr"/>
      <c r="F256" s="11" t="n">
        <v>200.13</v>
      </c>
      <c r="G256" t="inlineStr"/>
      <c r="I256" t="inlineStr">
        <is>
          <t>TN</t>
        </is>
      </c>
      <c r="J256" t="inlineStr"/>
      <c r="K256" t="inlineStr">
        <is>
          <t>20220516</t>
        </is>
      </c>
      <c r="L256" t="inlineStr">
        <is>
          <t>20241216</t>
        </is>
      </c>
    </row>
    <row r="257">
      <c r="A257" t="inlineStr">
        <is>
          <t>900006554</t>
        </is>
      </c>
      <c r="B257" t="inlineStr">
        <is>
          <t>DW75</t>
        </is>
      </c>
      <c r="C257" t="inlineStr">
        <is>
          <t>D312</t>
        </is>
      </c>
      <c r="D257" t="inlineStr">
        <is>
          <t>10189747</t>
        </is>
      </c>
      <c r="E257" t="inlineStr"/>
      <c r="F257" s="11" t="n">
        <v>217.91</v>
      </c>
      <c r="G257" t="inlineStr"/>
      <c r="I257" t="inlineStr">
        <is>
          <t>TN</t>
        </is>
      </c>
      <c r="J257" t="inlineStr"/>
      <c r="K257" t="inlineStr">
        <is>
          <t>20220516</t>
        </is>
      </c>
      <c r="L257" t="inlineStr">
        <is>
          <t>20241216</t>
        </is>
      </c>
    </row>
    <row r="258">
      <c r="A258" t="inlineStr">
        <is>
          <t>900006554</t>
        </is>
      </c>
      <c r="B258" t="inlineStr">
        <is>
          <t>DW75</t>
        </is>
      </c>
      <c r="C258" t="inlineStr">
        <is>
          <t>D315</t>
        </is>
      </c>
      <c r="D258" t="inlineStr">
        <is>
          <t>10043600</t>
        </is>
      </c>
      <c r="E258" t="inlineStr"/>
      <c r="F258" s="11" t="n">
        <v>192.47</v>
      </c>
      <c r="G258" t="inlineStr"/>
      <c r="I258" t="inlineStr">
        <is>
          <t>TN</t>
        </is>
      </c>
      <c r="J258" t="inlineStr"/>
      <c r="K258" t="inlineStr">
        <is>
          <t>20220516</t>
        </is>
      </c>
      <c r="L258" t="inlineStr">
        <is>
          <t>20241216</t>
        </is>
      </c>
    </row>
    <row r="259">
      <c r="A259" t="inlineStr">
        <is>
          <t>900006554</t>
        </is>
      </c>
      <c r="B259" t="inlineStr">
        <is>
          <t>DW75</t>
        </is>
      </c>
      <c r="C259" t="inlineStr">
        <is>
          <t>D315</t>
        </is>
      </c>
      <c r="D259" t="inlineStr">
        <is>
          <t>10043601</t>
        </is>
      </c>
      <c r="E259" t="inlineStr"/>
      <c r="F259" s="11" t="n">
        <v>192.8</v>
      </c>
      <c r="G259" t="inlineStr"/>
      <c r="I259" t="inlineStr">
        <is>
          <t>TN</t>
        </is>
      </c>
      <c r="J259" t="inlineStr"/>
      <c r="K259" t="inlineStr">
        <is>
          <t>20220516</t>
        </is>
      </c>
      <c r="L259" t="inlineStr">
        <is>
          <t>20241216</t>
        </is>
      </c>
    </row>
    <row r="260">
      <c r="A260" t="inlineStr">
        <is>
          <t>900006554</t>
        </is>
      </c>
      <c r="B260" t="inlineStr">
        <is>
          <t>DW75</t>
        </is>
      </c>
      <c r="C260" t="inlineStr">
        <is>
          <t>D315</t>
        </is>
      </c>
      <c r="D260" t="inlineStr">
        <is>
          <t>10045642</t>
        </is>
      </c>
      <c r="E260" t="inlineStr"/>
      <c r="F260" s="11" t="n">
        <v>167.91</v>
      </c>
      <c r="G260" t="inlineStr"/>
      <c r="I260" t="inlineStr">
        <is>
          <t>TN</t>
        </is>
      </c>
      <c r="J260" t="inlineStr"/>
      <c r="K260" t="inlineStr">
        <is>
          <t>20220516</t>
        </is>
      </c>
      <c r="L260" t="inlineStr">
        <is>
          <t>20241216</t>
        </is>
      </c>
    </row>
    <row r="261">
      <c r="A261" t="inlineStr">
        <is>
          <t>900006554</t>
        </is>
      </c>
      <c r="B261" t="inlineStr">
        <is>
          <t>DW75</t>
        </is>
      </c>
      <c r="C261" t="inlineStr">
        <is>
          <t>D315</t>
        </is>
      </c>
      <c r="D261" t="inlineStr">
        <is>
          <t>10147933</t>
        </is>
      </c>
      <c r="E261" t="inlineStr"/>
      <c r="F261" s="11" t="n">
        <v>179.51</v>
      </c>
      <c r="G261" t="inlineStr"/>
      <c r="I261" t="inlineStr">
        <is>
          <t>TN</t>
        </is>
      </c>
      <c r="J261" t="inlineStr"/>
      <c r="K261" t="inlineStr">
        <is>
          <t>20220516</t>
        </is>
      </c>
      <c r="L261" t="inlineStr">
        <is>
          <t>20241216</t>
        </is>
      </c>
    </row>
    <row r="262">
      <c r="A262" t="inlineStr">
        <is>
          <t>900006554</t>
        </is>
      </c>
      <c r="B262" t="inlineStr">
        <is>
          <t>DW75</t>
        </is>
      </c>
      <c r="C262" t="inlineStr">
        <is>
          <t>D315</t>
        </is>
      </c>
      <c r="D262" t="inlineStr">
        <is>
          <t>10151191</t>
        </is>
      </c>
      <c r="E262" t="inlineStr"/>
      <c r="F262" s="11" t="n">
        <v>176.02</v>
      </c>
      <c r="G262" t="inlineStr"/>
      <c r="I262" t="inlineStr">
        <is>
          <t>TN</t>
        </is>
      </c>
      <c r="J262" t="inlineStr"/>
      <c r="K262" t="inlineStr">
        <is>
          <t>20220516</t>
        </is>
      </c>
      <c r="L262" t="inlineStr">
        <is>
          <t>20241216</t>
        </is>
      </c>
    </row>
    <row r="263">
      <c r="A263" t="inlineStr">
        <is>
          <t>900006554</t>
        </is>
      </c>
      <c r="B263" t="inlineStr">
        <is>
          <t>DW75</t>
        </is>
      </c>
      <c r="C263" t="inlineStr">
        <is>
          <t>D315</t>
        </is>
      </c>
      <c r="D263" t="inlineStr">
        <is>
          <t>10189747</t>
        </is>
      </c>
      <c r="E263" t="inlineStr"/>
      <c r="F263" s="11" t="n">
        <v>191.66</v>
      </c>
      <c r="G263" t="inlineStr"/>
      <c r="I263" t="inlineStr">
        <is>
          <t>TN</t>
        </is>
      </c>
      <c r="J263" t="inlineStr"/>
      <c r="K263" t="inlineStr">
        <is>
          <t>20220516</t>
        </is>
      </c>
      <c r="L263" t="inlineStr">
        <is>
          <t>20241216</t>
        </is>
      </c>
    </row>
    <row r="264">
      <c r="A264" t="inlineStr">
        <is>
          <t>900006554</t>
        </is>
      </c>
      <c r="B264" t="inlineStr">
        <is>
          <t>DW75</t>
        </is>
      </c>
      <c r="C264" t="inlineStr">
        <is>
          <t>D327</t>
        </is>
      </c>
      <c r="D264" t="inlineStr">
        <is>
          <t>10000364</t>
        </is>
      </c>
      <c r="E264" t="inlineStr"/>
      <c r="F264" s="11" t="n">
        <v>146.13</v>
      </c>
      <c r="G264" t="inlineStr"/>
      <c r="I264" t="inlineStr">
        <is>
          <t>TN</t>
        </is>
      </c>
      <c r="J264" t="inlineStr"/>
      <c r="K264" t="inlineStr">
        <is>
          <t>20220516</t>
        </is>
      </c>
      <c r="L264" t="inlineStr">
        <is>
          <t>20241216</t>
        </is>
      </c>
    </row>
    <row r="265">
      <c r="A265" t="inlineStr">
        <is>
          <t>900006554</t>
        </is>
      </c>
      <c r="B265" t="inlineStr">
        <is>
          <t>DW75</t>
        </is>
      </c>
      <c r="C265" t="inlineStr">
        <is>
          <t>D327</t>
        </is>
      </c>
      <c r="D265" t="inlineStr">
        <is>
          <t>10043600</t>
        </is>
      </c>
      <c r="E265" t="inlineStr"/>
      <c r="F265" s="11" t="n">
        <v>218.84</v>
      </c>
      <c r="G265" t="inlineStr"/>
      <c r="I265" t="inlineStr">
        <is>
          <t>TN</t>
        </is>
      </c>
      <c r="J265" t="inlineStr"/>
      <c r="K265" t="inlineStr">
        <is>
          <t>20220516</t>
        </is>
      </c>
      <c r="L265" t="inlineStr">
        <is>
          <t>20241216</t>
        </is>
      </c>
    </row>
    <row r="266">
      <c r="A266" t="inlineStr">
        <is>
          <t>900006554</t>
        </is>
      </c>
      <c r="B266" t="inlineStr">
        <is>
          <t>DW75</t>
        </is>
      </c>
      <c r="C266" t="inlineStr">
        <is>
          <t>D327</t>
        </is>
      </c>
      <c r="D266" t="inlineStr">
        <is>
          <t>10043601</t>
        </is>
      </c>
      <c r="E266" t="inlineStr"/>
      <c r="F266" s="11" t="n">
        <v>219.21</v>
      </c>
      <c r="G266" t="inlineStr"/>
      <c r="I266" t="inlineStr">
        <is>
          <t>TN</t>
        </is>
      </c>
      <c r="J266" t="inlineStr"/>
      <c r="K266" t="inlineStr">
        <is>
          <t>20220516</t>
        </is>
      </c>
      <c r="L266" t="inlineStr">
        <is>
          <t>20241216</t>
        </is>
      </c>
    </row>
    <row r="267">
      <c r="A267" t="inlineStr">
        <is>
          <t>900006554</t>
        </is>
      </c>
      <c r="B267" t="inlineStr">
        <is>
          <t>DW75</t>
        </is>
      </c>
      <c r="C267" t="inlineStr">
        <is>
          <t>D327</t>
        </is>
      </c>
      <c r="D267" t="inlineStr">
        <is>
          <t>10045642</t>
        </is>
      </c>
      <c r="E267" t="inlineStr"/>
      <c r="F267" s="11" t="n">
        <v>190.92</v>
      </c>
      <c r="G267" t="inlineStr"/>
      <c r="I267" t="inlineStr">
        <is>
          <t>TN</t>
        </is>
      </c>
      <c r="J267" t="inlineStr"/>
      <c r="K267" t="inlineStr">
        <is>
          <t>20220516</t>
        </is>
      </c>
      <c r="L267" t="inlineStr">
        <is>
          <t>20241216</t>
        </is>
      </c>
    </row>
    <row r="268">
      <c r="A268" t="inlineStr">
        <is>
          <t>900006554</t>
        </is>
      </c>
      <c r="B268" t="inlineStr">
        <is>
          <t>DW75</t>
        </is>
      </c>
      <c r="C268" t="inlineStr">
        <is>
          <t>D327</t>
        </is>
      </c>
      <c r="D268" t="inlineStr">
        <is>
          <t>10147933</t>
        </is>
      </c>
      <c r="E268" t="inlineStr"/>
      <c r="F268" s="11" t="n">
        <v>204.1</v>
      </c>
      <c r="G268" t="inlineStr"/>
      <c r="I268" t="inlineStr">
        <is>
          <t>TN</t>
        </is>
      </c>
      <c r="J268" t="inlineStr"/>
      <c r="K268" t="inlineStr">
        <is>
          <t>20220516</t>
        </is>
      </c>
      <c r="L268" t="inlineStr">
        <is>
          <t>20241216</t>
        </is>
      </c>
    </row>
    <row r="269">
      <c r="A269" t="inlineStr">
        <is>
          <t>900006554</t>
        </is>
      </c>
      <c r="B269" t="inlineStr">
        <is>
          <t>DW75</t>
        </is>
      </c>
      <c r="C269" t="inlineStr">
        <is>
          <t>D327</t>
        </is>
      </c>
      <c r="D269" t="inlineStr">
        <is>
          <t>10151191</t>
        </is>
      </c>
      <c r="E269" t="inlineStr"/>
      <c r="F269" s="11" t="n">
        <v>200.13</v>
      </c>
      <c r="G269" t="inlineStr"/>
      <c r="I269" t="inlineStr">
        <is>
          <t>TN</t>
        </is>
      </c>
      <c r="J269" t="inlineStr"/>
      <c r="K269" t="inlineStr">
        <is>
          <t>20220516</t>
        </is>
      </c>
      <c r="L269" t="inlineStr">
        <is>
          <t>20241216</t>
        </is>
      </c>
    </row>
    <row r="270">
      <c r="A270" t="inlineStr">
        <is>
          <t>900006554</t>
        </is>
      </c>
      <c r="B270" t="inlineStr">
        <is>
          <t>DW75</t>
        </is>
      </c>
      <c r="C270" t="inlineStr">
        <is>
          <t>D327</t>
        </is>
      </c>
      <c r="D270" t="inlineStr">
        <is>
          <t>10189747</t>
        </is>
      </c>
      <c r="E270" t="inlineStr"/>
      <c r="F270" s="11" t="n">
        <v>217.91</v>
      </c>
      <c r="G270" t="inlineStr"/>
      <c r="I270" t="inlineStr">
        <is>
          <t>TN</t>
        </is>
      </c>
      <c r="J270" t="inlineStr"/>
      <c r="K270" t="inlineStr">
        <is>
          <t>20220516</t>
        </is>
      </c>
      <c r="L270" t="inlineStr">
        <is>
          <t>20241216</t>
        </is>
      </c>
    </row>
    <row r="271">
      <c r="A271" t="inlineStr">
        <is>
          <t>900006554</t>
        </is>
      </c>
      <c r="B271" t="inlineStr">
        <is>
          <t>DW75</t>
        </is>
      </c>
      <c r="C271" t="inlineStr">
        <is>
          <t>D331</t>
        </is>
      </c>
      <c r="D271" t="inlineStr">
        <is>
          <t>10043600</t>
        </is>
      </c>
      <c r="E271" t="inlineStr"/>
      <c r="F271" s="11" t="n">
        <v>157.24</v>
      </c>
      <c r="G271" t="inlineStr"/>
      <c r="I271" t="inlineStr">
        <is>
          <t>TN</t>
        </is>
      </c>
      <c r="J271" t="inlineStr"/>
      <c r="K271" t="inlineStr">
        <is>
          <t>20220516</t>
        </is>
      </c>
      <c r="L271" t="inlineStr">
        <is>
          <t>20241216</t>
        </is>
      </c>
    </row>
    <row r="272">
      <c r="A272" t="inlineStr">
        <is>
          <t>900006554</t>
        </is>
      </c>
      <c r="B272" t="inlineStr">
        <is>
          <t>DW75</t>
        </is>
      </c>
      <c r="C272" t="inlineStr">
        <is>
          <t>D331</t>
        </is>
      </c>
      <c r="D272" t="inlineStr">
        <is>
          <t>10043601</t>
        </is>
      </c>
      <c r="E272" t="inlineStr"/>
      <c r="F272" s="11" t="n">
        <v>157.51</v>
      </c>
      <c r="G272" t="inlineStr"/>
      <c r="I272" t="inlineStr">
        <is>
          <t>TN</t>
        </is>
      </c>
      <c r="J272" t="inlineStr"/>
      <c r="K272" t="inlineStr">
        <is>
          <t>20220516</t>
        </is>
      </c>
      <c r="L272" t="inlineStr">
        <is>
          <t>20241216</t>
        </is>
      </c>
    </row>
    <row r="273">
      <c r="A273" t="inlineStr">
        <is>
          <t>900006554</t>
        </is>
      </c>
      <c r="B273" t="inlineStr">
        <is>
          <t>DW75</t>
        </is>
      </c>
      <c r="C273" t="inlineStr">
        <is>
          <t>D331</t>
        </is>
      </c>
      <c r="D273" t="inlineStr">
        <is>
          <t>10045642</t>
        </is>
      </c>
      <c r="E273" t="inlineStr"/>
      <c r="F273" s="11" t="n">
        <v>137.18</v>
      </c>
      <c r="G273" t="inlineStr"/>
      <c r="I273" t="inlineStr">
        <is>
          <t>TN</t>
        </is>
      </c>
      <c r="J273" t="inlineStr"/>
      <c r="K273" t="inlineStr">
        <is>
          <t>20220516</t>
        </is>
      </c>
      <c r="L273" t="inlineStr">
        <is>
          <t>20241216</t>
        </is>
      </c>
    </row>
    <row r="274">
      <c r="A274" t="inlineStr">
        <is>
          <t>900006554</t>
        </is>
      </c>
      <c r="B274" t="inlineStr">
        <is>
          <t>DW75</t>
        </is>
      </c>
      <c r="C274" t="inlineStr">
        <is>
          <t>D331</t>
        </is>
      </c>
      <c r="D274" t="inlineStr">
        <is>
          <t>10147933</t>
        </is>
      </c>
      <c r="E274" t="inlineStr"/>
      <c r="F274" s="11" t="n">
        <v>146.65</v>
      </c>
      <c r="G274" t="inlineStr"/>
      <c r="I274" t="inlineStr">
        <is>
          <t>TN</t>
        </is>
      </c>
      <c r="J274" t="inlineStr"/>
      <c r="K274" t="inlineStr">
        <is>
          <t>20220516</t>
        </is>
      </c>
      <c r="L274" t="inlineStr">
        <is>
          <t>20241216</t>
        </is>
      </c>
    </row>
    <row r="275">
      <c r="A275" t="inlineStr">
        <is>
          <t>900006554</t>
        </is>
      </c>
      <c r="B275" t="inlineStr">
        <is>
          <t>DW75</t>
        </is>
      </c>
      <c r="C275" t="inlineStr">
        <is>
          <t>D343</t>
        </is>
      </c>
      <c r="D275" t="inlineStr">
        <is>
          <t>10000364</t>
        </is>
      </c>
      <c r="E275" t="inlineStr"/>
      <c r="F275" s="11" t="n">
        <v>146.13</v>
      </c>
      <c r="G275" t="inlineStr"/>
      <c r="I275" t="inlineStr">
        <is>
          <t>TN</t>
        </is>
      </c>
      <c r="J275" t="inlineStr"/>
      <c r="K275" t="inlineStr">
        <is>
          <t>20220516</t>
        </is>
      </c>
      <c r="L275" t="inlineStr">
        <is>
          <t>20241216</t>
        </is>
      </c>
    </row>
    <row r="276">
      <c r="A276" t="inlineStr">
        <is>
          <t>900006554</t>
        </is>
      </c>
      <c r="B276" t="inlineStr">
        <is>
          <t>DW75</t>
        </is>
      </c>
      <c r="C276" t="inlineStr">
        <is>
          <t>D343</t>
        </is>
      </c>
      <c r="D276" t="inlineStr">
        <is>
          <t>10043600</t>
        </is>
      </c>
      <c r="E276" t="inlineStr"/>
      <c r="F276" s="11" t="n">
        <v>248.31</v>
      </c>
      <c r="G276" t="inlineStr"/>
      <c r="I276" t="inlineStr">
        <is>
          <t>TN</t>
        </is>
      </c>
      <c r="J276" t="inlineStr"/>
      <c r="K276" t="inlineStr">
        <is>
          <t>20250301</t>
        </is>
      </c>
      <c r="L276" t="inlineStr">
        <is>
          <t>99991231</t>
        </is>
      </c>
    </row>
    <row r="277">
      <c r="A277" t="inlineStr">
        <is>
          <t>900006554</t>
        </is>
      </c>
      <c r="B277" t="inlineStr">
        <is>
          <t>DW75</t>
        </is>
      </c>
      <c r="C277" t="inlineStr">
        <is>
          <t>D343</t>
        </is>
      </c>
      <c r="D277" t="inlineStr">
        <is>
          <t>10043601</t>
        </is>
      </c>
      <c r="E277" t="inlineStr"/>
      <c r="F277" s="11" t="n">
        <v>248.73</v>
      </c>
      <c r="G277" t="inlineStr"/>
      <c r="I277" t="inlineStr">
        <is>
          <t>TN</t>
        </is>
      </c>
      <c r="J277" t="inlineStr"/>
      <c r="K277" t="inlineStr">
        <is>
          <t>20250301</t>
        </is>
      </c>
      <c r="L277" t="inlineStr">
        <is>
          <t>99991231</t>
        </is>
      </c>
    </row>
    <row r="278">
      <c r="A278" t="inlineStr">
        <is>
          <t>900006554</t>
        </is>
      </c>
      <c r="B278" t="inlineStr">
        <is>
          <t>DW75</t>
        </is>
      </c>
      <c r="C278" t="inlineStr">
        <is>
          <t>D343</t>
        </is>
      </c>
      <c r="D278" t="inlineStr">
        <is>
          <t>10045642</t>
        </is>
      </c>
      <c r="E278" t="inlineStr"/>
      <c r="F278" s="11" t="n">
        <v>237.12</v>
      </c>
      <c r="G278" t="inlineStr"/>
      <c r="I278" t="inlineStr">
        <is>
          <t>TN</t>
        </is>
      </c>
      <c r="J278" t="inlineStr"/>
      <c r="K278" t="inlineStr">
        <is>
          <t>20250301</t>
        </is>
      </c>
      <c r="L278" t="inlineStr">
        <is>
          <t>20260215</t>
        </is>
      </c>
    </row>
    <row r="279">
      <c r="A279" t="inlineStr">
        <is>
          <t>900006554</t>
        </is>
      </c>
      <c r="B279" t="inlineStr">
        <is>
          <t>DW75</t>
        </is>
      </c>
      <c r="C279" t="inlineStr">
        <is>
          <t>D343</t>
        </is>
      </c>
      <c r="D279" t="inlineStr">
        <is>
          <t>10147933</t>
        </is>
      </c>
      <c r="E279" t="inlineStr"/>
      <c r="F279" s="11" t="n">
        <v>253.49</v>
      </c>
      <c r="G279" t="inlineStr"/>
      <c r="I279" t="inlineStr">
        <is>
          <t>TN</t>
        </is>
      </c>
      <c r="J279" t="inlineStr"/>
      <c r="K279" t="inlineStr">
        <is>
          <t>20250301</t>
        </is>
      </c>
      <c r="L279" t="inlineStr">
        <is>
          <t>20260215</t>
        </is>
      </c>
    </row>
    <row r="280">
      <c r="A280" t="inlineStr">
        <is>
          <t>900006554</t>
        </is>
      </c>
      <c r="B280" t="inlineStr">
        <is>
          <t>DW75</t>
        </is>
      </c>
      <c r="C280" t="inlineStr">
        <is>
          <t>D343</t>
        </is>
      </c>
      <c r="D280" t="inlineStr">
        <is>
          <t>10151191</t>
        </is>
      </c>
      <c r="E280" t="inlineStr"/>
      <c r="F280" s="11" t="n">
        <v>227.09</v>
      </c>
      <c r="G280" t="inlineStr"/>
      <c r="I280" t="inlineStr">
        <is>
          <t>TN</t>
        </is>
      </c>
      <c r="J280" t="inlineStr"/>
      <c r="K280" t="inlineStr">
        <is>
          <t>20250301</t>
        </is>
      </c>
      <c r="L280" t="inlineStr">
        <is>
          <t>99991231</t>
        </is>
      </c>
    </row>
    <row r="281">
      <c r="A281" t="inlineStr">
        <is>
          <t>900006554</t>
        </is>
      </c>
      <c r="B281" t="inlineStr">
        <is>
          <t>DW75</t>
        </is>
      </c>
      <c r="C281" t="inlineStr">
        <is>
          <t>D343</t>
        </is>
      </c>
      <c r="D281" t="inlineStr">
        <is>
          <t>10189747</t>
        </is>
      </c>
      <c r="E281" t="inlineStr"/>
      <c r="F281" s="11" t="n">
        <v>247.26</v>
      </c>
      <c r="G281" t="inlineStr"/>
      <c r="I281" t="inlineStr">
        <is>
          <t>TN</t>
        </is>
      </c>
      <c r="J281" t="inlineStr"/>
      <c r="K281" t="inlineStr">
        <is>
          <t>20250301</t>
        </is>
      </c>
      <c r="L281" t="inlineStr">
        <is>
          <t>20260215</t>
        </is>
      </c>
    </row>
    <row r="282">
      <c r="A282" t="inlineStr">
        <is>
          <t>900006554</t>
        </is>
      </c>
      <c r="B282" t="inlineStr">
        <is>
          <t>DW75</t>
        </is>
      </c>
      <c r="C282" t="inlineStr">
        <is>
          <t>D349</t>
        </is>
      </c>
      <c r="D282" t="inlineStr">
        <is>
          <t>10000364</t>
        </is>
      </c>
      <c r="E282" t="inlineStr"/>
      <c r="F282" s="11" t="n">
        <v>146.13</v>
      </c>
      <c r="G282" t="inlineStr"/>
      <c r="I282" t="inlineStr">
        <is>
          <t>TN</t>
        </is>
      </c>
      <c r="J282" t="inlineStr"/>
      <c r="K282" t="inlineStr">
        <is>
          <t>20220516</t>
        </is>
      </c>
      <c r="L282" t="inlineStr">
        <is>
          <t>20241216</t>
        </is>
      </c>
    </row>
    <row r="283">
      <c r="A283" t="inlineStr">
        <is>
          <t>900006554</t>
        </is>
      </c>
      <c r="B283" t="inlineStr">
        <is>
          <t>DW75</t>
        </is>
      </c>
      <c r="C283" t="inlineStr">
        <is>
          <t>D349</t>
        </is>
      </c>
      <c r="D283" t="inlineStr">
        <is>
          <t>10043600</t>
        </is>
      </c>
      <c r="E283" t="inlineStr"/>
      <c r="F283" s="11" t="n">
        <v>248.31</v>
      </c>
      <c r="G283" t="inlineStr"/>
      <c r="I283" t="inlineStr">
        <is>
          <t>TN</t>
        </is>
      </c>
      <c r="J283" t="inlineStr"/>
      <c r="K283" t="inlineStr">
        <is>
          <t>20250301</t>
        </is>
      </c>
      <c r="L283" t="inlineStr">
        <is>
          <t>99991231</t>
        </is>
      </c>
    </row>
    <row r="284">
      <c r="A284" t="inlineStr">
        <is>
          <t>900006554</t>
        </is>
      </c>
      <c r="B284" t="inlineStr">
        <is>
          <t>DW75</t>
        </is>
      </c>
      <c r="C284" t="inlineStr">
        <is>
          <t>D349</t>
        </is>
      </c>
      <c r="D284" t="inlineStr">
        <is>
          <t>10043601</t>
        </is>
      </c>
      <c r="E284" t="inlineStr"/>
      <c r="F284" s="11" t="n">
        <v>248.73</v>
      </c>
      <c r="G284" t="inlineStr"/>
      <c r="I284" t="inlineStr">
        <is>
          <t>TN</t>
        </is>
      </c>
      <c r="J284" t="inlineStr"/>
      <c r="K284" t="inlineStr">
        <is>
          <t>20250301</t>
        </is>
      </c>
      <c r="L284" t="inlineStr">
        <is>
          <t>20260215</t>
        </is>
      </c>
    </row>
    <row r="285">
      <c r="A285" t="inlineStr">
        <is>
          <t>900006554</t>
        </is>
      </c>
      <c r="B285" t="inlineStr">
        <is>
          <t>DW75</t>
        </is>
      </c>
      <c r="C285" t="inlineStr">
        <is>
          <t>D349</t>
        </is>
      </c>
      <c r="D285" t="inlineStr">
        <is>
          <t>10045642</t>
        </is>
      </c>
      <c r="E285" t="inlineStr"/>
      <c r="F285" s="11" t="n">
        <v>237.12</v>
      </c>
      <c r="G285" t="inlineStr"/>
      <c r="I285" t="inlineStr">
        <is>
          <t>TN</t>
        </is>
      </c>
      <c r="J285" t="inlineStr"/>
      <c r="K285" t="inlineStr">
        <is>
          <t>20250301</t>
        </is>
      </c>
      <c r="L285" t="inlineStr">
        <is>
          <t>20260215</t>
        </is>
      </c>
    </row>
    <row r="286">
      <c r="A286" t="inlineStr">
        <is>
          <t>900006554</t>
        </is>
      </c>
      <c r="B286" t="inlineStr">
        <is>
          <t>DW75</t>
        </is>
      </c>
      <c r="C286" t="inlineStr">
        <is>
          <t>D349</t>
        </is>
      </c>
      <c r="D286" t="inlineStr">
        <is>
          <t>10147933</t>
        </is>
      </c>
      <c r="E286" t="inlineStr"/>
      <c r="F286" s="11" t="n">
        <v>253.49</v>
      </c>
      <c r="G286" t="inlineStr"/>
      <c r="I286" t="inlineStr">
        <is>
          <t>TN</t>
        </is>
      </c>
      <c r="J286" t="inlineStr"/>
      <c r="K286" t="inlineStr">
        <is>
          <t>20250301</t>
        </is>
      </c>
      <c r="L286" t="inlineStr">
        <is>
          <t>20260215</t>
        </is>
      </c>
    </row>
    <row r="287">
      <c r="A287" t="inlineStr">
        <is>
          <t>900006554</t>
        </is>
      </c>
      <c r="B287" t="inlineStr">
        <is>
          <t>DW75</t>
        </is>
      </c>
      <c r="C287" t="inlineStr">
        <is>
          <t>D349</t>
        </is>
      </c>
      <c r="D287" t="inlineStr">
        <is>
          <t>10151191</t>
        </is>
      </c>
      <c r="E287" t="inlineStr"/>
      <c r="F287" s="11" t="n">
        <v>227.09</v>
      </c>
      <c r="G287" t="inlineStr"/>
      <c r="I287" t="inlineStr">
        <is>
          <t>TN</t>
        </is>
      </c>
      <c r="J287" t="inlineStr"/>
      <c r="K287" t="inlineStr">
        <is>
          <t>20250301</t>
        </is>
      </c>
      <c r="L287" t="inlineStr">
        <is>
          <t>20260215</t>
        </is>
      </c>
    </row>
    <row r="288">
      <c r="A288" t="inlineStr">
        <is>
          <t>900006554</t>
        </is>
      </c>
      <c r="B288" t="inlineStr">
        <is>
          <t>DW75</t>
        </is>
      </c>
      <c r="C288" t="inlineStr">
        <is>
          <t>D349</t>
        </is>
      </c>
      <c r="D288" t="inlineStr">
        <is>
          <t>10189747</t>
        </is>
      </c>
      <c r="E288" t="inlineStr"/>
      <c r="F288" s="11" t="n">
        <v>247.26</v>
      </c>
      <c r="G288" t="inlineStr"/>
      <c r="I288" t="inlineStr">
        <is>
          <t>TN</t>
        </is>
      </c>
      <c r="J288" t="inlineStr"/>
      <c r="K288" t="inlineStr">
        <is>
          <t>20250301</t>
        </is>
      </c>
      <c r="L288" t="inlineStr">
        <is>
          <t>20260215</t>
        </is>
      </c>
    </row>
    <row r="289">
      <c r="A289" t="inlineStr">
        <is>
          <t>900006554</t>
        </is>
      </c>
      <c r="B289" t="inlineStr">
        <is>
          <t>DW75</t>
        </is>
      </c>
      <c r="C289" t="inlineStr">
        <is>
          <t>D358</t>
        </is>
      </c>
      <c r="D289" t="inlineStr">
        <is>
          <t>10043601</t>
        </is>
      </c>
      <c r="E289" t="inlineStr"/>
      <c r="F289" s="11" t="n">
        <v>242.74</v>
      </c>
      <c r="G289" t="inlineStr"/>
      <c r="I289" t="inlineStr">
        <is>
          <t>TN</t>
        </is>
      </c>
      <c r="J289" t="inlineStr"/>
      <c r="K289" t="inlineStr">
        <is>
          <t>20250807</t>
        </is>
      </c>
      <c r="L289" t="inlineStr">
        <is>
          <t>99991231</t>
        </is>
      </c>
    </row>
    <row r="290">
      <c r="A290" t="inlineStr">
        <is>
          <t>900006554</t>
        </is>
      </c>
      <c r="B290" t="inlineStr">
        <is>
          <t>DW75</t>
        </is>
      </c>
      <c r="C290" t="inlineStr">
        <is>
          <t>D358</t>
        </is>
      </c>
      <c r="D290" t="inlineStr">
        <is>
          <t>10151191</t>
        </is>
      </c>
      <c r="E290" t="inlineStr"/>
      <c r="F290" s="11" t="n">
        <v>227.09</v>
      </c>
      <c r="G290" t="inlineStr"/>
      <c r="I290" t="inlineStr">
        <is>
          <t>TN</t>
        </is>
      </c>
      <c r="J290" t="inlineStr"/>
      <c r="K290" t="inlineStr">
        <is>
          <t>20260603</t>
        </is>
      </c>
      <c r="L290" t="inlineStr">
        <is>
          <t>99991231</t>
        </is>
      </c>
    </row>
    <row r="291">
      <c r="A291" t="inlineStr">
        <is>
          <t>900007058</t>
        </is>
      </c>
      <c r="B291" t="inlineStr">
        <is>
          <t>DW75</t>
        </is>
      </c>
      <c r="C291" t="inlineStr">
        <is>
          <t>D063</t>
        </is>
      </c>
      <c r="D291" t="inlineStr">
        <is>
          <t>10232465</t>
        </is>
      </c>
      <c r="E291" t="inlineStr"/>
      <c r="F291" s="11" t="n">
        <v>381.74</v>
      </c>
      <c r="G291" t="inlineStr"/>
      <c r="I291" t="inlineStr">
        <is>
          <t>TN</t>
        </is>
      </c>
      <c r="J291" t="inlineStr"/>
      <c r="K291" t="inlineStr">
        <is>
          <t>20240206</t>
        </is>
      </c>
      <c r="L291" t="inlineStr">
        <is>
          <t>20241105</t>
        </is>
      </c>
    </row>
    <row r="292">
      <c r="A292" t="inlineStr">
        <is>
          <t>900007058</t>
        </is>
      </c>
      <c r="B292" t="inlineStr">
        <is>
          <t>DW75</t>
        </is>
      </c>
      <c r="C292" t="inlineStr">
        <is>
          <t>D278</t>
        </is>
      </c>
      <c r="D292" t="inlineStr">
        <is>
          <t>10000328</t>
        </is>
      </c>
      <c r="E292" t="inlineStr"/>
      <c r="F292" s="11" t="n">
        <v>162.89</v>
      </c>
      <c r="G292" t="inlineStr"/>
      <c r="I292" t="inlineStr">
        <is>
          <t>TN</t>
        </is>
      </c>
      <c r="J292" t="inlineStr"/>
      <c r="K292" t="inlineStr">
        <is>
          <t>20220516</t>
        </is>
      </c>
      <c r="L292" t="inlineStr">
        <is>
          <t>20241216</t>
        </is>
      </c>
    </row>
    <row r="293">
      <c r="A293" t="inlineStr">
        <is>
          <t>900007058</t>
        </is>
      </c>
      <c r="B293" t="inlineStr">
        <is>
          <t>DW75</t>
        </is>
      </c>
      <c r="C293" t="inlineStr">
        <is>
          <t>D278</t>
        </is>
      </c>
      <c r="D293" t="inlineStr">
        <is>
          <t>10000364</t>
        </is>
      </c>
      <c r="E293" t="inlineStr"/>
      <c r="F293" s="11" t="n">
        <v>331.24</v>
      </c>
      <c r="G293" t="inlineStr"/>
      <c r="I293" t="inlineStr">
        <is>
          <t>TN</t>
        </is>
      </c>
      <c r="J293" t="inlineStr"/>
      <c r="K293" t="inlineStr">
        <is>
          <t>20250301</t>
        </is>
      </c>
      <c r="L293" t="inlineStr">
        <is>
          <t>20251031</t>
        </is>
      </c>
    </row>
    <row r="294">
      <c r="A294" t="inlineStr">
        <is>
          <t>900007058</t>
        </is>
      </c>
      <c r="B294" t="inlineStr">
        <is>
          <t>DW75</t>
        </is>
      </c>
      <c r="C294" t="inlineStr">
        <is>
          <t>D278</t>
        </is>
      </c>
      <c r="D294" t="inlineStr">
        <is>
          <t>10000365</t>
        </is>
      </c>
      <c r="E294" t="inlineStr"/>
      <c r="F294" s="11" t="n">
        <v>342.69</v>
      </c>
      <c r="G294" t="inlineStr"/>
      <c r="I294" t="inlineStr">
        <is>
          <t>TN</t>
        </is>
      </c>
      <c r="J294" t="inlineStr"/>
      <c r="K294" t="inlineStr">
        <is>
          <t>20250301</t>
        </is>
      </c>
      <c r="L294" t="inlineStr">
        <is>
          <t>20251031</t>
        </is>
      </c>
    </row>
    <row r="295">
      <c r="A295" t="inlineStr">
        <is>
          <t>900007058</t>
        </is>
      </c>
      <c r="B295" t="inlineStr">
        <is>
          <t>DW75</t>
        </is>
      </c>
      <c r="C295" t="inlineStr">
        <is>
          <t>D278</t>
        </is>
      </c>
      <c r="D295" t="inlineStr">
        <is>
          <t>10232465</t>
        </is>
      </c>
      <c r="E295" t="inlineStr"/>
      <c r="F295" s="11" t="n">
        <v>381.74</v>
      </c>
      <c r="G295" t="inlineStr"/>
      <c r="I295" t="inlineStr">
        <is>
          <t>TN</t>
        </is>
      </c>
      <c r="J295" t="inlineStr"/>
      <c r="K295" t="inlineStr">
        <is>
          <t>20250301</t>
        </is>
      </c>
      <c r="L295" t="inlineStr">
        <is>
          <t>20251031</t>
        </is>
      </c>
    </row>
    <row r="296">
      <c r="A296" t="inlineStr">
        <is>
          <t>900007058</t>
        </is>
      </c>
      <c r="B296" t="inlineStr">
        <is>
          <t>DW75</t>
        </is>
      </c>
      <c r="C296" t="inlineStr">
        <is>
          <t>D285</t>
        </is>
      </c>
      <c r="D296" t="inlineStr">
        <is>
          <t>10000364</t>
        </is>
      </c>
      <c r="E296" t="inlineStr"/>
      <c r="F296" s="11" t="n">
        <v>408.34</v>
      </c>
      <c r="G296" t="inlineStr"/>
      <c r="I296" t="inlineStr">
        <is>
          <t>TN</t>
        </is>
      </c>
      <c r="J296" t="inlineStr"/>
      <c r="K296" t="inlineStr">
        <is>
          <t>20250301</t>
        </is>
      </c>
      <c r="L296" t="inlineStr">
        <is>
          <t>20251031</t>
        </is>
      </c>
    </row>
    <row r="297">
      <c r="A297" t="inlineStr">
        <is>
          <t>900007058</t>
        </is>
      </c>
      <c r="B297" t="inlineStr">
        <is>
          <t>DW75</t>
        </is>
      </c>
      <c r="C297" t="inlineStr">
        <is>
          <t>D285</t>
        </is>
      </c>
      <c r="D297" t="inlineStr">
        <is>
          <t>10000365</t>
        </is>
      </c>
      <c r="E297" t="inlineStr"/>
      <c r="F297" s="11" t="n">
        <v>434.62</v>
      </c>
      <c r="G297" t="inlineStr"/>
      <c r="I297" t="inlineStr">
        <is>
          <t>TN</t>
        </is>
      </c>
      <c r="J297" t="inlineStr"/>
      <c r="K297" t="inlineStr">
        <is>
          <t>20250301</t>
        </is>
      </c>
      <c r="L297" t="inlineStr">
        <is>
          <t>20251031</t>
        </is>
      </c>
    </row>
    <row r="298">
      <c r="A298" t="inlineStr">
        <is>
          <t>900007058</t>
        </is>
      </c>
      <c r="B298" t="inlineStr">
        <is>
          <t>DW75</t>
        </is>
      </c>
      <c r="C298" t="inlineStr">
        <is>
          <t>D315</t>
        </is>
      </c>
      <c r="D298" t="inlineStr">
        <is>
          <t>10000328</t>
        </is>
      </c>
      <c r="E298" t="inlineStr"/>
      <c r="F298" s="11" t="n">
        <v>162.89</v>
      </c>
      <c r="G298" t="inlineStr"/>
      <c r="I298" t="inlineStr">
        <is>
          <t>TN</t>
        </is>
      </c>
      <c r="J298" t="inlineStr"/>
      <c r="K298" t="inlineStr">
        <is>
          <t>20220516</t>
        </is>
      </c>
      <c r="L298" t="inlineStr">
        <is>
          <t>20241216</t>
        </is>
      </c>
    </row>
    <row r="299">
      <c r="A299" t="inlineStr">
        <is>
          <t>900007058</t>
        </is>
      </c>
      <c r="B299" t="inlineStr">
        <is>
          <t>DW75</t>
        </is>
      </c>
      <c r="C299" t="inlineStr">
        <is>
          <t>D327</t>
        </is>
      </c>
      <c r="D299" t="inlineStr">
        <is>
          <t>10000328</t>
        </is>
      </c>
      <c r="E299" t="inlineStr"/>
      <c r="F299" s="11" t="n">
        <v>162.89</v>
      </c>
      <c r="G299" t="inlineStr"/>
      <c r="I299" t="inlineStr">
        <is>
          <t>TN</t>
        </is>
      </c>
      <c r="J299" t="inlineStr"/>
      <c r="K299" t="inlineStr">
        <is>
          <t>20220516</t>
        </is>
      </c>
      <c r="L299" t="inlineStr">
        <is>
          <t>20241216</t>
        </is>
      </c>
    </row>
    <row r="300">
      <c r="A300" t="inlineStr">
        <is>
          <t>900007058</t>
        </is>
      </c>
      <c r="B300" t="inlineStr">
        <is>
          <t>DW75</t>
        </is>
      </c>
      <c r="C300" t="inlineStr">
        <is>
          <t>D343</t>
        </is>
      </c>
      <c r="D300" t="inlineStr">
        <is>
          <t>10000364</t>
        </is>
      </c>
      <c r="E300" t="inlineStr"/>
      <c r="F300" s="11" t="n">
        <v>331.24</v>
      </c>
      <c r="G300" t="inlineStr"/>
      <c r="I300" t="inlineStr">
        <is>
          <t>TN</t>
        </is>
      </c>
      <c r="J300" t="inlineStr"/>
      <c r="K300" t="inlineStr">
        <is>
          <t>20250301</t>
        </is>
      </c>
      <c r="L300" t="inlineStr">
        <is>
          <t>20251031</t>
        </is>
      </c>
    </row>
    <row r="301">
      <c r="A301" t="inlineStr">
        <is>
          <t>900007058</t>
        </is>
      </c>
      <c r="B301" t="inlineStr">
        <is>
          <t>DW75</t>
        </is>
      </c>
      <c r="C301" t="inlineStr">
        <is>
          <t>D343</t>
        </is>
      </c>
      <c r="D301" t="inlineStr">
        <is>
          <t>10000365</t>
        </is>
      </c>
      <c r="E301" t="inlineStr"/>
      <c r="F301" s="11" t="n">
        <v>342.69</v>
      </c>
      <c r="G301" t="inlineStr"/>
      <c r="I301" t="inlineStr">
        <is>
          <t>TN</t>
        </is>
      </c>
      <c r="J301" t="inlineStr"/>
      <c r="K301" t="inlineStr">
        <is>
          <t>20250301</t>
        </is>
      </c>
      <c r="L301" t="inlineStr">
        <is>
          <t>20251031</t>
        </is>
      </c>
    </row>
    <row r="302">
      <c r="A302" t="inlineStr">
        <is>
          <t>900007058</t>
        </is>
      </c>
      <c r="B302" t="inlineStr">
        <is>
          <t>DW75</t>
        </is>
      </c>
      <c r="C302" t="inlineStr">
        <is>
          <t>D343</t>
        </is>
      </c>
      <c r="D302" t="inlineStr">
        <is>
          <t>10232465</t>
        </is>
      </c>
      <c r="E302" t="inlineStr"/>
      <c r="F302" s="11" t="n">
        <v>381.74</v>
      </c>
      <c r="G302" t="inlineStr"/>
      <c r="I302" t="inlineStr">
        <is>
          <t>TN</t>
        </is>
      </c>
      <c r="J302" t="inlineStr"/>
      <c r="K302" t="inlineStr">
        <is>
          <t>20250301</t>
        </is>
      </c>
      <c r="L302" t="inlineStr">
        <is>
          <t>20251031</t>
        </is>
      </c>
    </row>
    <row r="303">
      <c r="A303" t="inlineStr">
        <is>
          <t>900007058</t>
        </is>
      </c>
      <c r="B303" t="inlineStr">
        <is>
          <t>DW75</t>
        </is>
      </c>
      <c r="C303" t="inlineStr">
        <is>
          <t>D349</t>
        </is>
      </c>
      <c r="D303" t="inlineStr">
        <is>
          <t>10000328</t>
        </is>
      </c>
      <c r="E303" t="inlineStr"/>
      <c r="F303" s="11" t="n">
        <v>162.89</v>
      </c>
      <c r="G303" t="inlineStr"/>
      <c r="I303" t="inlineStr">
        <is>
          <t>TN</t>
        </is>
      </c>
      <c r="J303" t="inlineStr"/>
      <c r="K303" t="inlineStr">
        <is>
          <t>20220516</t>
        </is>
      </c>
      <c r="L303" t="inlineStr">
        <is>
          <t>20241216</t>
        </is>
      </c>
    </row>
    <row r="304">
      <c r="A304" t="inlineStr">
        <is>
          <t>900007058</t>
        </is>
      </c>
      <c r="B304" t="inlineStr">
        <is>
          <t>DW75</t>
        </is>
      </c>
      <c r="C304" t="inlineStr">
        <is>
          <t>D349</t>
        </is>
      </c>
      <c r="D304" t="inlineStr">
        <is>
          <t>10000364</t>
        </is>
      </c>
      <c r="E304" t="inlineStr"/>
      <c r="F304" s="11" t="n">
        <v>331.24</v>
      </c>
      <c r="G304" t="inlineStr"/>
      <c r="I304" t="inlineStr">
        <is>
          <t>TN</t>
        </is>
      </c>
      <c r="J304" t="inlineStr"/>
      <c r="K304" t="inlineStr">
        <is>
          <t>20250301</t>
        </is>
      </c>
      <c r="L304" t="inlineStr">
        <is>
          <t>20251031</t>
        </is>
      </c>
    </row>
    <row r="305">
      <c r="A305" t="inlineStr">
        <is>
          <t>900007058</t>
        </is>
      </c>
      <c r="B305" t="inlineStr">
        <is>
          <t>DW75</t>
        </is>
      </c>
      <c r="C305" t="inlineStr">
        <is>
          <t>D349</t>
        </is>
      </c>
      <c r="D305" t="inlineStr">
        <is>
          <t>10000365</t>
        </is>
      </c>
      <c r="E305" t="inlineStr"/>
      <c r="F305" s="11" t="n">
        <v>342.69</v>
      </c>
      <c r="G305" t="inlineStr"/>
      <c r="I305" t="inlineStr">
        <is>
          <t>TN</t>
        </is>
      </c>
      <c r="J305" t="inlineStr"/>
      <c r="K305" t="inlineStr">
        <is>
          <t>20250301</t>
        </is>
      </c>
      <c r="L305" t="inlineStr">
        <is>
          <t>20251031</t>
        </is>
      </c>
    </row>
    <row r="306">
      <c r="A306" t="inlineStr">
        <is>
          <t>900007058</t>
        </is>
      </c>
      <c r="B306" t="inlineStr">
        <is>
          <t>DW75</t>
        </is>
      </c>
      <c r="C306" t="inlineStr">
        <is>
          <t>D349</t>
        </is>
      </c>
      <c r="D306" t="inlineStr">
        <is>
          <t>10232465</t>
        </is>
      </c>
      <c r="E306" t="inlineStr"/>
      <c r="F306" s="11" t="n">
        <v>381.74</v>
      </c>
      <c r="G306" t="inlineStr"/>
      <c r="I306" t="inlineStr">
        <is>
          <t>TN</t>
        </is>
      </c>
      <c r="J306" t="inlineStr"/>
      <c r="K306" t="inlineStr">
        <is>
          <t>20250301</t>
        </is>
      </c>
      <c r="L306" t="inlineStr">
        <is>
          <t>20251031</t>
        </is>
      </c>
    </row>
    <row r="307">
      <c r="A307" t="inlineStr">
        <is>
          <t>900007058</t>
        </is>
      </c>
      <c r="B307" t="inlineStr">
        <is>
          <t>DW75</t>
        </is>
      </c>
      <c r="C307" t="inlineStr">
        <is>
          <t>E674</t>
        </is>
      </c>
      <c r="D307" t="inlineStr">
        <is>
          <t>10232465</t>
        </is>
      </c>
      <c r="E307" t="inlineStr"/>
      <c r="F307" s="11" t="n">
        <v>381.74</v>
      </c>
      <c r="G307" t="inlineStr"/>
      <c r="I307" t="inlineStr">
        <is>
          <t>TN</t>
        </is>
      </c>
      <c r="J307" t="inlineStr"/>
      <c r="K307" t="inlineStr">
        <is>
          <t>20250301</t>
        </is>
      </c>
      <c r="L307" t="inlineStr">
        <is>
          <t>20251031</t>
        </is>
      </c>
    </row>
    <row r="308">
      <c r="A308" t="inlineStr">
        <is>
          <t>900007101</t>
        </is>
      </c>
      <c r="B308" t="inlineStr">
        <is>
          <t>DW75</t>
        </is>
      </c>
      <c r="C308" t="inlineStr">
        <is>
          <t>D278</t>
        </is>
      </c>
      <c r="D308" t="inlineStr">
        <is>
          <t>10196470</t>
        </is>
      </c>
      <c r="E308" t="inlineStr"/>
      <c r="F308" s="11" t="n">
        <v>182.01</v>
      </c>
      <c r="G308" t="inlineStr"/>
      <c r="I308" t="inlineStr">
        <is>
          <t>TN</t>
        </is>
      </c>
      <c r="J308" t="inlineStr"/>
      <c r="K308" t="inlineStr">
        <is>
          <t>20220516</t>
        </is>
      </c>
      <c r="L308" t="inlineStr">
        <is>
          <t>20240822</t>
        </is>
      </c>
    </row>
    <row r="309">
      <c r="A309" t="inlineStr">
        <is>
          <t>900007101</t>
        </is>
      </c>
      <c r="B309" t="inlineStr">
        <is>
          <t>DW75</t>
        </is>
      </c>
      <c r="C309" t="inlineStr">
        <is>
          <t>D312</t>
        </is>
      </c>
      <c r="D309" t="inlineStr">
        <is>
          <t>10196470</t>
        </is>
      </c>
      <c r="E309" t="inlineStr"/>
      <c r="F309" s="11" t="n">
        <v>182.01</v>
      </c>
      <c r="G309" t="inlineStr"/>
      <c r="I309" t="inlineStr">
        <is>
          <t>TN</t>
        </is>
      </c>
      <c r="J309" t="inlineStr"/>
      <c r="K309" t="inlineStr">
        <is>
          <t>20220516</t>
        </is>
      </c>
      <c r="L309" t="inlineStr">
        <is>
          <t>20240822</t>
        </is>
      </c>
    </row>
    <row r="310">
      <c r="A310" t="inlineStr">
        <is>
          <t>900007101</t>
        </is>
      </c>
      <c r="B310" t="inlineStr">
        <is>
          <t>DW75</t>
        </is>
      </c>
      <c r="C310" t="inlineStr">
        <is>
          <t>D327</t>
        </is>
      </c>
      <c r="D310" t="inlineStr">
        <is>
          <t>10196470</t>
        </is>
      </c>
      <c r="E310" t="inlineStr"/>
      <c r="F310" s="11" t="n">
        <v>182.01</v>
      </c>
      <c r="G310" t="inlineStr"/>
      <c r="I310" t="inlineStr">
        <is>
          <t>TN</t>
        </is>
      </c>
      <c r="J310" t="inlineStr"/>
      <c r="K310" t="inlineStr">
        <is>
          <t>20220516</t>
        </is>
      </c>
      <c r="L310" t="inlineStr">
        <is>
          <t>20240822</t>
        </is>
      </c>
    </row>
    <row r="311">
      <c r="A311" t="inlineStr">
        <is>
          <t>900007101</t>
        </is>
      </c>
      <c r="B311" t="inlineStr">
        <is>
          <t>DW75</t>
        </is>
      </c>
      <c r="C311" t="inlineStr">
        <is>
          <t>D331</t>
        </is>
      </c>
      <c r="D311" t="inlineStr">
        <is>
          <t>10196470</t>
        </is>
      </c>
      <c r="E311" t="inlineStr"/>
      <c r="F311" s="11" t="n">
        <v>173.84</v>
      </c>
      <c r="G311" t="inlineStr"/>
      <c r="I311" t="inlineStr">
        <is>
          <t>TN</t>
        </is>
      </c>
      <c r="J311" t="inlineStr"/>
      <c r="K311" t="inlineStr">
        <is>
          <t>20220516</t>
        </is>
      </c>
      <c r="L311" t="inlineStr">
        <is>
          <t>20240822</t>
        </is>
      </c>
    </row>
    <row r="312">
      <c r="A312" t="inlineStr">
        <is>
          <t>900007101</t>
        </is>
      </c>
      <c r="B312" t="inlineStr">
        <is>
          <t>DW75</t>
        </is>
      </c>
      <c r="C312" t="inlineStr">
        <is>
          <t>D343</t>
        </is>
      </c>
      <c r="D312" t="inlineStr">
        <is>
          <t>10196470</t>
        </is>
      </c>
      <c r="E312" t="inlineStr"/>
      <c r="F312" s="11" t="n">
        <v>182.01</v>
      </c>
      <c r="G312" t="inlineStr"/>
      <c r="I312" t="inlineStr">
        <is>
          <t>TN</t>
        </is>
      </c>
      <c r="J312" t="inlineStr"/>
      <c r="K312" t="inlineStr">
        <is>
          <t>20220516</t>
        </is>
      </c>
      <c r="L312" t="inlineStr">
        <is>
          <t>20240822</t>
        </is>
      </c>
    </row>
    <row r="313">
      <c r="A313" t="inlineStr">
        <is>
          <t>900007101</t>
        </is>
      </c>
      <c r="B313" t="inlineStr">
        <is>
          <t>DW75</t>
        </is>
      </c>
      <c r="C313" t="inlineStr">
        <is>
          <t>D349</t>
        </is>
      </c>
      <c r="D313" t="inlineStr">
        <is>
          <t>10196470</t>
        </is>
      </c>
      <c r="E313" t="inlineStr"/>
      <c r="F313" s="11" t="n">
        <v>182.01</v>
      </c>
      <c r="G313" t="inlineStr"/>
      <c r="I313" t="inlineStr">
        <is>
          <t>TN</t>
        </is>
      </c>
      <c r="J313" t="inlineStr"/>
      <c r="K313" t="inlineStr">
        <is>
          <t>20220516</t>
        </is>
      </c>
      <c r="L313" t="inlineStr">
        <is>
          <t>20240822</t>
        </is>
      </c>
    </row>
    <row r="314">
      <c r="A314" t="inlineStr">
        <is>
          <t>900007121</t>
        </is>
      </c>
      <c r="B314" t="inlineStr">
        <is>
          <t>DW75</t>
        </is>
      </c>
      <c r="C314" t="inlineStr">
        <is>
          <t>D278</t>
        </is>
      </c>
      <c r="D314" t="inlineStr">
        <is>
          <t>10200686</t>
        </is>
      </c>
      <c r="E314" t="inlineStr"/>
      <c r="F314" s="11" t="n">
        <v>164.23</v>
      </c>
      <c r="G314" t="inlineStr"/>
      <c r="I314" t="inlineStr">
        <is>
          <t>TN</t>
        </is>
      </c>
      <c r="J314" t="inlineStr"/>
      <c r="K314" t="inlineStr">
        <is>
          <t>20240726</t>
        </is>
      </c>
      <c r="L314" t="inlineStr">
        <is>
          <t>20241023</t>
        </is>
      </c>
    </row>
    <row r="315">
      <c r="A315" t="inlineStr">
        <is>
          <t>900007121</t>
        </is>
      </c>
      <c r="B315" t="inlineStr">
        <is>
          <t>DW75</t>
        </is>
      </c>
      <c r="C315" t="inlineStr">
        <is>
          <t>D327</t>
        </is>
      </c>
      <c r="D315" t="inlineStr">
        <is>
          <t>10200686</t>
        </is>
      </c>
      <c r="E315" t="inlineStr"/>
      <c r="F315" s="11" t="n">
        <v>164.23</v>
      </c>
      <c r="G315" t="inlineStr"/>
      <c r="I315" t="inlineStr">
        <is>
          <t>TN</t>
        </is>
      </c>
      <c r="J315" t="inlineStr"/>
      <c r="K315" t="inlineStr">
        <is>
          <t>20240726</t>
        </is>
      </c>
      <c r="L315" t="inlineStr">
        <is>
          <t>20241023</t>
        </is>
      </c>
    </row>
    <row r="316">
      <c r="A316" t="inlineStr">
        <is>
          <t>900007121</t>
        </is>
      </c>
      <c r="B316" t="inlineStr">
        <is>
          <t>DW75</t>
        </is>
      </c>
      <c r="C316" t="inlineStr">
        <is>
          <t>D343</t>
        </is>
      </c>
      <c r="D316" t="inlineStr">
        <is>
          <t>10200686</t>
        </is>
      </c>
      <c r="E316" t="inlineStr"/>
      <c r="F316" s="11" t="n">
        <v>164.23</v>
      </c>
      <c r="G316" t="inlineStr"/>
      <c r="I316" t="inlineStr">
        <is>
          <t>TN</t>
        </is>
      </c>
      <c r="J316" t="inlineStr"/>
      <c r="K316" t="inlineStr">
        <is>
          <t>20240726</t>
        </is>
      </c>
      <c r="L316" t="inlineStr">
        <is>
          <t>20241023</t>
        </is>
      </c>
    </row>
    <row r="317">
      <c r="A317" t="inlineStr">
        <is>
          <t>900007121</t>
        </is>
      </c>
      <c r="B317" t="inlineStr">
        <is>
          <t>DW75</t>
        </is>
      </c>
      <c r="C317" t="inlineStr">
        <is>
          <t>E674</t>
        </is>
      </c>
      <c r="D317" t="inlineStr">
        <is>
          <t>10200686</t>
        </is>
      </c>
      <c r="E317" t="inlineStr"/>
      <c r="F317" s="11" t="n">
        <v>164.23</v>
      </c>
      <c r="G317" t="inlineStr"/>
      <c r="I317" t="inlineStr">
        <is>
          <t>TN</t>
        </is>
      </c>
      <c r="J317" t="inlineStr"/>
      <c r="K317" t="inlineStr">
        <is>
          <t>20240726</t>
        </is>
      </c>
      <c r="L317" t="inlineStr">
        <is>
          <t>20241023</t>
        </is>
      </c>
    </row>
    <row r="318">
      <c r="A318" t="inlineStr">
        <is>
          <t>900007598</t>
        </is>
      </c>
      <c r="B318" t="inlineStr">
        <is>
          <t>DW75</t>
        </is>
      </c>
      <c r="C318" t="inlineStr">
        <is>
          <t>D278</t>
        </is>
      </c>
      <c r="D318" t="inlineStr">
        <is>
          <t>10215847</t>
        </is>
      </c>
      <c r="E318" t="inlineStr"/>
      <c r="F318" s="11" t="n">
        <v>207.02</v>
      </c>
      <c r="G318" t="inlineStr"/>
      <c r="I318" t="inlineStr">
        <is>
          <t>TN</t>
        </is>
      </c>
      <c r="J318" t="inlineStr"/>
      <c r="K318" t="inlineStr">
        <is>
          <t>20220707</t>
        </is>
      </c>
      <c r="L318" t="inlineStr">
        <is>
          <t>20231127</t>
        </is>
      </c>
    </row>
    <row r="319">
      <c r="A319" t="inlineStr">
        <is>
          <t>900007598</t>
        </is>
      </c>
      <c r="B319" t="inlineStr">
        <is>
          <t>DW75</t>
        </is>
      </c>
      <c r="C319" t="inlineStr">
        <is>
          <t>D312</t>
        </is>
      </c>
      <c r="D319" t="inlineStr">
        <is>
          <t>10215847</t>
        </is>
      </c>
      <c r="E319" t="inlineStr"/>
      <c r="F319" s="11" t="n">
        <v>207.02</v>
      </c>
      <c r="G319" t="inlineStr"/>
      <c r="I319" t="inlineStr">
        <is>
          <t>TN</t>
        </is>
      </c>
      <c r="J319" t="inlineStr"/>
      <c r="K319" t="inlineStr">
        <is>
          <t>20220707</t>
        </is>
      </c>
      <c r="L319" t="inlineStr">
        <is>
          <t>20231127</t>
        </is>
      </c>
    </row>
    <row r="320">
      <c r="A320" t="inlineStr">
        <is>
          <t>900007598</t>
        </is>
      </c>
      <c r="B320" t="inlineStr">
        <is>
          <t>DW75</t>
        </is>
      </c>
      <c r="C320" t="inlineStr">
        <is>
          <t>D315</t>
        </is>
      </c>
      <c r="D320" t="inlineStr">
        <is>
          <t>10215847</t>
        </is>
      </c>
      <c r="E320" t="inlineStr"/>
      <c r="F320" s="11" t="n">
        <v>207.02</v>
      </c>
      <c r="G320" t="inlineStr"/>
      <c r="I320" t="inlineStr">
        <is>
          <t>TN</t>
        </is>
      </c>
      <c r="J320" t="inlineStr"/>
      <c r="K320" t="inlineStr">
        <is>
          <t>20220707</t>
        </is>
      </c>
      <c r="L320" t="inlineStr">
        <is>
          <t>20231127</t>
        </is>
      </c>
    </row>
    <row r="321">
      <c r="A321" t="inlineStr">
        <is>
          <t>900007598</t>
        </is>
      </c>
      <c r="B321" t="inlineStr">
        <is>
          <t>DW75</t>
        </is>
      </c>
      <c r="C321" t="inlineStr">
        <is>
          <t>D327</t>
        </is>
      </c>
      <c r="D321" t="inlineStr">
        <is>
          <t>10215847</t>
        </is>
      </c>
      <c r="E321" t="inlineStr"/>
      <c r="F321" s="11" t="n">
        <v>207.02</v>
      </c>
      <c r="G321" t="inlineStr"/>
      <c r="I321" t="inlineStr">
        <is>
          <t>TN</t>
        </is>
      </c>
      <c r="J321" t="inlineStr"/>
      <c r="K321" t="inlineStr">
        <is>
          <t>20220707</t>
        </is>
      </c>
      <c r="L321" t="inlineStr">
        <is>
          <t>20231127</t>
        </is>
      </c>
    </row>
    <row r="322">
      <c r="A322" t="inlineStr">
        <is>
          <t>900007598</t>
        </is>
      </c>
      <c r="B322" t="inlineStr">
        <is>
          <t>DW75</t>
        </is>
      </c>
      <c r="C322" t="inlineStr">
        <is>
          <t>D343</t>
        </is>
      </c>
      <c r="D322" t="inlineStr">
        <is>
          <t>10215847</t>
        </is>
      </c>
      <c r="E322" t="inlineStr"/>
      <c r="F322" s="11" t="n">
        <v>207.02</v>
      </c>
      <c r="G322" t="inlineStr"/>
      <c r="I322" t="inlineStr">
        <is>
          <t>TN</t>
        </is>
      </c>
      <c r="J322" t="inlineStr"/>
      <c r="K322" t="inlineStr">
        <is>
          <t>20220707</t>
        </is>
      </c>
      <c r="L322" t="inlineStr">
        <is>
          <t>20231127</t>
        </is>
      </c>
    </row>
    <row r="323">
      <c r="A323" t="inlineStr">
        <is>
          <t>900007598</t>
        </is>
      </c>
      <c r="B323" t="inlineStr">
        <is>
          <t>DW75</t>
        </is>
      </c>
      <c r="C323" t="inlineStr">
        <is>
          <t>D343</t>
        </is>
      </c>
      <c r="D323" t="inlineStr">
        <is>
          <t>10248791</t>
        </is>
      </c>
      <c r="E323" t="inlineStr"/>
      <c r="F323" s="11" t="n">
        <v>266.09</v>
      </c>
      <c r="G323" t="inlineStr"/>
      <c r="I323" t="inlineStr">
        <is>
          <t>TN</t>
        </is>
      </c>
      <c r="J323" t="inlineStr"/>
      <c r="K323" t="inlineStr">
        <is>
          <t>20250301</t>
        </is>
      </c>
      <c r="L323" t="inlineStr">
        <is>
          <t>20251031</t>
        </is>
      </c>
    </row>
    <row r="324">
      <c r="A324" t="inlineStr">
        <is>
          <t>900007598</t>
        </is>
      </c>
      <c r="B324" t="inlineStr">
        <is>
          <t>DW75</t>
        </is>
      </c>
      <c r="C324" t="inlineStr">
        <is>
          <t>D343</t>
        </is>
      </c>
      <c r="D324" t="inlineStr">
        <is>
          <t>10251421</t>
        </is>
      </c>
      <c r="E324" t="inlineStr"/>
      <c r="F324" s="11" t="n">
        <v>325.02</v>
      </c>
      <c r="G324" t="inlineStr"/>
      <c r="I324" t="inlineStr">
        <is>
          <t>TN</t>
        </is>
      </c>
      <c r="J324" t="inlineStr"/>
      <c r="K324" t="inlineStr">
        <is>
          <t>20250301</t>
        </is>
      </c>
      <c r="L324" t="inlineStr">
        <is>
          <t>20251031</t>
        </is>
      </c>
    </row>
    <row r="325">
      <c r="A325" t="inlineStr">
        <is>
          <t>900007598</t>
        </is>
      </c>
      <c r="B325" t="inlineStr">
        <is>
          <t>DW75</t>
        </is>
      </c>
      <c r="C325" t="inlineStr">
        <is>
          <t>D349</t>
        </is>
      </c>
      <c r="D325" t="inlineStr">
        <is>
          <t>10215847</t>
        </is>
      </c>
      <c r="E325" t="inlineStr"/>
      <c r="F325" s="11" t="n">
        <v>207.02</v>
      </c>
      <c r="G325" t="inlineStr"/>
      <c r="I325" t="inlineStr">
        <is>
          <t>TN</t>
        </is>
      </c>
      <c r="J325" t="inlineStr"/>
      <c r="K325" t="inlineStr">
        <is>
          <t>20220707</t>
        </is>
      </c>
      <c r="L325" t="inlineStr">
        <is>
          <t>20231127</t>
        </is>
      </c>
    </row>
    <row r="326">
      <c r="A326" t="inlineStr">
        <is>
          <t>900007598</t>
        </is>
      </c>
      <c r="B326" t="inlineStr">
        <is>
          <t>DW75</t>
        </is>
      </c>
      <c r="C326" t="inlineStr">
        <is>
          <t>D349</t>
        </is>
      </c>
      <c r="D326" t="inlineStr">
        <is>
          <t>10248791</t>
        </is>
      </c>
      <c r="E326" t="inlineStr"/>
      <c r="F326" s="11" t="n">
        <v>266.09</v>
      </c>
      <c r="G326" t="inlineStr"/>
      <c r="I326" t="inlineStr">
        <is>
          <t>TN</t>
        </is>
      </c>
      <c r="J326" t="inlineStr"/>
      <c r="K326" t="inlineStr">
        <is>
          <t>20250901</t>
        </is>
      </c>
      <c r="L326" t="inlineStr">
        <is>
          <t>20260215</t>
        </is>
      </c>
    </row>
    <row r="327">
      <c r="A327" t="inlineStr">
        <is>
          <t>900007598</t>
        </is>
      </c>
      <c r="B327" t="inlineStr">
        <is>
          <t>DW75</t>
        </is>
      </c>
      <c r="C327" t="inlineStr">
        <is>
          <t>D349</t>
        </is>
      </c>
      <c r="D327" t="inlineStr">
        <is>
          <t>10251421</t>
        </is>
      </c>
      <c r="E327" t="inlineStr"/>
      <c r="F327" s="11" t="n">
        <v>325.02</v>
      </c>
      <c r="G327" t="inlineStr"/>
      <c r="I327" t="inlineStr">
        <is>
          <t>TN</t>
        </is>
      </c>
      <c r="J327" t="inlineStr"/>
      <c r="K327" t="inlineStr">
        <is>
          <t>20241004</t>
        </is>
      </c>
      <c r="L327" t="inlineStr">
        <is>
          <t>20260215</t>
        </is>
      </c>
    </row>
    <row r="328">
      <c r="A328" t="inlineStr">
        <is>
          <t>900007598</t>
        </is>
      </c>
      <c r="B328" t="inlineStr">
        <is>
          <t>DW75</t>
        </is>
      </c>
      <c r="C328" t="inlineStr">
        <is>
          <t>ER00</t>
        </is>
      </c>
      <c r="D328" t="inlineStr">
        <is>
          <t>10248791</t>
        </is>
      </c>
      <c r="E328" t="inlineStr"/>
      <c r="F328" s="11" t="n">
        <v>266.09</v>
      </c>
      <c r="G328" t="inlineStr"/>
      <c r="I328" t="inlineStr">
        <is>
          <t>TN</t>
        </is>
      </c>
      <c r="J328" t="inlineStr"/>
      <c r="K328" t="inlineStr">
        <is>
          <t>20231121</t>
        </is>
      </c>
      <c r="L328" t="inlineStr">
        <is>
          <t>20231126</t>
        </is>
      </c>
    </row>
    <row r="329">
      <c r="A329" t="inlineStr">
        <is>
          <t>900007756</t>
        </is>
      </c>
      <c r="B329" t="inlineStr">
        <is>
          <t>DW75</t>
        </is>
      </c>
      <c r="C329" t="inlineStr">
        <is>
          <t>D063</t>
        </is>
      </c>
      <c r="D329" t="inlineStr">
        <is>
          <t>10221763</t>
        </is>
      </c>
      <c r="E329" t="inlineStr"/>
      <c r="F329" s="11" t="n">
        <v>386.93</v>
      </c>
      <c r="G329" t="inlineStr"/>
      <c r="I329" t="inlineStr">
        <is>
          <t>TN</t>
        </is>
      </c>
      <c r="J329" t="inlineStr"/>
      <c r="K329" t="inlineStr">
        <is>
          <t>20250301</t>
        </is>
      </c>
      <c r="L329" t="inlineStr">
        <is>
          <t>20251031</t>
        </is>
      </c>
    </row>
    <row r="330">
      <c r="A330" t="inlineStr">
        <is>
          <t>900007756</t>
        </is>
      </c>
      <c r="B330" t="inlineStr">
        <is>
          <t>DW75</t>
        </is>
      </c>
      <c r="C330" t="inlineStr">
        <is>
          <t>D112</t>
        </is>
      </c>
      <c r="D330" t="inlineStr">
        <is>
          <t>10221763</t>
        </is>
      </c>
      <c r="E330" t="inlineStr"/>
      <c r="F330" s="11" t="n">
        <v>386.93</v>
      </c>
      <c r="G330" t="inlineStr"/>
      <c r="I330" t="inlineStr">
        <is>
          <t>TN</t>
        </is>
      </c>
      <c r="J330" t="inlineStr"/>
      <c r="K330" t="inlineStr">
        <is>
          <t>20250301</t>
        </is>
      </c>
      <c r="L330" t="inlineStr">
        <is>
          <t>20251031</t>
        </is>
      </c>
    </row>
    <row r="331">
      <c r="A331" t="inlineStr">
        <is>
          <t>900007756</t>
        </is>
      </c>
      <c r="B331" t="inlineStr">
        <is>
          <t>DW75</t>
        </is>
      </c>
      <c r="C331" t="inlineStr">
        <is>
          <t>D278</t>
        </is>
      </c>
      <c r="D331" t="inlineStr">
        <is>
          <t>10221763</t>
        </is>
      </c>
      <c r="E331" t="inlineStr"/>
      <c r="F331" s="11" t="n">
        <v>386.93</v>
      </c>
      <c r="G331" t="inlineStr"/>
      <c r="I331" t="inlineStr">
        <is>
          <t>TN</t>
        </is>
      </c>
      <c r="J331" t="inlineStr"/>
      <c r="K331" t="inlineStr">
        <is>
          <t>20220516</t>
        </is>
      </c>
      <c r="L331" t="inlineStr">
        <is>
          <t>20241216</t>
        </is>
      </c>
    </row>
    <row r="332">
      <c r="A332" t="inlineStr">
        <is>
          <t>900007756</t>
        </is>
      </c>
      <c r="B332" t="inlineStr">
        <is>
          <t>DW75</t>
        </is>
      </c>
      <c r="C332" t="inlineStr">
        <is>
          <t>D312</t>
        </is>
      </c>
      <c r="D332" t="inlineStr">
        <is>
          <t>10221763</t>
        </is>
      </c>
      <c r="E332" t="inlineStr"/>
      <c r="F332" s="11" t="n">
        <v>345.6</v>
      </c>
      <c r="G332" t="inlineStr"/>
      <c r="I332" t="inlineStr">
        <is>
          <t>TN</t>
        </is>
      </c>
      <c r="J332" t="inlineStr"/>
      <c r="K332" t="inlineStr">
        <is>
          <t>20220516</t>
        </is>
      </c>
      <c r="L332" t="inlineStr">
        <is>
          <t>20241216</t>
        </is>
      </c>
    </row>
    <row r="333">
      <c r="A333" t="inlineStr">
        <is>
          <t>900007756</t>
        </is>
      </c>
      <c r="B333" t="inlineStr">
        <is>
          <t>DW75</t>
        </is>
      </c>
      <c r="C333" t="inlineStr">
        <is>
          <t>D327</t>
        </is>
      </c>
      <c r="D333" t="inlineStr">
        <is>
          <t>10221763</t>
        </is>
      </c>
      <c r="E333" t="inlineStr"/>
      <c r="F333" s="11" t="n">
        <v>345.6</v>
      </c>
      <c r="G333" t="inlineStr"/>
      <c r="I333" t="inlineStr">
        <is>
          <t>TN</t>
        </is>
      </c>
      <c r="J333" t="inlineStr"/>
      <c r="K333" t="inlineStr">
        <is>
          <t>20220516</t>
        </is>
      </c>
      <c r="L333" t="inlineStr">
        <is>
          <t>20241216</t>
        </is>
      </c>
    </row>
    <row r="334">
      <c r="A334" t="inlineStr">
        <is>
          <t>900007756</t>
        </is>
      </c>
      <c r="B334" t="inlineStr">
        <is>
          <t>DW75</t>
        </is>
      </c>
      <c r="C334" t="inlineStr">
        <is>
          <t>D343</t>
        </is>
      </c>
      <c r="D334" t="inlineStr">
        <is>
          <t>10221763</t>
        </is>
      </c>
      <c r="E334" t="inlineStr"/>
      <c r="F334" s="11" t="n">
        <v>386.93</v>
      </c>
      <c r="G334" t="inlineStr"/>
      <c r="I334" t="inlineStr">
        <is>
          <t>TN</t>
        </is>
      </c>
      <c r="J334" t="inlineStr"/>
      <c r="K334" t="inlineStr">
        <is>
          <t>20240122</t>
        </is>
      </c>
      <c r="L334" t="inlineStr">
        <is>
          <t>20260215</t>
        </is>
      </c>
    </row>
    <row r="335">
      <c r="A335" t="inlineStr">
        <is>
          <t>900007756</t>
        </is>
      </c>
      <c r="B335" t="inlineStr">
        <is>
          <t>DW75</t>
        </is>
      </c>
      <c r="C335" t="inlineStr">
        <is>
          <t>D349</t>
        </is>
      </c>
      <c r="D335" t="inlineStr">
        <is>
          <t>10221763</t>
        </is>
      </c>
      <c r="E335" t="inlineStr"/>
      <c r="F335" s="11" t="n">
        <v>386.93</v>
      </c>
      <c r="G335" t="inlineStr"/>
      <c r="I335" t="inlineStr">
        <is>
          <t>TN</t>
        </is>
      </c>
      <c r="J335" t="inlineStr"/>
      <c r="K335" t="inlineStr">
        <is>
          <t>20240122</t>
        </is>
      </c>
      <c r="L335" t="inlineStr">
        <is>
          <t>20260215</t>
        </is>
      </c>
    </row>
    <row r="336">
      <c r="A336" t="inlineStr">
        <is>
          <t>900007756</t>
        </is>
      </c>
      <c r="B336" t="inlineStr">
        <is>
          <t>DW75</t>
        </is>
      </c>
      <c r="C336" t="inlineStr">
        <is>
          <t>D358</t>
        </is>
      </c>
      <c r="D336" t="inlineStr">
        <is>
          <t>10221763</t>
        </is>
      </c>
      <c r="E336" t="inlineStr"/>
      <c r="F336" s="11" t="n">
        <v>386.93</v>
      </c>
      <c r="G336" t="inlineStr"/>
      <c r="I336" t="inlineStr">
        <is>
          <t>TN</t>
        </is>
      </c>
      <c r="J336" t="inlineStr"/>
      <c r="K336" t="inlineStr">
        <is>
          <t>20250301</t>
        </is>
      </c>
      <c r="L336" t="inlineStr">
        <is>
          <t>20251031</t>
        </is>
      </c>
    </row>
    <row r="337">
      <c r="A337" t="inlineStr">
        <is>
          <t>900007756</t>
        </is>
      </c>
      <c r="B337" t="inlineStr">
        <is>
          <t>DW75</t>
        </is>
      </c>
      <c r="C337" t="inlineStr">
        <is>
          <t>E674</t>
        </is>
      </c>
      <c r="D337" t="inlineStr">
        <is>
          <t>10221763</t>
        </is>
      </c>
      <c r="E337" t="inlineStr"/>
      <c r="F337" s="11" t="n">
        <v>308.04</v>
      </c>
      <c r="G337" t="inlineStr"/>
      <c r="I337" t="inlineStr">
        <is>
          <t>TN</t>
        </is>
      </c>
      <c r="J337" t="inlineStr"/>
      <c r="K337" t="inlineStr">
        <is>
          <t>20230704</t>
        </is>
      </c>
      <c r="L337" t="inlineStr">
        <is>
          <t>20230912</t>
        </is>
      </c>
    </row>
    <row r="338">
      <c r="A338" t="inlineStr">
        <is>
          <t>900007756</t>
        </is>
      </c>
      <c r="B338" t="inlineStr">
        <is>
          <t>DW75</t>
        </is>
      </c>
      <c r="C338" t="inlineStr">
        <is>
          <t>E674</t>
        </is>
      </c>
      <c r="D338" t="inlineStr">
        <is>
          <t>10246797</t>
        </is>
      </c>
      <c r="E338" t="inlineStr"/>
      <c r="F338" s="11" t="n">
        <v>363.64</v>
      </c>
      <c r="G338" t="inlineStr"/>
      <c r="I338" t="inlineStr">
        <is>
          <t>TN</t>
        </is>
      </c>
      <c r="J338" t="inlineStr"/>
      <c r="K338" t="inlineStr">
        <is>
          <t>20250301</t>
        </is>
      </c>
      <c r="L338" t="inlineStr">
        <is>
          <t>20251031</t>
        </is>
      </c>
    </row>
    <row r="339">
      <c r="A339" t="inlineStr">
        <is>
          <t>900007757</t>
        </is>
      </c>
      <c r="B339" t="inlineStr">
        <is>
          <t>DW75</t>
        </is>
      </c>
      <c r="C339" t="inlineStr">
        <is>
          <t>D063</t>
        </is>
      </c>
      <c r="D339" t="inlineStr">
        <is>
          <t>10221764</t>
        </is>
      </c>
      <c r="E339" t="inlineStr"/>
      <c r="F339" s="11" t="n">
        <v>364.21</v>
      </c>
      <c r="G339" t="inlineStr"/>
      <c r="I339" t="inlineStr">
        <is>
          <t>TN</t>
        </is>
      </c>
      <c r="J339" t="inlineStr"/>
      <c r="K339" t="inlineStr">
        <is>
          <t>20220516</t>
        </is>
      </c>
      <c r="L339" t="inlineStr">
        <is>
          <t>20241216</t>
        </is>
      </c>
    </row>
    <row r="340">
      <c r="A340" t="inlineStr">
        <is>
          <t>900007757</t>
        </is>
      </c>
      <c r="B340" t="inlineStr">
        <is>
          <t>DW75</t>
        </is>
      </c>
      <c r="C340" t="inlineStr">
        <is>
          <t>D112</t>
        </is>
      </c>
      <c r="D340" t="inlineStr">
        <is>
          <t>10221764</t>
        </is>
      </c>
      <c r="E340" t="inlineStr"/>
      <c r="F340" s="11" t="n">
        <v>364.21</v>
      </c>
      <c r="G340" t="inlineStr"/>
      <c r="I340" t="inlineStr">
        <is>
          <t>TN</t>
        </is>
      </c>
      <c r="J340" t="inlineStr"/>
      <c r="K340" t="inlineStr">
        <is>
          <t>20220516</t>
        </is>
      </c>
      <c r="L340" t="inlineStr">
        <is>
          <t>20241216</t>
        </is>
      </c>
    </row>
    <row r="341">
      <c r="A341" t="inlineStr">
        <is>
          <t>900007757</t>
        </is>
      </c>
      <c r="B341" t="inlineStr">
        <is>
          <t>DW75</t>
        </is>
      </c>
      <c r="C341" t="inlineStr">
        <is>
          <t>D278</t>
        </is>
      </c>
      <c r="D341" t="inlineStr">
        <is>
          <t>10221764</t>
        </is>
      </c>
      <c r="E341" t="inlineStr"/>
      <c r="F341" s="11" t="n">
        <v>318.25</v>
      </c>
      <c r="G341" t="inlineStr"/>
      <c r="I341" t="inlineStr">
        <is>
          <t>TN</t>
        </is>
      </c>
      <c r="J341" t="inlineStr"/>
      <c r="K341" t="inlineStr">
        <is>
          <t>20250120</t>
        </is>
      </c>
      <c r="L341" t="inlineStr">
        <is>
          <t>20260215</t>
        </is>
      </c>
    </row>
    <row r="342">
      <c r="A342" t="inlineStr">
        <is>
          <t>900007757</t>
        </is>
      </c>
      <c r="B342" t="inlineStr">
        <is>
          <t>DW75</t>
        </is>
      </c>
      <c r="C342" t="inlineStr">
        <is>
          <t>D312</t>
        </is>
      </c>
      <c r="D342" t="inlineStr">
        <is>
          <t>10221764</t>
        </is>
      </c>
      <c r="E342" t="inlineStr"/>
      <c r="F342" s="11" t="n">
        <v>325.32</v>
      </c>
      <c r="G342" t="inlineStr"/>
      <c r="I342" t="inlineStr">
        <is>
          <t>TN</t>
        </is>
      </c>
      <c r="J342" t="inlineStr"/>
      <c r="K342" t="inlineStr">
        <is>
          <t>20220516</t>
        </is>
      </c>
      <c r="L342" t="inlineStr">
        <is>
          <t>20241216</t>
        </is>
      </c>
    </row>
    <row r="343">
      <c r="A343" t="inlineStr">
        <is>
          <t>900007757</t>
        </is>
      </c>
      <c r="B343" t="inlineStr">
        <is>
          <t>DW75</t>
        </is>
      </c>
      <c r="C343" t="inlineStr">
        <is>
          <t>D327</t>
        </is>
      </c>
      <c r="D343" t="inlineStr">
        <is>
          <t>10221764</t>
        </is>
      </c>
      <c r="E343" t="inlineStr"/>
      <c r="F343" s="11" t="n">
        <v>325.32</v>
      </c>
      <c r="G343" t="inlineStr"/>
      <c r="I343" t="inlineStr">
        <is>
          <t>TN</t>
        </is>
      </c>
      <c r="J343" t="inlineStr"/>
      <c r="K343" t="inlineStr">
        <is>
          <t>20220516</t>
        </is>
      </c>
      <c r="L343" t="inlineStr">
        <is>
          <t>20241216</t>
        </is>
      </c>
    </row>
    <row r="344">
      <c r="A344" t="inlineStr">
        <is>
          <t>900007757</t>
        </is>
      </c>
      <c r="B344" t="inlineStr">
        <is>
          <t>DW75</t>
        </is>
      </c>
      <c r="C344" t="inlineStr">
        <is>
          <t>D343</t>
        </is>
      </c>
      <c r="D344" t="inlineStr">
        <is>
          <t>10221764</t>
        </is>
      </c>
      <c r="E344" t="inlineStr"/>
      <c r="F344" s="11" t="n">
        <v>303.23</v>
      </c>
      <c r="G344" t="inlineStr"/>
      <c r="I344" t="inlineStr">
        <is>
          <t>TN</t>
        </is>
      </c>
      <c r="J344" t="inlineStr"/>
      <c r="K344" t="inlineStr">
        <is>
          <t>20260601</t>
        </is>
      </c>
      <c r="L344" t="inlineStr">
        <is>
          <t>99991231</t>
        </is>
      </c>
    </row>
    <row r="345">
      <c r="A345" t="inlineStr">
        <is>
          <t>900007757</t>
        </is>
      </c>
      <c r="B345" t="inlineStr">
        <is>
          <t>DW75</t>
        </is>
      </c>
      <c r="C345" t="inlineStr">
        <is>
          <t>D349</t>
        </is>
      </c>
      <c r="D345" t="inlineStr">
        <is>
          <t>10221764</t>
        </is>
      </c>
      <c r="E345" t="inlineStr"/>
      <c r="F345" s="11" t="n">
        <v>303.23</v>
      </c>
      <c r="G345" t="inlineStr"/>
      <c r="I345" t="inlineStr">
        <is>
          <t>TN</t>
        </is>
      </c>
      <c r="J345" t="inlineStr"/>
      <c r="K345" t="inlineStr">
        <is>
          <t>20260601</t>
        </is>
      </c>
      <c r="L345" t="inlineStr">
        <is>
          <t>99991231</t>
        </is>
      </c>
    </row>
    <row r="346">
      <c r="A346" t="inlineStr">
        <is>
          <t>900007757</t>
        </is>
      </c>
      <c r="B346" t="inlineStr">
        <is>
          <t>DW75</t>
        </is>
      </c>
      <c r="C346" t="inlineStr">
        <is>
          <t>D358</t>
        </is>
      </c>
      <c r="D346" t="inlineStr">
        <is>
          <t>10221764</t>
        </is>
      </c>
      <c r="E346" t="inlineStr"/>
      <c r="F346" s="11" t="n">
        <v>318.25</v>
      </c>
      <c r="G346" t="inlineStr"/>
      <c r="I346" t="inlineStr">
        <is>
          <t>TN</t>
        </is>
      </c>
      <c r="J346" t="inlineStr"/>
      <c r="K346" t="inlineStr">
        <is>
          <t>20250301</t>
        </is>
      </c>
      <c r="L346" t="inlineStr">
        <is>
          <t>20251031</t>
        </is>
      </c>
    </row>
    <row r="347">
      <c r="A347" t="inlineStr">
        <is>
          <t>900007757</t>
        </is>
      </c>
      <c r="B347" t="inlineStr">
        <is>
          <t>DW75</t>
        </is>
      </c>
      <c r="C347" t="inlineStr">
        <is>
          <t>E674</t>
        </is>
      </c>
      <c r="D347" t="inlineStr">
        <is>
          <t>10221764</t>
        </is>
      </c>
      <c r="E347" t="inlineStr"/>
      <c r="F347" s="11" t="n">
        <v>325.32</v>
      </c>
      <c r="G347" t="inlineStr"/>
      <c r="I347" t="inlineStr">
        <is>
          <t>TN</t>
        </is>
      </c>
      <c r="J347" t="inlineStr"/>
      <c r="K347" t="inlineStr">
        <is>
          <t>20220516</t>
        </is>
      </c>
      <c r="L347" t="inlineStr">
        <is>
          <t>20241216</t>
        </is>
      </c>
    </row>
    <row r="348">
      <c r="A348" t="inlineStr">
        <is>
          <t>900007778</t>
        </is>
      </c>
      <c r="B348" t="inlineStr">
        <is>
          <t>DW75</t>
        </is>
      </c>
      <c r="C348" t="inlineStr">
        <is>
          <t>D278</t>
        </is>
      </c>
      <c r="D348" t="inlineStr">
        <is>
          <t>10224750</t>
        </is>
      </c>
      <c r="E348" t="inlineStr"/>
      <c r="F348" s="11" t="n">
        <v>283.66</v>
      </c>
      <c r="G348" t="inlineStr"/>
      <c r="I348" t="inlineStr">
        <is>
          <t>TN</t>
        </is>
      </c>
      <c r="J348" t="inlineStr"/>
      <c r="K348" t="inlineStr">
        <is>
          <t>20220516</t>
        </is>
      </c>
      <c r="L348" t="inlineStr">
        <is>
          <t>20241216</t>
        </is>
      </c>
    </row>
    <row r="349">
      <c r="A349" t="inlineStr">
        <is>
          <t>900007778</t>
        </is>
      </c>
      <c r="B349" t="inlineStr">
        <is>
          <t>DW75</t>
        </is>
      </c>
      <c r="C349" t="inlineStr">
        <is>
          <t>D327</t>
        </is>
      </c>
      <c r="D349" t="inlineStr">
        <is>
          <t>10224750</t>
        </is>
      </c>
      <c r="E349" t="inlineStr"/>
      <c r="F349" s="11" t="n">
        <v>283.66</v>
      </c>
      <c r="G349" t="inlineStr"/>
      <c r="I349" t="inlineStr">
        <is>
          <t>TN</t>
        </is>
      </c>
      <c r="J349" t="inlineStr"/>
      <c r="K349" t="inlineStr">
        <is>
          <t>20220516</t>
        </is>
      </c>
      <c r="L349" t="inlineStr">
        <is>
          <t>20241216</t>
        </is>
      </c>
    </row>
    <row r="350">
      <c r="A350" t="inlineStr">
        <is>
          <t>900007778</t>
        </is>
      </c>
      <c r="B350" t="inlineStr">
        <is>
          <t>DW75</t>
        </is>
      </c>
      <c r="C350" t="inlineStr">
        <is>
          <t>D343</t>
        </is>
      </c>
      <c r="D350" t="inlineStr">
        <is>
          <t>10224750</t>
        </is>
      </c>
      <c r="E350" t="inlineStr"/>
      <c r="F350" s="11" t="n">
        <v>283.66</v>
      </c>
      <c r="G350" t="inlineStr"/>
      <c r="I350" t="inlineStr">
        <is>
          <t>TN</t>
        </is>
      </c>
      <c r="J350" t="inlineStr"/>
      <c r="K350" t="inlineStr">
        <is>
          <t>20220516</t>
        </is>
      </c>
      <c r="L350" t="inlineStr">
        <is>
          <t>20241216</t>
        </is>
      </c>
    </row>
    <row r="351">
      <c r="A351" t="inlineStr">
        <is>
          <t>900007778</t>
        </is>
      </c>
      <c r="B351" t="inlineStr">
        <is>
          <t>DW75</t>
        </is>
      </c>
      <c r="C351" t="inlineStr">
        <is>
          <t>E674</t>
        </is>
      </c>
      <c r="D351" t="inlineStr">
        <is>
          <t>10224750</t>
        </is>
      </c>
      <c r="E351" t="inlineStr"/>
      <c r="F351" s="11" t="n">
        <v>283.66</v>
      </c>
      <c r="G351" t="inlineStr"/>
      <c r="I351" t="inlineStr">
        <is>
          <t>TN</t>
        </is>
      </c>
      <c r="J351" t="inlineStr"/>
      <c r="K351" t="inlineStr">
        <is>
          <t>20220516</t>
        </is>
      </c>
      <c r="L351" t="inlineStr">
        <is>
          <t>20241216</t>
        </is>
      </c>
    </row>
    <row r="352">
      <c r="A352" t="inlineStr">
        <is>
          <t>900007862</t>
        </is>
      </c>
      <c r="B352" t="inlineStr">
        <is>
          <t>DW75</t>
        </is>
      </c>
      <c r="C352" t="inlineStr">
        <is>
          <t>E674</t>
        </is>
      </c>
      <c r="D352" t="inlineStr">
        <is>
          <t>10222898</t>
        </is>
      </c>
      <c r="E352" t="inlineStr"/>
      <c r="F352" s="11" t="n">
        <v>208.22</v>
      </c>
      <c r="G352" t="inlineStr"/>
      <c r="I352" t="inlineStr">
        <is>
          <t>TN</t>
        </is>
      </c>
      <c r="J352" t="inlineStr"/>
      <c r="K352" t="inlineStr">
        <is>
          <t>20220516</t>
        </is>
      </c>
      <c r="L352" t="inlineStr">
        <is>
          <t>20241216</t>
        </is>
      </c>
    </row>
    <row r="353">
      <c r="A353" t="inlineStr">
        <is>
          <t>900007862</t>
        </is>
      </c>
      <c r="B353" t="inlineStr">
        <is>
          <t>DW75</t>
        </is>
      </c>
      <c r="C353" t="inlineStr">
        <is>
          <t>E674</t>
        </is>
      </c>
      <c r="D353" t="inlineStr">
        <is>
          <t>10222899</t>
        </is>
      </c>
      <c r="E353" t="inlineStr"/>
      <c r="F353" s="11" t="n">
        <v>211.47</v>
      </c>
      <c r="G353" t="inlineStr"/>
      <c r="I353" t="inlineStr">
        <is>
          <t>TN</t>
        </is>
      </c>
      <c r="J353" t="inlineStr"/>
      <c r="K353" t="inlineStr">
        <is>
          <t>20220516</t>
        </is>
      </c>
      <c r="L353" t="inlineStr">
        <is>
          <t>20241216</t>
        </is>
      </c>
    </row>
    <row r="354">
      <c r="A354" t="inlineStr">
        <is>
          <t>900007862</t>
        </is>
      </c>
      <c r="B354" t="inlineStr">
        <is>
          <t>DW75</t>
        </is>
      </c>
      <c r="C354" t="inlineStr">
        <is>
          <t>EQ86</t>
        </is>
      </c>
      <c r="D354" t="inlineStr">
        <is>
          <t>10222898</t>
        </is>
      </c>
      <c r="E354" t="inlineStr"/>
      <c r="F354" s="11" t="n">
        <v>289.94</v>
      </c>
      <c r="G354" t="inlineStr"/>
      <c r="I354" t="inlineStr">
        <is>
          <t>TN</t>
        </is>
      </c>
      <c r="J354" t="inlineStr"/>
      <c r="K354" t="inlineStr">
        <is>
          <t>20250321</t>
        </is>
      </c>
      <c r="L354" t="inlineStr">
        <is>
          <t>99991231</t>
        </is>
      </c>
    </row>
    <row r="355">
      <c r="A355" t="inlineStr">
        <is>
          <t>900007862</t>
        </is>
      </c>
      <c r="B355" t="inlineStr">
        <is>
          <t>DW75</t>
        </is>
      </c>
      <c r="C355" t="inlineStr">
        <is>
          <t>EQ86</t>
        </is>
      </c>
      <c r="D355" t="inlineStr">
        <is>
          <t>10222899</t>
        </is>
      </c>
      <c r="E355" t="inlineStr"/>
      <c r="F355" s="11" t="n">
        <v>290.3</v>
      </c>
      <c r="G355" t="inlineStr"/>
      <c r="I355" t="inlineStr">
        <is>
          <t>TN</t>
        </is>
      </c>
      <c r="J355" t="inlineStr"/>
      <c r="K355" t="inlineStr">
        <is>
          <t>20250321</t>
        </is>
      </c>
      <c r="L355" t="inlineStr">
        <is>
          <t>99991231</t>
        </is>
      </c>
    </row>
    <row r="356">
      <c r="A356" t="inlineStr">
        <is>
          <t>900007968</t>
        </is>
      </c>
      <c r="B356" t="inlineStr">
        <is>
          <t>DW75</t>
        </is>
      </c>
      <c r="C356" t="inlineStr">
        <is>
          <t>D063</t>
        </is>
      </c>
      <c r="D356" t="inlineStr">
        <is>
          <t>10229016</t>
        </is>
      </c>
      <c r="E356" t="inlineStr"/>
      <c r="F356" s="11" t="n">
        <v>176.93</v>
      </c>
      <c r="G356" t="inlineStr"/>
      <c r="I356" t="inlineStr">
        <is>
          <t>TN</t>
        </is>
      </c>
      <c r="J356" t="inlineStr"/>
      <c r="K356" t="inlineStr">
        <is>
          <t>20250301</t>
        </is>
      </c>
      <c r="L356" t="inlineStr">
        <is>
          <t>20251031</t>
        </is>
      </c>
    </row>
    <row r="357">
      <c r="A357" t="inlineStr">
        <is>
          <t>900007968</t>
        </is>
      </c>
      <c r="B357" t="inlineStr">
        <is>
          <t>DW75</t>
        </is>
      </c>
      <c r="C357" t="inlineStr">
        <is>
          <t>D112</t>
        </is>
      </c>
      <c r="D357" t="inlineStr">
        <is>
          <t>10229016</t>
        </is>
      </c>
      <c r="E357" t="inlineStr"/>
      <c r="F357" s="11" t="n">
        <v>176.93</v>
      </c>
      <c r="G357" t="inlineStr"/>
      <c r="I357" t="inlineStr">
        <is>
          <t>TN</t>
        </is>
      </c>
      <c r="J357" t="inlineStr"/>
      <c r="K357" t="inlineStr">
        <is>
          <t>20250301</t>
        </is>
      </c>
      <c r="L357" t="inlineStr">
        <is>
          <t>20251031</t>
        </is>
      </c>
    </row>
    <row r="358">
      <c r="A358" t="inlineStr">
        <is>
          <t>900007968</t>
        </is>
      </c>
      <c r="B358" t="inlineStr">
        <is>
          <t>DW75</t>
        </is>
      </c>
      <c r="C358" t="inlineStr">
        <is>
          <t>D278</t>
        </is>
      </c>
      <c r="D358" t="inlineStr">
        <is>
          <t>10229016</t>
        </is>
      </c>
      <c r="E358" t="inlineStr"/>
      <c r="F358" s="11" t="n">
        <v>176.93</v>
      </c>
      <c r="G358" t="inlineStr"/>
      <c r="I358" t="inlineStr">
        <is>
          <t>TN</t>
        </is>
      </c>
      <c r="J358" t="inlineStr"/>
      <c r="K358" t="inlineStr">
        <is>
          <t>20250301</t>
        </is>
      </c>
      <c r="L358" t="inlineStr">
        <is>
          <t>20251031</t>
        </is>
      </c>
    </row>
    <row r="359">
      <c r="A359" t="inlineStr">
        <is>
          <t>900007968</t>
        </is>
      </c>
      <c r="B359" t="inlineStr">
        <is>
          <t>DW75</t>
        </is>
      </c>
      <c r="C359" t="inlineStr">
        <is>
          <t>D343</t>
        </is>
      </c>
      <c r="D359" t="inlineStr">
        <is>
          <t>10229016</t>
        </is>
      </c>
      <c r="E359" t="inlineStr"/>
      <c r="F359" s="11" t="n">
        <v>176.93</v>
      </c>
      <c r="G359" t="inlineStr"/>
      <c r="I359" t="inlineStr">
        <is>
          <t>TN</t>
        </is>
      </c>
      <c r="J359" t="inlineStr"/>
      <c r="K359" t="inlineStr">
        <is>
          <t>20250301</t>
        </is>
      </c>
      <c r="L359" t="inlineStr">
        <is>
          <t>20251031</t>
        </is>
      </c>
    </row>
    <row r="360">
      <c r="A360" t="inlineStr">
        <is>
          <t>900007968</t>
        </is>
      </c>
      <c r="B360" t="inlineStr">
        <is>
          <t>DW75</t>
        </is>
      </c>
      <c r="C360" t="inlineStr">
        <is>
          <t>D349</t>
        </is>
      </c>
      <c r="D360" t="inlineStr">
        <is>
          <t>10229016</t>
        </is>
      </c>
      <c r="E360" t="inlineStr"/>
      <c r="F360" s="11" t="n">
        <v>176.93</v>
      </c>
      <c r="G360" t="inlineStr"/>
      <c r="I360" t="inlineStr">
        <is>
          <t>TN</t>
        </is>
      </c>
      <c r="J360" t="inlineStr"/>
      <c r="K360" t="inlineStr">
        <is>
          <t>20250301</t>
        </is>
      </c>
      <c r="L360" t="inlineStr">
        <is>
          <t>20251031</t>
        </is>
      </c>
    </row>
    <row r="361">
      <c r="A361" t="inlineStr">
        <is>
          <t>900008197</t>
        </is>
      </c>
      <c r="B361" t="inlineStr">
        <is>
          <t>DW75</t>
        </is>
      </c>
      <c r="C361" t="inlineStr">
        <is>
          <t>EQ86</t>
        </is>
      </c>
      <c r="D361" t="inlineStr">
        <is>
          <t>10234149</t>
        </is>
      </c>
      <c r="E361" t="inlineStr"/>
      <c r="F361" s="11" t="n">
        <v>351.37</v>
      </c>
      <c r="G361" t="inlineStr"/>
      <c r="I361" t="inlineStr">
        <is>
          <t>TN</t>
        </is>
      </c>
      <c r="J361" t="inlineStr"/>
      <c r="K361" t="inlineStr">
        <is>
          <t>20250321</t>
        </is>
      </c>
      <c r="L361" t="inlineStr">
        <is>
          <t>99991231</t>
        </is>
      </c>
    </row>
    <row r="362">
      <c r="A362" t="inlineStr">
        <is>
          <t>900008197</t>
        </is>
      </c>
      <c r="B362" t="inlineStr">
        <is>
          <t>DW75</t>
        </is>
      </c>
      <c r="C362" t="inlineStr">
        <is>
          <t>EQ86</t>
        </is>
      </c>
      <c r="D362" t="inlineStr">
        <is>
          <t>10266819</t>
        </is>
      </c>
      <c r="E362" t="inlineStr"/>
      <c r="F362" s="11" t="n">
        <v>275.96</v>
      </c>
      <c r="G362" t="inlineStr"/>
      <c r="I362" t="inlineStr">
        <is>
          <t>TN</t>
        </is>
      </c>
      <c r="J362" t="inlineStr"/>
      <c r="K362" t="inlineStr">
        <is>
          <t>20250514</t>
        </is>
      </c>
      <c r="L362" t="inlineStr">
        <is>
          <t>99991231</t>
        </is>
      </c>
    </row>
    <row r="363">
      <c r="A363" t="inlineStr">
        <is>
          <t>900008588</t>
        </is>
      </c>
      <c r="B363" t="inlineStr">
        <is>
          <t>DW75</t>
        </is>
      </c>
      <c r="C363" t="inlineStr">
        <is>
          <t>D063</t>
        </is>
      </c>
      <c r="D363" t="inlineStr">
        <is>
          <t>10251199</t>
        </is>
      </c>
      <c r="E363" t="inlineStr"/>
      <c r="F363" s="11" t="n">
        <v>322.8</v>
      </c>
      <c r="G363" t="inlineStr"/>
      <c r="I363" t="inlineStr">
        <is>
          <t>TN</t>
        </is>
      </c>
      <c r="J363" t="inlineStr"/>
      <c r="K363" t="inlineStr">
        <is>
          <t>20250301</t>
        </is>
      </c>
      <c r="L363" t="inlineStr">
        <is>
          <t>20251031</t>
        </is>
      </c>
    </row>
    <row r="364">
      <c r="A364" t="inlineStr">
        <is>
          <t>900008588</t>
        </is>
      </c>
      <c r="B364" t="inlineStr">
        <is>
          <t>DW75</t>
        </is>
      </c>
      <c r="C364" t="inlineStr">
        <is>
          <t>D112</t>
        </is>
      </c>
      <c r="D364" t="inlineStr">
        <is>
          <t>10251199</t>
        </is>
      </c>
      <c r="E364" t="inlineStr"/>
      <c r="F364" s="11" t="n">
        <v>322.8</v>
      </c>
      <c r="G364" t="inlineStr"/>
      <c r="I364" t="inlineStr">
        <is>
          <t>TN</t>
        </is>
      </c>
      <c r="J364" t="inlineStr"/>
      <c r="K364" t="inlineStr">
        <is>
          <t>20250301</t>
        </is>
      </c>
      <c r="L364" t="inlineStr">
        <is>
          <t>20251031</t>
        </is>
      </c>
    </row>
    <row r="365">
      <c r="A365" t="inlineStr">
        <is>
          <t>900008588</t>
        </is>
      </c>
      <c r="B365" t="inlineStr">
        <is>
          <t>DW75</t>
        </is>
      </c>
      <c r="C365" t="inlineStr">
        <is>
          <t>D278</t>
        </is>
      </c>
      <c r="D365" t="inlineStr">
        <is>
          <t>10251199</t>
        </is>
      </c>
      <c r="E365" t="inlineStr"/>
      <c r="F365" s="11" t="n">
        <v>322.8</v>
      </c>
      <c r="G365" t="inlineStr"/>
      <c r="I365" t="inlineStr">
        <is>
          <t>TN</t>
        </is>
      </c>
      <c r="J365" t="inlineStr"/>
      <c r="K365" t="inlineStr">
        <is>
          <t>20250301</t>
        </is>
      </c>
      <c r="L365" t="inlineStr">
        <is>
          <t>20251031</t>
        </is>
      </c>
    </row>
    <row r="366">
      <c r="A366" t="inlineStr">
        <is>
          <t>900008588</t>
        </is>
      </c>
      <c r="B366" t="inlineStr">
        <is>
          <t>DW75</t>
        </is>
      </c>
      <c r="C366" t="inlineStr">
        <is>
          <t>D343</t>
        </is>
      </c>
      <c r="D366" t="inlineStr">
        <is>
          <t>10251199</t>
        </is>
      </c>
      <c r="E366" t="inlineStr"/>
      <c r="F366" s="11" t="n">
        <v>322.8</v>
      </c>
      <c r="G366" t="inlineStr"/>
      <c r="I366" t="inlineStr">
        <is>
          <t>TN</t>
        </is>
      </c>
      <c r="J366" t="inlineStr"/>
      <c r="K366" t="inlineStr">
        <is>
          <t>20250301</t>
        </is>
      </c>
      <c r="L366" t="inlineStr">
        <is>
          <t>20251031</t>
        </is>
      </c>
    </row>
    <row r="367">
      <c r="A367" t="inlineStr">
        <is>
          <t>900008588</t>
        </is>
      </c>
      <c r="B367" t="inlineStr">
        <is>
          <t>DW75</t>
        </is>
      </c>
      <c r="C367" t="inlineStr">
        <is>
          <t>D349</t>
        </is>
      </c>
      <c r="D367" t="inlineStr">
        <is>
          <t>10251199</t>
        </is>
      </c>
      <c r="E367" t="inlineStr"/>
      <c r="F367" s="11" t="n">
        <v>322.8</v>
      </c>
      <c r="G367" t="inlineStr"/>
      <c r="I367" t="inlineStr">
        <is>
          <t>TN</t>
        </is>
      </c>
      <c r="J367" t="inlineStr"/>
      <c r="K367" t="inlineStr">
        <is>
          <t>20250301</t>
        </is>
      </c>
      <c r="L367" t="inlineStr">
        <is>
          <t>20251031</t>
        </is>
      </c>
    </row>
    <row r="368">
      <c r="A368" t="inlineStr">
        <is>
          <t>900008588</t>
        </is>
      </c>
      <c r="B368" t="inlineStr">
        <is>
          <t>DW75</t>
        </is>
      </c>
      <c r="C368" t="inlineStr">
        <is>
          <t>D358</t>
        </is>
      </c>
      <c r="D368" t="inlineStr">
        <is>
          <t>10251199</t>
        </is>
      </c>
      <c r="E368" t="inlineStr"/>
      <c r="F368" s="11" t="n">
        <v>285.81</v>
      </c>
      <c r="G368" t="inlineStr"/>
      <c r="I368" t="inlineStr">
        <is>
          <t>TN</t>
        </is>
      </c>
      <c r="J368" t="inlineStr"/>
      <c r="K368" t="inlineStr">
        <is>
          <t>20260327</t>
        </is>
      </c>
      <c r="L368" t="inlineStr">
        <is>
          <t>99991231</t>
        </is>
      </c>
    </row>
    <row r="369">
      <c r="A369" t="inlineStr">
        <is>
          <t>900008636</t>
        </is>
      </c>
      <c r="B369" t="inlineStr">
        <is>
          <t>DW75</t>
        </is>
      </c>
      <c r="C369" t="inlineStr">
        <is>
          <t>D063</t>
        </is>
      </c>
      <c r="D369" t="inlineStr">
        <is>
          <t>10251586</t>
        </is>
      </c>
      <c r="E369" t="inlineStr"/>
      <c r="F369" s="11" t="n">
        <v>307.12</v>
      </c>
      <c r="G369" t="inlineStr"/>
      <c r="I369" t="inlineStr">
        <is>
          <t>TN</t>
        </is>
      </c>
      <c r="J369" t="inlineStr"/>
      <c r="K369" t="inlineStr">
        <is>
          <t>20250301</t>
        </is>
      </c>
      <c r="L369" t="inlineStr">
        <is>
          <t>20251031</t>
        </is>
      </c>
    </row>
    <row r="370">
      <c r="A370" t="inlineStr">
        <is>
          <t>900008636</t>
        </is>
      </c>
      <c r="B370" t="inlineStr">
        <is>
          <t>DW75</t>
        </is>
      </c>
      <c r="C370" t="inlineStr">
        <is>
          <t>D063</t>
        </is>
      </c>
      <c r="D370" t="inlineStr">
        <is>
          <t>10251587</t>
        </is>
      </c>
      <c r="E370" t="inlineStr"/>
      <c r="F370" s="11" t="n">
        <v>279.25</v>
      </c>
      <c r="G370" t="inlineStr"/>
      <c r="I370" t="inlineStr">
        <is>
          <t>TN</t>
        </is>
      </c>
      <c r="J370" t="inlineStr"/>
      <c r="K370" t="inlineStr">
        <is>
          <t>20250301</t>
        </is>
      </c>
      <c r="L370" t="inlineStr">
        <is>
          <t>20251031</t>
        </is>
      </c>
    </row>
    <row r="371">
      <c r="A371" t="inlineStr">
        <is>
          <t>900008636</t>
        </is>
      </c>
      <c r="B371" t="inlineStr">
        <is>
          <t>DW75</t>
        </is>
      </c>
      <c r="C371" t="inlineStr">
        <is>
          <t>D112</t>
        </is>
      </c>
      <c r="D371" t="inlineStr">
        <is>
          <t>10251586</t>
        </is>
      </c>
      <c r="E371" t="inlineStr"/>
      <c r="F371" s="11" t="n">
        <v>307.12</v>
      </c>
      <c r="G371" t="inlineStr"/>
      <c r="I371" t="inlineStr">
        <is>
          <t>TN</t>
        </is>
      </c>
      <c r="J371" t="inlineStr"/>
      <c r="K371" t="inlineStr">
        <is>
          <t>20250301</t>
        </is>
      </c>
      <c r="L371" t="inlineStr">
        <is>
          <t>20251031</t>
        </is>
      </c>
    </row>
    <row r="372">
      <c r="A372" t="inlineStr">
        <is>
          <t>900008636</t>
        </is>
      </c>
      <c r="B372" t="inlineStr">
        <is>
          <t>DW75</t>
        </is>
      </c>
      <c r="C372" t="inlineStr">
        <is>
          <t>D112</t>
        </is>
      </c>
      <c r="D372" t="inlineStr">
        <is>
          <t>10251587</t>
        </is>
      </c>
      <c r="E372" t="inlineStr"/>
      <c r="F372" s="11" t="n">
        <v>279.25</v>
      </c>
      <c r="G372" t="inlineStr"/>
      <c r="I372" t="inlineStr">
        <is>
          <t>TN</t>
        </is>
      </c>
      <c r="J372" t="inlineStr"/>
      <c r="K372" t="inlineStr">
        <is>
          <t>20250301</t>
        </is>
      </c>
      <c r="L372" t="inlineStr">
        <is>
          <t>20251031</t>
        </is>
      </c>
    </row>
    <row r="373">
      <c r="A373" t="inlineStr">
        <is>
          <t>900008636</t>
        </is>
      </c>
      <c r="B373" t="inlineStr">
        <is>
          <t>DW75</t>
        </is>
      </c>
      <c r="C373" t="inlineStr">
        <is>
          <t>D278</t>
        </is>
      </c>
      <c r="D373" t="inlineStr">
        <is>
          <t>10251586</t>
        </is>
      </c>
      <c r="E373" t="inlineStr"/>
      <c r="F373" s="11" t="n">
        <v>307.12</v>
      </c>
      <c r="G373" t="inlineStr"/>
      <c r="I373" t="inlineStr">
        <is>
          <t>TN</t>
        </is>
      </c>
      <c r="J373" t="inlineStr"/>
      <c r="K373" t="inlineStr">
        <is>
          <t>20250301</t>
        </is>
      </c>
      <c r="L373" t="inlineStr">
        <is>
          <t>20251031</t>
        </is>
      </c>
    </row>
    <row r="374">
      <c r="A374" t="inlineStr">
        <is>
          <t>900008636</t>
        </is>
      </c>
      <c r="B374" t="inlineStr">
        <is>
          <t>DW75</t>
        </is>
      </c>
      <c r="C374" t="inlineStr">
        <is>
          <t>D278</t>
        </is>
      </c>
      <c r="D374" t="inlineStr">
        <is>
          <t>10251587</t>
        </is>
      </c>
      <c r="E374" t="inlineStr"/>
      <c r="F374" s="11" t="n">
        <v>279.25</v>
      </c>
      <c r="G374" t="inlineStr"/>
      <c r="I374" t="inlineStr">
        <is>
          <t>TN</t>
        </is>
      </c>
      <c r="J374" t="inlineStr"/>
      <c r="K374" t="inlineStr">
        <is>
          <t>20250301</t>
        </is>
      </c>
      <c r="L374" t="inlineStr">
        <is>
          <t>20251031</t>
        </is>
      </c>
    </row>
    <row r="375">
      <c r="A375" t="inlineStr">
        <is>
          <t>900008636</t>
        </is>
      </c>
      <c r="B375" t="inlineStr">
        <is>
          <t>DW75</t>
        </is>
      </c>
      <c r="C375" t="inlineStr">
        <is>
          <t>D343</t>
        </is>
      </c>
      <c r="D375" t="inlineStr">
        <is>
          <t>10251586</t>
        </is>
      </c>
      <c r="E375" t="inlineStr"/>
      <c r="F375" s="11" t="n">
        <v>307.12</v>
      </c>
      <c r="G375" t="inlineStr"/>
      <c r="I375" t="inlineStr">
        <is>
          <t>TN</t>
        </is>
      </c>
      <c r="J375" t="inlineStr"/>
      <c r="K375" t="inlineStr">
        <is>
          <t>20250301</t>
        </is>
      </c>
      <c r="L375" t="inlineStr">
        <is>
          <t>20251031</t>
        </is>
      </c>
    </row>
    <row r="376">
      <c r="A376" t="inlineStr">
        <is>
          <t>900008636</t>
        </is>
      </c>
      <c r="B376" t="inlineStr">
        <is>
          <t>DW75</t>
        </is>
      </c>
      <c r="C376" t="inlineStr">
        <is>
          <t>D343</t>
        </is>
      </c>
      <c r="D376" t="inlineStr">
        <is>
          <t>10251587</t>
        </is>
      </c>
      <c r="E376" t="inlineStr"/>
      <c r="F376" s="11" t="n">
        <v>279.25</v>
      </c>
      <c r="G376" t="inlineStr"/>
      <c r="I376" t="inlineStr">
        <is>
          <t>TN</t>
        </is>
      </c>
      <c r="J376" t="inlineStr"/>
      <c r="K376" t="inlineStr">
        <is>
          <t>20250301</t>
        </is>
      </c>
      <c r="L376" t="inlineStr">
        <is>
          <t>20251031</t>
        </is>
      </c>
    </row>
    <row r="377">
      <c r="A377" t="inlineStr">
        <is>
          <t>900008636</t>
        </is>
      </c>
      <c r="B377" t="inlineStr">
        <is>
          <t>DW75</t>
        </is>
      </c>
      <c r="C377" t="inlineStr">
        <is>
          <t>D349</t>
        </is>
      </c>
      <c r="D377" t="inlineStr">
        <is>
          <t>10251586</t>
        </is>
      </c>
      <c r="E377" t="inlineStr"/>
      <c r="F377" s="11" t="n">
        <v>307.12</v>
      </c>
      <c r="G377" t="inlineStr"/>
      <c r="I377" t="inlineStr">
        <is>
          <t>TN</t>
        </is>
      </c>
      <c r="J377" t="inlineStr"/>
      <c r="K377" t="inlineStr">
        <is>
          <t>20250301</t>
        </is>
      </c>
      <c r="L377" t="inlineStr">
        <is>
          <t>20251031</t>
        </is>
      </c>
    </row>
    <row r="378">
      <c r="A378" t="inlineStr">
        <is>
          <t>900008636</t>
        </is>
      </c>
      <c r="B378" t="inlineStr">
        <is>
          <t>DW75</t>
        </is>
      </c>
      <c r="C378" t="inlineStr">
        <is>
          <t>D349</t>
        </is>
      </c>
      <c r="D378" t="inlineStr">
        <is>
          <t>10251587</t>
        </is>
      </c>
      <c r="E378" t="inlineStr"/>
      <c r="F378" s="11" t="n">
        <v>279.25</v>
      </c>
      <c r="G378" t="inlineStr"/>
      <c r="I378" t="inlineStr">
        <is>
          <t>TN</t>
        </is>
      </c>
      <c r="J378" t="inlineStr"/>
      <c r="K378" t="inlineStr">
        <is>
          <t>20250301</t>
        </is>
      </c>
      <c r="L378" t="inlineStr">
        <is>
          <t>20251031</t>
        </is>
      </c>
    </row>
    <row r="379">
      <c r="A379" t="inlineStr">
        <is>
          <t>900008642</t>
        </is>
      </c>
      <c r="B379" t="inlineStr">
        <is>
          <t>DW75</t>
        </is>
      </c>
      <c r="C379" t="inlineStr">
        <is>
          <t>D349</t>
        </is>
      </c>
      <c r="D379" t="inlineStr">
        <is>
          <t>10251250</t>
        </is>
      </c>
      <c r="E379" t="inlineStr"/>
      <c r="F379" s="11" t="n">
        <v>377.49</v>
      </c>
      <c r="G379" t="inlineStr"/>
      <c r="I379" t="inlineStr">
        <is>
          <t>TN</t>
        </is>
      </c>
      <c r="J379" t="inlineStr"/>
      <c r="K379" t="inlineStr">
        <is>
          <t>20250301</t>
        </is>
      </c>
      <c r="L379" t="inlineStr">
        <is>
          <t>20251031</t>
        </is>
      </c>
    </row>
    <row r="380">
      <c r="A380" t="inlineStr">
        <is>
          <t>900008643</t>
        </is>
      </c>
      <c r="B380" t="inlineStr">
        <is>
          <t>DW75</t>
        </is>
      </c>
      <c r="C380" t="inlineStr">
        <is>
          <t>D278</t>
        </is>
      </c>
      <c r="D380" t="inlineStr">
        <is>
          <t>10251252</t>
        </is>
      </c>
      <c r="E380" t="inlineStr"/>
      <c r="F380" s="11" t="n">
        <v>346.69</v>
      </c>
      <c r="G380" t="inlineStr"/>
      <c r="I380" t="inlineStr">
        <is>
          <t>TN</t>
        </is>
      </c>
      <c r="J380" t="inlineStr"/>
      <c r="K380" t="inlineStr">
        <is>
          <t>20250906</t>
        </is>
      </c>
      <c r="L380" t="inlineStr">
        <is>
          <t>20260215</t>
        </is>
      </c>
    </row>
    <row r="381">
      <c r="A381" t="inlineStr">
        <is>
          <t>900008643</t>
        </is>
      </c>
      <c r="B381" t="inlineStr">
        <is>
          <t>DW75</t>
        </is>
      </c>
      <c r="C381" t="inlineStr">
        <is>
          <t>D278</t>
        </is>
      </c>
      <c r="D381" t="inlineStr">
        <is>
          <t>10252010</t>
        </is>
      </c>
      <c r="E381" t="inlineStr"/>
      <c r="F381" s="11" t="n">
        <v>378.58</v>
      </c>
      <c r="G381" t="inlineStr"/>
      <c r="I381" t="inlineStr">
        <is>
          <t>TN</t>
        </is>
      </c>
      <c r="J381" t="inlineStr"/>
      <c r="K381" t="inlineStr">
        <is>
          <t>20240703</t>
        </is>
      </c>
      <c r="L381" t="inlineStr">
        <is>
          <t>20260215</t>
        </is>
      </c>
    </row>
    <row r="382">
      <c r="A382" t="inlineStr">
        <is>
          <t>900008643</t>
        </is>
      </c>
      <c r="B382" t="inlineStr">
        <is>
          <t>DW75</t>
        </is>
      </c>
      <c r="C382" t="inlineStr">
        <is>
          <t>D343</t>
        </is>
      </c>
      <c r="D382" t="inlineStr">
        <is>
          <t>10251252</t>
        </is>
      </c>
      <c r="E382" t="inlineStr"/>
      <c r="F382" s="11" t="n">
        <v>346.69</v>
      </c>
      <c r="G382" t="inlineStr"/>
      <c r="I382" t="inlineStr">
        <is>
          <t>TN</t>
        </is>
      </c>
      <c r="J382" t="inlineStr"/>
      <c r="K382" t="inlineStr">
        <is>
          <t>20250301</t>
        </is>
      </c>
      <c r="L382" t="inlineStr">
        <is>
          <t>20251031</t>
        </is>
      </c>
    </row>
    <row r="383">
      <c r="A383" t="inlineStr">
        <is>
          <t>900008643</t>
        </is>
      </c>
      <c r="B383" t="inlineStr">
        <is>
          <t>DW75</t>
        </is>
      </c>
      <c r="C383" t="inlineStr">
        <is>
          <t>D343</t>
        </is>
      </c>
      <c r="D383" t="inlineStr">
        <is>
          <t>10252010</t>
        </is>
      </c>
      <c r="E383" t="inlineStr"/>
      <c r="F383" s="11" t="n">
        <v>378.58</v>
      </c>
      <c r="G383" t="inlineStr"/>
      <c r="I383" t="inlineStr">
        <is>
          <t>TN</t>
        </is>
      </c>
      <c r="J383" t="inlineStr"/>
      <c r="K383" t="inlineStr">
        <is>
          <t>20250301</t>
        </is>
      </c>
      <c r="L383" t="inlineStr">
        <is>
          <t>20251031</t>
        </is>
      </c>
    </row>
    <row r="384">
      <c r="A384" t="inlineStr">
        <is>
          <t>900008643</t>
        </is>
      </c>
      <c r="B384" t="inlineStr">
        <is>
          <t>DW75</t>
        </is>
      </c>
      <c r="C384" t="inlineStr">
        <is>
          <t>D349</t>
        </is>
      </c>
      <c r="D384" t="inlineStr">
        <is>
          <t>10251252</t>
        </is>
      </c>
      <c r="E384" t="inlineStr"/>
      <c r="F384" s="11" t="n">
        <v>346.69</v>
      </c>
      <c r="G384" t="inlineStr"/>
      <c r="I384" t="inlineStr">
        <is>
          <t>TN</t>
        </is>
      </c>
      <c r="J384" t="inlineStr"/>
      <c r="K384" t="inlineStr">
        <is>
          <t>20250906</t>
        </is>
      </c>
      <c r="L384" t="inlineStr">
        <is>
          <t>20260215</t>
        </is>
      </c>
    </row>
    <row r="385">
      <c r="A385" t="inlineStr">
        <is>
          <t>900008643</t>
        </is>
      </c>
      <c r="B385" t="inlineStr">
        <is>
          <t>DW75</t>
        </is>
      </c>
      <c r="C385" t="inlineStr">
        <is>
          <t>D349</t>
        </is>
      </c>
      <c r="D385" t="inlineStr">
        <is>
          <t>10252010</t>
        </is>
      </c>
      <c r="E385" t="inlineStr"/>
      <c r="F385" s="11" t="n">
        <v>378.58</v>
      </c>
      <c r="G385" t="inlineStr"/>
      <c r="I385" t="inlineStr">
        <is>
          <t>TN</t>
        </is>
      </c>
      <c r="J385" t="inlineStr"/>
      <c r="K385" t="inlineStr">
        <is>
          <t>20240703</t>
        </is>
      </c>
      <c r="L385" t="inlineStr">
        <is>
          <t>20260215</t>
        </is>
      </c>
    </row>
    <row r="386">
      <c r="A386" t="inlineStr">
        <is>
          <t>900008644</t>
        </is>
      </c>
      <c r="B386" t="inlineStr">
        <is>
          <t>DW75</t>
        </is>
      </c>
      <c r="C386" t="inlineStr">
        <is>
          <t>D278</t>
        </is>
      </c>
      <c r="D386" t="inlineStr">
        <is>
          <t>10251252</t>
        </is>
      </c>
      <c r="E386" t="inlineStr"/>
      <c r="F386" s="11" t="n">
        <v>346.69</v>
      </c>
      <c r="G386" t="inlineStr"/>
      <c r="I386" t="inlineStr">
        <is>
          <t>TN</t>
        </is>
      </c>
      <c r="J386" t="inlineStr"/>
      <c r="K386" t="inlineStr">
        <is>
          <t>20250301</t>
        </is>
      </c>
      <c r="L386" t="inlineStr">
        <is>
          <t>20251031</t>
        </is>
      </c>
    </row>
    <row r="387">
      <c r="A387" t="inlineStr">
        <is>
          <t>900008644</t>
        </is>
      </c>
      <c r="B387" t="inlineStr">
        <is>
          <t>DW75</t>
        </is>
      </c>
      <c r="C387" t="inlineStr">
        <is>
          <t>D278</t>
        </is>
      </c>
      <c r="D387" t="inlineStr">
        <is>
          <t>10252010</t>
        </is>
      </c>
      <c r="E387" t="inlineStr"/>
      <c r="F387" s="11" t="n">
        <v>378.58</v>
      </c>
      <c r="G387" t="inlineStr"/>
      <c r="I387" t="inlineStr">
        <is>
          <t>TN</t>
        </is>
      </c>
      <c r="J387" t="inlineStr"/>
      <c r="K387" t="inlineStr">
        <is>
          <t>20250301</t>
        </is>
      </c>
      <c r="L387" t="inlineStr">
        <is>
          <t>20251031</t>
        </is>
      </c>
    </row>
    <row r="388">
      <c r="A388" t="inlineStr">
        <is>
          <t>900008644</t>
        </is>
      </c>
      <c r="B388" t="inlineStr">
        <is>
          <t>DW75</t>
        </is>
      </c>
      <c r="C388" t="inlineStr">
        <is>
          <t>D343</t>
        </is>
      </c>
      <c r="D388" t="inlineStr">
        <is>
          <t>10251252</t>
        </is>
      </c>
      <c r="E388" t="inlineStr"/>
      <c r="F388" s="11" t="n">
        <v>346.69</v>
      </c>
      <c r="G388" t="inlineStr"/>
      <c r="I388" t="inlineStr">
        <is>
          <t>TN</t>
        </is>
      </c>
      <c r="J388" t="inlineStr"/>
      <c r="K388" t="inlineStr">
        <is>
          <t>20250301</t>
        </is>
      </c>
      <c r="L388" t="inlineStr">
        <is>
          <t>20251031</t>
        </is>
      </c>
    </row>
    <row r="389">
      <c r="A389" t="inlineStr">
        <is>
          <t>900008644</t>
        </is>
      </c>
      <c r="B389" t="inlineStr">
        <is>
          <t>DW75</t>
        </is>
      </c>
      <c r="C389" t="inlineStr">
        <is>
          <t>D343</t>
        </is>
      </c>
      <c r="D389" t="inlineStr">
        <is>
          <t>10252010</t>
        </is>
      </c>
      <c r="E389" t="inlineStr"/>
      <c r="F389" s="11" t="n">
        <v>378.58</v>
      </c>
      <c r="G389" t="inlineStr"/>
      <c r="I389" t="inlineStr">
        <is>
          <t>TN</t>
        </is>
      </c>
      <c r="J389" t="inlineStr"/>
      <c r="K389" t="inlineStr">
        <is>
          <t>20250301</t>
        </is>
      </c>
      <c r="L389" t="inlineStr">
        <is>
          <t>20251031</t>
        </is>
      </c>
    </row>
    <row r="390">
      <c r="A390" t="inlineStr">
        <is>
          <t>900008644</t>
        </is>
      </c>
      <c r="B390" t="inlineStr">
        <is>
          <t>DW75</t>
        </is>
      </c>
      <c r="C390" t="inlineStr">
        <is>
          <t>D349</t>
        </is>
      </c>
      <c r="D390" t="inlineStr">
        <is>
          <t>10251252</t>
        </is>
      </c>
      <c r="E390" t="inlineStr"/>
      <c r="F390" s="11" t="n">
        <v>346.69</v>
      </c>
      <c r="G390" t="inlineStr"/>
      <c r="I390" t="inlineStr">
        <is>
          <t>TN</t>
        </is>
      </c>
      <c r="J390" t="inlineStr"/>
      <c r="K390" t="inlineStr">
        <is>
          <t>20250301</t>
        </is>
      </c>
      <c r="L390" t="inlineStr">
        <is>
          <t>20251031</t>
        </is>
      </c>
    </row>
    <row r="391">
      <c r="A391" t="inlineStr">
        <is>
          <t>900008644</t>
        </is>
      </c>
      <c r="B391" t="inlineStr">
        <is>
          <t>DW75</t>
        </is>
      </c>
      <c r="C391" t="inlineStr">
        <is>
          <t>D349</t>
        </is>
      </c>
      <c r="D391" t="inlineStr">
        <is>
          <t>10252010</t>
        </is>
      </c>
      <c r="E391" t="inlineStr"/>
      <c r="F391" s="11" t="n">
        <v>378.58</v>
      </c>
      <c r="G391" t="inlineStr"/>
      <c r="I391" t="inlineStr">
        <is>
          <t>TN</t>
        </is>
      </c>
      <c r="J391" t="inlineStr"/>
      <c r="K391" t="inlineStr">
        <is>
          <t>20250301</t>
        </is>
      </c>
      <c r="L391" t="inlineStr">
        <is>
          <t>20251031</t>
        </is>
      </c>
    </row>
    <row r="392">
      <c r="A392" t="inlineStr">
        <is>
          <t>900008644</t>
        </is>
      </c>
      <c r="B392" t="inlineStr">
        <is>
          <t>DW75</t>
        </is>
      </c>
      <c r="C392" t="inlineStr">
        <is>
          <t>ER00</t>
        </is>
      </c>
      <c r="D392" t="inlineStr">
        <is>
          <t>10251252</t>
        </is>
      </c>
      <c r="E392" t="inlineStr"/>
      <c r="F392" s="11" t="n">
        <v>384.07</v>
      </c>
      <c r="G392" t="inlineStr"/>
      <c r="I392" t="inlineStr">
        <is>
          <t>TN</t>
        </is>
      </c>
      <c r="J392" t="inlineStr"/>
      <c r="K392" t="inlineStr">
        <is>
          <t>20240401</t>
        </is>
      </c>
      <c r="L392" t="inlineStr">
        <is>
          <t>20240405</t>
        </is>
      </c>
    </row>
    <row r="393">
      <c r="A393" t="inlineStr">
        <is>
          <t>900008644</t>
        </is>
      </c>
      <c r="B393" t="inlineStr">
        <is>
          <t>DW75</t>
        </is>
      </c>
      <c r="C393" t="inlineStr">
        <is>
          <t>ER00</t>
        </is>
      </c>
      <c r="D393" t="inlineStr">
        <is>
          <t>10252010</t>
        </is>
      </c>
      <c r="E393" t="inlineStr"/>
      <c r="F393" s="11" t="n">
        <v>341.64</v>
      </c>
      <c r="G393" t="inlineStr"/>
      <c r="I393" t="inlineStr">
        <is>
          <t>TN</t>
        </is>
      </c>
      <c r="J393" t="inlineStr"/>
      <c r="K393" t="inlineStr">
        <is>
          <t>20240401</t>
        </is>
      </c>
      <c r="L393" t="inlineStr">
        <is>
          <t>20240405</t>
        </is>
      </c>
    </row>
    <row r="394">
      <c r="A394" t="inlineStr">
        <is>
          <t>900008652</t>
        </is>
      </c>
      <c r="B394" t="inlineStr">
        <is>
          <t>DW75</t>
        </is>
      </c>
      <c r="C394" t="inlineStr">
        <is>
          <t>D278</t>
        </is>
      </c>
      <c r="D394" t="inlineStr">
        <is>
          <t>10251252</t>
        </is>
      </c>
      <c r="E394" t="inlineStr"/>
      <c r="F394" s="11" t="n">
        <v>482.28</v>
      </c>
      <c r="G394" t="inlineStr"/>
      <c r="I394" t="inlineStr">
        <is>
          <t>TN</t>
        </is>
      </c>
      <c r="J394" t="inlineStr"/>
      <c r="K394" t="inlineStr">
        <is>
          <t>20250301</t>
        </is>
      </c>
      <c r="L394" t="inlineStr">
        <is>
          <t>20251031</t>
        </is>
      </c>
    </row>
    <row r="395">
      <c r="A395" t="inlineStr">
        <is>
          <t>900008652</t>
        </is>
      </c>
      <c r="B395" t="inlineStr">
        <is>
          <t>DW75</t>
        </is>
      </c>
      <c r="C395" t="inlineStr">
        <is>
          <t>D278</t>
        </is>
      </c>
      <c r="D395" t="inlineStr">
        <is>
          <t>10252010</t>
        </is>
      </c>
      <c r="E395" t="inlineStr"/>
      <c r="F395" s="11" t="n">
        <v>524.47</v>
      </c>
      <c r="G395" t="inlineStr"/>
      <c r="I395" t="inlineStr">
        <is>
          <t>TN</t>
        </is>
      </c>
      <c r="J395" t="inlineStr"/>
      <c r="K395" t="inlineStr">
        <is>
          <t>20250301</t>
        </is>
      </c>
      <c r="L395" t="inlineStr">
        <is>
          <t>20251031</t>
        </is>
      </c>
    </row>
    <row r="396">
      <c r="A396" t="inlineStr">
        <is>
          <t>900008652</t>
        </is>
      </c>
      <c r="B396" t="inlineStr">
        <is>
          <t>DW75</t>
        </is>
      </c>
      <c r="C396" t="inlineStr">
        <is>
          <t>D343</t>
        </is>
      </c>
      <c r="D396" t="inlineStr">
        <is>
          <t>10251252</t>
        </is>
      </c>
      <c r="E396" t="inlineStr"/>
      <c r="F396" s="11" t="n">
        <v>482.28</v>
      </c>
      <c r="G396" t="inlineStr"/>
      <c r="I396" t="inlineStr">
        <is>
          <t>TN</t>
        </is>
      </c>
      <c r="J396" t="inlineStr"/>
      <c r="K396" t="inlineStr">
        <is>
          <t>20250301</t>
        </is>
      </c>
      <c r="L396" t="inlineStr">
        <is>
          <t>20251031</t>
        </is>
      </c>
    </row>
    <row r="397">
      <c r="A397" t="inlineStr">
        <is>
          <t>900008652</t>
        </is>
      </c>
      <c r="B397" t="inlineStr">
        <is>
          <t>DW75</t>
        </is>
      </c>
      <c r="C397" t="inlineStr">
        <is>
          <t>D343</t>
        </is>
      </c>
      <c r="D397" t="inlineStr">
        <is>
          <t>10252010</t>
        </is>
      </c>
      <c r="E397" t="inlineStr"/>
      <c r="F397" s="11" t="n">
        <v>524.47</v>
      </c>
      <c r="G397" t="inlineStr"/>
      <c r="I397" t="inlineStr">
        <is>
          <t>TN</t>
        </is>
      </c>
      <c r="J397" t="inlineStr"/>
      <c r="K397" t="inlineStr">
        <is>
          <t>20250301</t>
        </is>
      </c>
      <c r="L397" t="inlineStr">
        <is>
          <t>20251031</t>
        </is>
      </c>
    </row>
    <row r="398">
      <c r="A398" t="inlineStr">
        <is>
          <t>900008652</t>
        </is>
      </c>
      <c r="B398" t="inlineStr">
        <is>
          <t>DW75</t>
        </is>
      </c>
      <c r="C398" t="inlineStr">
        <is>
          <t>D349</t>
        </is>
      </c>
      <c r="D398" t="inlineStr">
        <is>
          <t>10251252</t>
        </is>
      </c>
      <c r="E398" t="inlineStr"/>
      <c r="F398" s="11" t="n">
        <v>482.28</v>
      </c>
      <c r="G398" t="inlineStr"/>
      <c r="I398" t="inlineStr">
        <is>
          <t>TN</t>
        </is>
      </c>
      <c r="J398" t="inlineStr"/>
      <c r="K398" t="inlineStr">
        <is>
          <t>20250301</t>
        </is>
      </c>
      <c r="L398" t="inlineStr">
        <is>
          <t>20251031</t>
        </is>
      </c>
    </row>
    <row r="399">
      <c r="A399" t="inlineStr">
        <is>
          <t>900008652</t>
        </is>
      </c>
      <c r="B399" t="inlineStr">
        <is>
          <t>DW75</t>
        </is>
      </c>
      <c r="C399" t="inlineStr">
        <is>
          <t>D349</t>
        </is>
      </c>
      <c r="D399" t="inlineStr">
        <is>
          <t>10252010</t>
        </is>
      </c>
      <c r="E399" t="inlineStr"/>
      <c r="F399" s="11" t="n">
        <v>524.47</v>
      </c>
      <c r="G399" t="inlineStr"/>
      <c r="I399" t="inlineStr">
        <is>
          <t>TN</t>
        </is>
      </c>
      <c r="J399" t="inlineStr"/>
      <c r="K399" t="inlineStr">
        <is>
          <t>20250301</t>
        </is>
      </c>
      <c r="L399" t="inlineStr">
        <is>
          <t>20251031</t>
        </is>
      </c>
    </row>
    <row r="400">
      <c r="A400" t="inlineStr">
        <is>
          <t>900008654</t>
        </is>
      </c>
      <c r="B400" t="inlineStr">
        <is>
          <t>DW75</t>
        </is>
      </c>
      <c r="C400" t="inlineStr">
        <is>
          <t>D349</t>
        </is>
      </c>
      <c r="D400" t="inlineStr">
        <is>
          <t>10251250</t>
        </is>
      </c>
      <c r="E400" t="inlineStr"/>
      <c r="F400" s="11" t="n">
        <v>438.03</v>
      </c>
      <c r="G400" t="inlineStr"/>
      <c r="I400" t="inlineStr">
        <is>
          <t>TN</t>
        </is>
      </c>
      <c r="J400" t="inlineStr"/>
      <c r="K400" t="inlineStr">
        <is>
          <t>20250301</t>
        </is>
      </c>
      <c r="L400" t="inlineStr">
        <is>
          <t>20251031</t>
        </is>
      </c>
    </row>
    <row r="401">
      <c r="A401" t="inlineStr">
        <is>
          <t>900009313</t>
        </is>
      </c>
      <c r="B401" t="inlineStr">
        <is>
          <t>DW75</t>
        </is>
      </c>
      <c r="C401" t="inlineStr">
        <is>
          <t>D349</t>
        </is>
      </c>
      <c r="D401" t="inlineStr">
        <is>
          <t>10043601</t>
        </is>
      </c>
      <c r="E401" t="inlineStr"/>
      <c r="F401" s="11" t="n">
        <v>281.87</v>
      </c>
      <c r="G401" t="inlineStr"/>
      <c r="I401" t="inlineStr">
        <is>
          <t>TN</t>
        </is>
      </c>
      <c r="J401" t="inlineStr"/>
      <c r="K401" t="inlineStr">
        <is>
          <t>20250902</t>
        </is>
      </c>
      <c r="L401" t="inlineStr">
        <is>
          <t>20260215</t>
        </is>
      </c>
    </row>
    <row r="402">
      <c r="A402" t="inlineStr">
        <is>
          <t>900009317</t>
        </is>
      </c>
      <c r="B402" t="inlineStr">
        <is>
          <t>DW75</t>
        </is>
      </c>
      <c r="C402" t="inlineStr">
        <is>
          <t>EQ86</t>
        </is>
      </c>
      <c r="D402" t="inlineStr">
        <is>
          <t>10269225</t>
        </is>
      </c>
      <c r="E402" t="inlineStr"/>
      <c r="F402" s="11" t="n">
        <v>372.38</v>
      </c>
      <c r="G402" t="inlineStr"/>
      <c r="I402" t="inlineStr">
        <is>
          <t>TN</t>
        </is>
      </c>
      <c r="J402" t="inlineStr"/>
      <c r="K402" t="inlineStr">
        <is>
          <t>20260601</t>
        </is>
      </c>
      <c r="L402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900000023DW75D27810000742</t>
        </is>
      </c>
      <c r="B2" t="inlineStr">
        <is>
          <t>900000023</t>
        </is>
      </c>
      <c r="C2" t="inlineStr">
        <is>
          <t>DW75</t>
        </is>
      </c>
      <c r="D2" t="inlineStr">
        <is>
          <t>D278</t>
        </is>
      </c>
      <c r="E2" t="inlineStr">
        <is>
          <t>1</t>
        </is>
      </c>
      <c r="F2" t="inlineStr">
        <is>
          <t>10000742</t>
        </is>
      </c>
      <c r="H2" t="inlineStr"/>
      <c r="J2" t="n">
        <v>74.34999999999999</v>
      </c>
      <c r="K2" t="inlineStr"/>
      <c r="M2" t="inlineStr">
        <is>
          <t>TN</t>
        </is>
      </c>
      <c r="N2" t="inlineStr"/>
      <c r="P2" t="inlineStr">
        <is>
          <t>20220331</t>
        </is>
      </c>
      <c r="Q2" t="inlineStr">
        <is>
          <t>20240822</t>
        </is>
      </c>
    </row>
    <row r="3">
      <c r="A3" t="inlineStr">
        <is>
          <t>900000023DW75D27810009436</t>
        </is>
      </c>
      <c r="B3" t="inlineStr">
        <is>
          <t>900000023</t>
        </is>
      </c>
      <c r="C3" t="inlineStr">
        <is>
          <t>DW75</t>
        </is>
      </c>
      <c r="D3" t="inlineStr">
        <is>
          <t>D278</t>
        </is>
      </c>
      <c r="E3" t="inlineStr">
        <is>
          <t>1</t>
        </is>
      </c>
      <c r="F3" t="inlineStr">
        <is>
          <t>10009436</t>
        </is>
      </c>
      <c r="H3" t="inlineStr"/>
      <c r="J3" t="n">
        <v>79.5</v>
      </c>
      <c r="K3" t="inlineStr"/>
      <c r="M3" t="inlineStr">
        <is>
          <t>TN</t>
        </is>
      </c>
      <c r="N3" t="inlineStr"/>
      <c r="P3" t="inlineStr">
        <is>
          <t>20220331</t>
        </is>
      </c>
      <c r="Q3" t="inlineStr">
        <is>
          <t>20240822</t>
        </is>
      </c>
    </row>
    <row r="4">
      <c r="A4" t="inlineStr">
        <is>
          <t>900000023DW75D27810031878</t>
        </is>
      </c>
      <c r="B4" t="inlineStr">
        <is>
          <t>900000023</t>
        </is>
      </c>
      <c r="C4" t="inlineStr">
        <is>
          <t>DW75</t>
        </is>
      </c>
      <c r="D4" t="inlineStr">
        <is>
          <t>D278</t>
        </is>
      </c>
      <c r="E4" t="inlineStr">
        <is>
          <t>1</t>
        </is>
      </c>
      <c r="F4" t="inlineStr">
        <is>
          <t>10031878</t>
        </is>
      </c>
      <c r="H4" t="inlineStr"/>
      <c r="J4" t="n">
        <v>91.69</v>
      </c>
      <c r="K4" t="inlineStr"/>
      <c r="M4" t="inlineStr">
        <is>
          <t>TN</t>
        </is>
      </c>
      <c r="N4" t="inlineStr"/>
      <c r="P4" t="inlineStr">
        <is>
          <t>20220331</t>
        </is>
      </c>
      <c r="Q4" t="inlineStr">
        <is>
          <t>20240822</t>
        </is>
      </c>
    </row>
    <row r="5">
      <c r="A5" t="inlineStr">
        <is>
          <t>900000023DW75D27810032115</t>
        </is>
      </c>
      <c r="B5" t="inlineStr">
        <is>
          <t>900000023</t>
        </is>
      </c>
      <c r="C5" t="inlineStr">
        <is>
          <t>DW75</t>
        </is>
      </c>
      <c r="D5" t="inlineStr">
        <is>
          <t>D278</t>
        </is>
      </c>
      <c r="E5" t="inlineStr">
        <is>
          <t>1</t>
        </is>
      </c>
      <c r="F5" t="inlineStr">
        <is>
          <t>10032115</t>
        </is>
      </c>
      <c r="H5" t="inlineStr"/>
      <c r="J5" t="n">
        <v>87.76000000000001</v>
      </c>
      <c r="K5" t="inlineStr"/>
      <c r="M5" t="inlineStr">
        <is>
          <t>TN</t>
        </is>
      </c>
      <c r="N5" t="inlineStr"/>
      <c r="P5" t="inlineStr">
        <is>
          <t>20220331</t>
        </is>
      </c>
      <c r="Q5" t="inlineStr">
        <is>
          <t>20240822</t>
        </is>
      </c>
    </row>
    <row r="6">
      <c r="A6" t="inlineStr">
        <is>
          <t>900000023DW75D27810032164</t>
        </is>
      </c>
      <c r="B6" t="inlineStr">
        <is>
          <t>900000023</t>
        </is>
      </c>
      <c r="C6" t="inlineStr">
        <is>
          <t>DW75</t>
        </is>
      </c>
      <c r="D6" t="inlineStr">
        <is>
          <t>D278</t>
        </is>
      </c>
      <c r="E6" t="inlineStr">
        <is>
          <t>1</t>
        </is>
      </c>
      <c r="F6" t="inlineStr">
        <is>
          <t>10032164</t>
        </is>
      </c>
      <c r="H6" t="inlineStr"/>
      <c r="J6" t="n">
        <v>87.45</v>
      </c>
      <c r="K6" t="inlineStr"/>
      <c r="M6" t="inlineStr">
        <is>
          <t>TN</t>
        </is>
      </c>
      <c r="N6" t="inlineStr"/>
      <c r="P6" t="inlineStr">
        <is>
          <t>20220331</t>
        </is>
      </c>
      <c r="Q6" t="inlineStr">
        <is>
          <t>20240822</t>
        </is>
      </c>
    </row>
    <row r="7">
      <c r="A7" t="inlineStr">
        <is>
          <t>900000023DW75D27810036583</t>
        </is>
      </c>
      <c r="B7" t="inlineStr">
        <is>
          <t>900000023</t>
        </is>
      </c>
      <c r="C7" t="inlineStr">
        <is>
          <t>DW75</t>
        </is>
      </c>
      <c r="D7" t="inlineStr">
        <is>
          <t>D278</t>
        </is>
      </c>
      <c r="E7" t="inlineStr">
        <is>
          <t>1</t>
        </is>
      </c>
      <c r="F7" t="inlineStr">
        <is>
          <t>10036583</t>
        </is>
      </c>
      <c r="H7" t="inlineStr"/>
      <c r="J7" t="n">
        <v>89.44</v>
      </c>
      <c r="K7" t="inlineStr"/>
      <c r="M7" t="inlineStr">
        <is>
          <t>TN</t>
        </is>
      </c>
      <c r="N7" t="inlineStr"/>
      <c r="P7" t="inlineStr">
        <is>
          <t>20220331</t>
        </is>
      </c>
      <c r="Q7" t="inlineStr">
        <is>
          <t>20240822</t>
        </is>
      </c>
    </row>
    <row r="8">
      <c r="A8" t="inlineStr">
        <is>
          <t>900000023DW75D31210000742</t>
        </is>
      </c>
      <c r="B8" t="inlineStr">
        <is>
          <t>900000023</t>
        </is>
      </c>
      <c r="C8" t="inlineStr">
        <is>
          <t>DW75</t>
        </is>
      </c>
      <c r="D8" t="inlineStr">
        <is>
          <t>D312</t>
        </is>
      </c>
      <c r="E8" t="inlineStr">
        <is>
          <t>1</t>
        </is>
      </c>
      <c r="F8" t="inlineStr">
        <is>
          <t>10000742</t>
        </is>
      </c>
      <c r="H8" t="inlineStr"/>
      <c r="J8" t="n">
        <v>76.97</v>
      </c>
      <c r="K8" t="inlineStr"/>
      <c r="M8" t="inlineStr">
        <is>
          <t>TN</t>
        </is>
      </c>
      <c r="N8" t="inlineStr"/>
      <c r="P8" t="inlineStr">
        <is>
          <t>20220331</t>
        </is>
      </c>
      <c r="Q8" t="inlineStr">
        <is>
          <t>20240822</t>
        </is>
      </c>
    </row>
    <row r="9">
      <c r="A9" t="inlineStr">
        <is>
          <t>900000023DW75D31210009436</t>
        </is>
      </c>
      <c r="B9" t="inlineStr">
        <is>
          <t>900000023</t>
        </is>
      </c>
      <c r="C9" t="inlineStr">
        <is>
          <t>DW75</t>
        </is>
      </c>
      <c r="D9" t="inlineStr">
        <is>
          <t>D312</t>
        </is>
      </c>
      <c r="E9" t="inlineStr">
        <is>
          <t>1</t>
        </is>
      </c>
      <c r="F9" t="inlineStr">
        <is>
          <t>10009436</t>
        </is>
      </c>
      <c r="H9" t="inlineStr"/>
      <c r="J9" t="n">
        <v>82.3</v>
      </c>
      <c r="K9" t="inlineStr"/>
      <c r="M9" t="inlineStr">
        <is>
          <t>TN</t>
        </is>
      </c>
      <c r="N9" t="inlineStr"/>
      <c r="P9" t="inlineStr">
        <is>
          <t>20220331</t>
        </is>
      </c>
      <c r="Q9" t="inlineStr">
        <is>
          <t>20240822</t>
        </is>
      </c>
    </row>
    <row r="10">
      <c r="A10" t="inlineStr">
        <is>
          <t>900000023DW75D31210031878</t>
        </is>
      </c>
      <c r="B10" t="inlineStr">
        <is>
          <t>900000023</t>
        </is>
      </c>
      <c r="C10" t="inlineStr">
        <is>
          <t>DW75</t>
        </is>
      </c>
      <c r="D10" t="inlineStr">
        <is>
          <t>D312</t>
        </is>
      </c>
      <c r="E10" t="inlineStr">
        <is>
          <t>1</t>
        </is>
      </c>
      <c r="F10" t="inlineStr">
        <is>
          <t>10031878</t>
        </is>
      </c>
      <c r="H10" t="inlineStr"/>
      <c r="J10" t="n">
        <v>94.92</v>
      </c>
      <c r="K10" t="inlineStr"/>
      <c r="M10" t="inlineStr">
        <is>
          <t>TN</t>
        </is>
      </c>
      <c r="N10" t="inlineStr"/>
      <c r="P10" t="inlineStr">
        <is>
          <t>20220331</t>
        </is>
      </c>
      <c r="Q10" t="inlineStr">
        <is>
          <t>20240822</t>
        </is>
      </c>
    </row>
    <row r="11">
      <c r="A11" t="inlineStr">
        <is>
          <t>900000023DW75D31210032115</t>
        </is>
      </c>
      <c r="B11" t="inlineStr">
        <is>
          <t>900000023</t>
        </is>
      </c>
      <c r="C11" t="inlineStr">
        <is>
          <t>DW75</t>
        </is>
      </c>
      <c r="D11" t="inlineStr">
        <is>
          <t>D312</t>
        </is>
      </c>
      <c r="E11" t="inlineStr">
        <is>
          <t>1</t>
        </is>
      </c>
      <c r="F11" t="inlineStr">
        <is>
          <t>10032115</t>
        </is>
      </c>
      <c r="H11" t="inlineStr"/>
      <c r="J11" t="n">
        <v>90.84</v>
      </c>
      <c r="K11" t="inlineStr"/>
      <c r="M11" t="inlineStr">
        <is>
          <t>TN</t>
        </is>
      </c>
      <c r="N11" t="inlineStr"/>
      <c r="P11" t="inlineStr">
        <is>
          <t>20220331</t>
        </is>
      </c>
      <c r="Q11" t="inlineStr">
        <is>
          <t>20240822</t>
        </is>
      </c>
    </row>
    <row r="12">
      <c r="A12" t="inlineStr">
        <is>
          <t>900000023DW75D31210032164</t>
        </is>
      </c>
      <c r="B12" t="inlineStr">
        <is>
          <t>900000023</t>
        </is>
      </c>
      <c r="C12" t="inlineStr">
        <is>
          <t>DW75</t>
        </is>
      </c>
      <c r="D12" t="inlineStr">
        <is>
          <t>D312</t>
        </is>
      </c>
      <c r="E12" t="inlineStr">
        <is>
          <t>1</t>
        </is>
      </c>
      <c r="F12" t="inlineStr">
        <is>
          <t>10032164</t>
        </is>
      </c>
      <c r="H12" t="inlineStr"/>
      <c r="J12" t="n">
        <v>90.53</v>
      </c>
      <c r="K12" t="inlineStr"/>
      <c r="M12" t="inlineStr">
        <is>
          <t>TN</t>
        </is>
      </c>
      <c r="N12" t="inlineStr"/>
      <c r="P12" t="inlineStr">
        <is>
          <t>20220331</t>
        </is>
      </c>
      <c r="Q12" t="inlineStr">
        <is>
          <t>20240822</t>
        </is>
      </c>
    </row>
    <row r="13">
      <c r="A13" t="inlineStr">
        <is>
          <t>900000023DW75D31210036583</t>
        </is>
      </c>
      <c r="B13" t="inlineStr">
        <is>
          <t>900000023</t>
        </is>
      </c>
      <c r="C13" t="inlineStr">
        <is>
          <t>DW75</t>
        </is>
      </c>
      <c r="D13" t="inlineStr">
        <is>
          <t>D312</t>
        </is>
      </c>
      <c r="E13" t="inlineStr">
        <is>
          <t>1</t>
        </is>
      </c>
      <c r="F13" t="inlineStr">
        <is>
          <t>10036583</t>
        </is>
      </c>
      <c r="H13" t="inlineStr"/>
      <c r="J13" t="n">
        <v>92.59</v>
      </c>
      <c r="K13" t="inlineStr"/>
      <c r="M13" t="inlineStr">
        <is>
          <t>TN</t>
        </is>
      </c>
      <c r="N13" t="inlineStr"/>
      <c r="P13" t="inlineStr">
        <is>
          <t>20220331</t>
        </is>
      </c>
      <c r="Q13" t="inlineStr">
        <is>
          <t>20240822</t>
        </is>
      </c>
    </row>
    <row r="14">
      <c r="A14" t="inlineStr">
        <is>
          <t>900000023DW75D32710000742</t>
        </is>
      </c>
      <c r="B14" t="inlineStr">
        <is>
          <t>900000023</t>
        </is>
      </c>
      <c r="C14" t="inlineStr">
        <is>
          <t>DW75</t>
        </is>
      </c>
      <c r="D14" t="inlineStr">
        <is>
          <t>D327</t>
        </is>
      </c>
      <c r="E14" t="inlineStr">
        <is>
          <t>1</t>
        </is>
      </c>
      <c r="F14" t="inlineStr">
        <is>
          <t>10000742</t>
        </is>
      </c>
      <c r="H14" t="inlineStr"/>
      <c r="J14" t="n">
        <v>84.44</v>
      </c>
      <c r="K14" t="inlineStr"/>
      <c r="M14" t="inlineStr">
        <is>
          <t>TN</t>
        </is>
      </c>
      <c r="N14" t="inlineStr"/>
      <c r="P14" t="inlineStr">
        <is>
          <t>20220331</t>
        </is>
      </c>
      <c r="Q14" t="inlineStr">
        <is>
          <t>20240822</t>
        </is>
      </c>
    </row>
    <row r="15">
      <c r="A15" t="inlineStr">
        <is>
          <t>900000023DW75D32710009436</t>
        </is>
      </c>
      <c r="B15" t="inlineStr">
        <is>
          <t>900000023</t>
        </is>
      </c>
      <c r="C15" t="inlineStr">
        <is>
          <t>DW75</t>
        </is>
      </c>
      <c r="D15" t="inlineStr">
        <is>
          <t>D327</t>
        </is>
      </c>
      <c r="E15" t="inlineStr">
        <is>
          <t>1</t>
        </is>
      </c>
      <c r="F15" t="inlineStr">
        <is>
          <t>10009436</t>
        </is>
      </c>
      <c r="H15" t="inlineStr"/>
      <c r="J15" t="n">
        <v>90.29000000000001</v>
      </c>
      <c r="K15" t="inlineStr"/>
      <c r="M15" t="inlineStr">
        <is>
          <t>TN</t>
        </is>
      </c>
      <c r="N15" t="inlineStr"/>
      <c r="P15" t="inlineStr">
        <is>
          <t>20220331</t>
        </is>
      </c>
      <c r="Q15" t="inlineStr">
        <is>
          <t>20240822</t>
        </is>
      </c>
    </row>
    <row r="16">
      <c r="A16" t="inlineStr">
        <is>
          <t>900000023DW75D32710031878</t>
        </is>
      </c>
      <c r="B16" t="inlineStr">
        <is>
          <t>900000023</t>
        </is>
      </c>
      <c r="C16" t="inlineStr">
        <is>
          <t>DW75</t>
        </is>
      </c>
      <c r="D16" t="inlineStr">
        <is>
          <t>D327</t>
        </is>
      </c>
      <c r="E16" t="inlineStr">
        <is>
          <t>1</t>
        </is>
      </c>
      <c r="F16" t="inlineStr">
        <is>
          <t>10031878</t>
        </is>
      </c>
      <c r="H16" t="inlineStr"/>
      <c r="J16" t="n">
        <v>104.13</v>
      </c>
      <c r="K16" t="inlineStr"/>
      <c r="M16" t="inlineStr">
        <is>
          <t>TN</t>
        </is>
      </c>
      <c r="N16" t="inlineStr"/>
      <c r="P16" t="inlineStr">
        <is>
          <t>20220331</t>
        </is>
      </c>
      <c r="Q16" t="inlineStr">
        <is>
          <t>20240822</t>
        </is>
      </c>
    </row>
    <row r="17">
      <c r="A17" t="inlineStr">
        <is>
          <t>900000023DW75D32710032115</t>
        </is>
      </c>
      <c r="B17" t="inlineStr">
        <is>
          <t>900000023</t>
        </is>
      </c>
      <c r="C17" t="inlineStr">
        <is>
          <t>DW75</t>
        </is>
      </c>
      <c r="D17" t="inlineStr">
        <is>
          <t>D327</t>
        </is>
      </c>
      <c r="E17" t="inlineStr">
        <is>
          <t>1</t>
        </is>
      </c>
      <c r="F17" t="inlineStr">
        <is>
          <t>10032115</t>
        </is>
      </c>
      <c r="H17" t="inlineStr"/>
      <c r="J17" t="n">
        <v>99.66</v>
      </c>
      <c r="K17" t="inlineStr"/>
      <c r="M17" t="inlineStr">
        <is>
          <t>TN</t>
        </is>
      </c>
      <c r="N17" t="inlineStr"/>
      <c r="P17" t="inlineStr">
        <is>
          <t>20220331</t>
        </is>
      </c>
      <c r="Q17" t="inlineStr">
        <is>
          <t>20240822</t>
        </is>
      </c>
    </row>
    <row r="18">
      <c r="A18" t="inlineStr">
        <is>
          <t>900000023DW75D32710032164</t>
        </is>
      </c>
      <c r="B18" t="inlineStr">
        <is>
          <t>900000023</t>
        </is>
      </c>
      <c r="C18" t="inlineStr">
        <is>
          <t>DW75</t>
        </is>
      </c>
      <c r="D18" t="inlineStr">
        <is>
          <t>D327</t>
        </is>
      </c>
      <c r="E18" t="inlineStr">
        <is>
          <t>1</t>
        </is>
      </c>
      <c r="F18" t="inlineStr">
        <is>
          <t>10032164</t>
        </is>
      </c>
      <c r="H18" t="inlineStr"/>
      <c r="J18" t="n">
        <v>99.31999999999999</v>
      </c>
      <c r="K18" t="inlineStr"/>
      <c r="M18" t="inlineStr">
        <is>
          <t>TN</t>
        </is>
      </c>
      <c r="N18" t="inlineStr"/>
      <c r="P18" t="inlineStr">
        <is>
          <t>20220331</t>
        </is>
      </c>
      <c r="Q18" t="inlineStr">
        <is>
          <t>20240822</t>
        </is>
      </c>
    </row>
    <row r="19">
      <c r="A19" t="inlineStr">
        <is>
          <t>900000023DW75D32710036583</t>
        </is>
      </c>
      <c r="B19" t="inlineStr">
        <is>
          <t>900000023</t>
        </is>
      </c>
      <c r="C19" t="inlineStr">
        <is>
          <t>DW75</t>
        </is>
      </c>
      <c r="D19" t="inlineStr">
        <is>
          <t>D327</t>
        </is>
      </c>
      <c r="E19" t="inlineStr">
        <is>
          <t>1</t>
        </is>
      </c>
      <c r="F19" t="inlineStr">
        <is>
          <t>10036583</t>
        </is>
      </c>
      <c r="H19" t="inlineStr"/>
      <c r="J19" t="n">
        <v>101.58</v>
      </c>
      <c r="K19" t="inlineStr"/>
      <c r="M19" t="inlineStr">
        <is>
          <t>TN</t>
        </is>
      </c>
      <c r="N19" t="inlineStr"/>
      <c r="P19" t="inlineStr">
        <is>
          <t>20220331</t>
        </is>
      </c>
      <c r="Q19" t="inlineStr">
        <is>
          <t>20240822</t>
        </is>
      </c>
    </row>
    <row r="20">
      <c r="A20" t="inlineStr">
        <is>
          <t>900000023DW75D33110000742</t>
        </is>
      </c>
      <c r="B20" t="inlineStr">
        <is>
          <t>900000023</t>
        </is>
      </c>
      <c r="C20" t="inlineStr">
        <is>
          <t>DW75</t>
        </is>
      </c>
      <c r="D20" t="inlineStr">
        <is>
          <t>D331</t>
        </is>
      </c>
      <c r="E20" t="inlineStr">
        <is>
          <t>1</t>
        </is>
      </c>
      <c r="F20" t="inlineStr">
        <is>
          <t>10000742</t>
        </is>
      </c>
      <c r="H20" t="inlineStr"/>
      <c r="J20" t="n">
        <v>70.7</v>
      </c>
      <c r="K20" t="inlineStr"/>
      <c r="M20" t="inlineStr">
        <is>
          <t>TN</t>
        </is>
      </c>
      <c r="N20" t="inlineStr"/>
      <c r="P20" t="inlineStr">
        <is>
          <t>20220331</t>
        </is>
      </c>
      <c r="Q20" t="inlineStr">
        <is>
          <t>20240822</t>
        </is>
      </c>
    </row>
    <row r="21">
      <c r="A21" t="inlineStr">
        <is>
          <t>900000023DW75D33110009436</t>
        </is>
      </c>
      <c r="B21" t="inlineStr">
        <is>
          <t>900000023</t>
        </is>
      </c>
      <c r="C21" t="inlineStr">
        <is>
          <t>DW75</t>
        </is>
      </c>
      <c r="D21" t="inlineStr">
        <is>
          <t>D331</t>
        </is>
      </c>
      <c r="E21" t="inlineStr">
        <is>
          <t>1</t>
        </is>
      </c>
      <c r="F21" t="inlineStr">
        <is>
          <t>10009436</t>
        </is>
      </c>
      <c r="H21" t="inlineStr"/>
      <c r="J21" t="n">
        <v>75.59999999999999</v>
      </c>
      <c r="K21" t="inlineStr"/>
      <c r="M21" t="inlineStr">
        <is>
          <t>TN</t>
        </is>
      </c>
      <c r="N21" t="inlineStr"/>
      <c r="P21" t="inlineStr">
        <is>
          <t>20220331</t>
        </is>
      </c>
      <c r="Q21" t="inlineStr">
        <is>
          <t>20240822</t>
        </is>
      </c>
    </row>
    <row r="22">
      <c r="A22" t="inlineStr">
        <is>
          <t>900000023DW75D33110031878</t>
        </is>
      </c>
      <c r="B22" t="inlineStr">
        <is>
          <t>900000023</t>
        </is>
      </c>
      <c r="C22" t="inlineStr">
        <is>
          <t>DW75</t>
        </is>
      </c>
      <c r="D22" t="inlineStr">
        <is>
          <t>D331</t>
        </is>
      </c>
      <c r="E22" t="inlineStr">
        <is>
          <t>1</t>
        </is>
      </c>
      <c r="F22" t="inlineStr">
        <is>
          <t>10031878</t>
        </is>
      </c>
      <c r="H22" t="inlineStr"/>
      <c r="J22" t="n">
        <v>87.19</v>
      </c>
      <c r="K22" t="inlineStr"/>
      <c r="M22" t="inlineStr">
        <is>
          <t>TN</t>
        </is>
      </c>
      <c r="N22" t="inlineStr"/>
      <c r="P22" t="inlineStr">
        <is>
          <t>20220331</t>
        </is>
      </c>
      <c r="Q22" t="inlineStr">
        <is>
          <t>20240822</t>
        </is>
      </c>
    </row>
    <row r="23">
      <c r="A23" t="inlineStr">
        <is>
          <t>900000023DW75D33110032115</t>
        </is>
      </c>
      <c r="B23" t="inlineStr">
        <is>
          <t>900000023</t>
        </is>
      </c>
      <c r="C23" t="inlineStr">
        <is>
          <t>DW75</t>
        </is>
      </c>
      <c r="D23" t="inlineStr">
        <is>
          <t>D331</t>
        </is>
      </c>
      <c r="E23" t="inlineStr">
        <is>
          <t>1</t>
        </is>
      </c>
      <c r="F23" t="inlineStr">
        <is>
          <t>10032115</t>
        </is>
      </c>
      <c r="H23" t="inlineStr"/>
      <c r="J23" t="n">
        <v>83.45</v>
      </c>
      <c r="K23" t="inlineStr"/>
      <c r="M23" t="inlineStr">
        <is>
          <t>TN</t>
        </is>
      </c>
      <c r="N23" t="inlineStr"/>
      <c r="P23" t="inlineStr">
        <is>
          <t>20220331</t>
        </is>
      </c>
      <c r="Q23" t="inlineStr">
        <is>
          <t>20240822</t>
        </is>
      </c>
    </row>
    <row r="24">
      <c r="A24" t="inlineStr">
        <is>
          <t>900000023DW75D33110032164</t>
        </is>
      </c>
      <c r="B24" t="inlineStr">
        <is>
          <t>900000023</t>
        </is>
      </c>
      <c r="C24" t="inlineStr">
        <is>
          <t>DW75</t>
        </is>
      </c>
      <c r="D24" t="inlineStr">
        <is>
          <t>D331</t>
        </is>
      </c>
      <c r="E24" t="inlineStr">
        <is>
          <t>1</t>
        </is>
      </c>
      <c r="F24" t="inlineStr">
        <is>
          <t>10032164</t>
        </is>
      </c>
      <c r="H24" t="inlineStr"/>
      <c r="J24" t="n">
        <v>83.16</v>
      </c>
      <c r="K24" t="inlineStr"/>
      <c r="M24" t="inlineStr">
        <is>
          <t>TN</t>
        </is>
      </c>
      <c r="N24" t="inlineStr"/>
      <c r="P24" t="inlineStr">
        <is>
          <t>20220331</t>
        </is>
      </c>
      <c r="Q24" t="inlineStr">
        <is>
          <t>20240822</t>
        </is>
      </c>
    </row>
    <row r="25">
      <c r="A25" t="inlineStr">
        <is>
          <t>900000023DW75D33110036583</t>
        </is>
      </c>
      <c r="B25" t="inlineStr">
        <is>
          <t>900000023</t>
        </is>
      </c>
      <c r="C25" t="inlineStr">
        <is>
          <t>DW75</t>
        </is>
      </c>
      <c r="D25" t="inlineStr">
        <is>
          <t>D331</t>
        </is>
      </c>
      <c r="E25" t="inlineStr">
        <is>
          <t>1</t>
        </is>
      </c>
      <c r="F25" t="inlineStr">
        <is>
          <t>10036583</t>
        </is>
      </c>
      <c r="H25" t="inlineStr"/>
      <c r="J25" t="n">
        <v>85.05</v>
      </c>
      <c r="K25" t="inlineStr"/>
      <c r="M25" t="inlineStr">
        <is>
          <t>TN</t>
        </is>
      </c>
      <c r="N25" t="inlineStr"/>
      <c r="P25" t="inlineStr">
        <is>
          <t>20220331</t>
        </is>
      </c>
      <c r="Q25" t="inlineStr">
        <is>
          <t>20240822</t>
        </is>
      </c>
    </row>
    <row r="26">
      <c r="A26" t="inlineStr">
        <is>
          <t>900000023DW75D34310000742</t>
        </is>
      </c>
      <c r="B26" t="inlineStr">
        <is>
          <t>900000023</t>
        </is>
      </c>
      <c r="C26" t="inlineStr">
        <is>
          <t>DW75</t>
        </is>
      </c>
      <c r="D26" t="inlineStr">
        <is>
          <t>D343</t>
        </is>
      </c>
      <c r="E26" t="inlineStr">
        <is>
          <t>1</t>
        </is>
      </c>
      <c r="F26" t="inlineStr">
        <is>
          <t>10000742</t>
        </is>
      </c>
      <c r="H26" t="inlineStr"/>
      <c r="J26" t="n">
        <v>92.12</v>
      </c>
      <c r="K26" t="inlineStr"/>
      <c r="M26" t="inlineStr">
        <is>
          <t>TN</t>
        </is>
      </c>
      <c r="N26" t="inlineStr"/>
      <c r="P26" t="inlineStr">
        <is>
          <t>20220331</t>
        </is>
      </c>
      <c r="Q26" t="inlineStr">
        <is>
          <t>20240822</t>
        </is>
      </c>
    </row>
    <row r="27">
      <c r="A27" t="inlineStr">
        <is>
          <t>900000023DW75D34310009436</t>
        </is>
      </c>
      <c r="B27" t="inlineStr">
        <is>
          <t>900000023</t>
        </is>
      </c>
      <c r="C27" t="inlineStr">
        <is>
          <t>DW75</t>
        </is>
      </c>
      <c r="D27" t="inlineStr">
        <is>
          <t>D343</t>
        </is>
      </c>
      <c r="E27" t="inlineStr">
        <is>
          <t>1</t>
        </is>
      </c>
      <c r="F27" t="inlineStr">
        <is>
          <t>10009436</t>
        </is>
      </c>
      <c r="H27" t="inlineStr"/>
      <c r="J27" t="n">
        <v>98.5</v>
      </c>
      <c r="K27" t="inlineStr"/>
      <c r="M27" t="inlineStr">
        <is>
          <t>TN</t>
        </is>
      </c>
      <c r="N27" t="inlineStr"/>
      <c r="P27" t="inlineStr">
        <is>
          <t>20220331</t>
        </is>
      </c>
      <c r="Q27" t="inlineStr">
        <is>
          <t>20240822</t>
        </is>
      </c>
    </row>
    <row r="28">
      <c r="A28" t="inlineStr">
        <is>
          <t>900000023DW75D34310031878</t>
        </is>
      </c>
      <c r="B28" t="inlineStr">
        <is>
          <t>900000023</t>
        </is>
      </c>
      <c r="C28" t="inlineStr">
        <is>
          <t>DW75</t>
        </is>
      </c>
      <c r="D28" t="inlineStr">
        <is>
          <t>D343</t>
        </is>
      </c>
      <c r="E28" t="inlineStr">
        <is>
          <t>1</t>
        </is>
      </c>
      <c r="F28" t="inlineStr">
        <is>
          <t>10031878</t>
        </is>
      </c>
      <c r="H28" t="inlineStr"/>
      <c r="J28" t="n">
        <v>113.6</v>
      </c>
      <c r="K28" t="inlineStr"/>
      <c r="M28" t="inlineStr">
        <is>
          <t>TN</t>
        </is>
      </c>
      <c r="N28" t="inlineStr"/>
      <c r="P28" t="inlineStr">
        <is>
          <t>20220331</t>
        </is>
      </c>
      <c r="Q28" t="inlineStr">
        <is>
          <t>20240822</t>
        </is>
      </c>
    </row>
    <row r="29">
      <c r="A29" t="inlineStr">
        <is>
          <t>900000023DW75D34310032115</t>
        </is>
      </c>
      <c r="B29" t="inlineStr">
        <is>
          <t>900000023</t>
        </is>
      </c>
      <c r="C29" t="inlineStr">
        <is>
          <t>DW75</t>
        </is>
      </c>
      <c r="D29" t="inlineStr">
        <is>
          <t>D343</t>
        </is>
      </c>
      <c r="E29" t="inlineStr">
        <is>
          <t>1</t>
        </is>
      </c>
      <c r="F29" t="inlineStr">
        <is>
          <t>10032115</t>
        </is>
      </c>
      <c r="H29" t="inlineStr"/>
      <c r="J29" t="n">
        <v>108.73</v>
      </c>
      <c r="K29" t="inlineStr"/>
      <c r="M29" t="inlineStr">
        <is>
          <t>TN</t>
        </is>
      </c>
      <c r="N29" t="inlineStr"/>
      <c r="P29" t="inlineStr">
        <is>
          <t>20220331</t>
        </is>
      </c>
      <c r="Q29" t="inlineStr">
        <is>
          <t>20240822</t>
        </is>
      </c>
    </row>
    <row r="30">
      <c r="A30" t="inlineStr">
        <is>
          <t>900000023DW75D34310032164</t>
        </is>
      </c>
      <c r="B30" t="inlineStr">
        <is>
          <t>900000023</t>
        </is>
      </c>
      <c r="C30" t="inlineStr">
        <is>
          <t>DW75</t>
        </is>
      </c>
      <c r="D30" t="inlineStr">
        <is>
          <t>D343</t>
        </is>
      </c>
      <c r="E30" t="inlineStr">
        <is>
          <t>1</t>
        </is>
      </c>
      <c r="F30" t="inlineStr">
        <is>
          <t>10032164</t>
        </is>
      </c>
      <c r="H30" t="inlineStr"/>
      <c r="J30" t="n">
        <v>108.35</v>
      </c>
      <c r="K30" t="inlineStr"/>
      <c r="M30" t="inlineStr">
        <is>
          <t>TN</t>
        </is>
      </c>
      <c r="N30" t="inlineStr"/>
      <c r="P30" t="inlineStr">
        <is>
          <t>20220331</t>
        </is>
      </c>
      <c r="Q30" t="inlineStr">
        <is>
          <t>20240822</t>
        </is>
      </c>
    </row>
    <row r="31">
      <c r="A31" t="inlineStr">
        <is>
          <t>900000023DW75D34310036583</t>
        </is>
      </c>
      <c r="B31" t="inlineStr">
        <is>
          <t>900000023</t>
        </is>
      </c>
      <c r="C31" t="inlineStr">
        <is>
          <t>DW75</t>
        </is>
      </c>
      <c r="D31" t="inlineStr">
        <is>
          <t>D343</t>
        </is>
      </c>
      <c r="E31" t="inlineStr">
        <is>
          <t>1</t>
        </is>
      </c>
      <c r="F31" t="inlineStr">
        <is>
          <t>10036583</t>
        </is>
      </c>
      <c r="H31" t="inlineStr"/>
      <c r="J31" t="n">
        <v>110.82</v>
      </c>
      <c r="K31" t="inlineStr"/>
      <c r="M31" t="inlineStr">
        <is>
          <t>TN</t>
        </is>
      </c>
      <c r="N31" t="inlineStr"/>
      <c r="P31" t="inlineStr">
        <is>
          <t>20220331</t>
        </is>
      </c>
      <c r="Q31" t="inlineStr">
        <is>
          <t>20240822</t>
        </is>
      </c>
    </row>
    <row r="32">
      <c r="A32" t="inlineStr">
        <is>
          <t>900000023DW75D34910000742</t>
        </is>
      </c>
      <c r="B32" t="inlineStr">
        <is>
          <t>900000023</t>
        </is>
      </c>
      <c r="C32" t="inlineStr">
        <is>
          <t>DW75</t>
        </is>
      </c>
      <c r="D32" t="inlineStr">
        <is>
          <t>D349</t>
        </is>
      </c>
      <c r="E32" t="inlineStr">
        <is>
          <t>1</t>
        </is>
      </c>
      <c r="F32" t="inlineStr">
        <is>
          <t>10000742</t>
        </is>
      </c>
      <c r="H32" t="inlineStr"/>
      <c r="J32" t="n">
        <v>73.93000000000001</v>
      </c>
      <c r="K32" t="inlineStr"/>
      <c r="M32" t="inlineStr">
        <is>
          <t>TN</t>
        </is>
      </c>
      <c r="N32" t="inlineStr"/>
      <c r="P32" t="inlineStr">
        <is>
          <t>20220331</t>
        </is>
      </c>
      <c r="Q32" t="inlineStr">
        <is>
          <t>20240822</t>
        </is>
      </c>
    </row>
    <row r="33">
      <c r="A33" t="inlineStr">
        <is>
          <t>900000023DW75D34910009436</t>
        </is>
      </c>
      <c r="B33" t="inlineStr">
        <is>
          <t>900000023</t>
        </is>
      </c>
      <c r="C33" t="inlineStr">
        <is>
          <t>DW75</t>
        </is>
      </c>
      <c r="D33" t="inlineStr">
        <is>
          <t>D349</t>
        </is>
      </c>
      <c r="E33" t="inlineStr">
        <is>
          <t>1</t>
        </is>
      </c>
      <c r="F33" t="inlineStr">
        <is>
          <t>10009436</t>
        </is>
      </c>
      <c r="H33" t="inlineStr"/>
      <c r="J33" t="n">
        <v>79.05</v>
      </c>
      <c r="K33" t="inlineStr"/>
      <c r="M33" t="inlineStr">
        <is>
          <t>TN</t>
        </is>
      </c>
      <c r="N33" t="inlineStr"/>
      <c r="P33" t="inlineStr">
        <is>
          <t>20220331</t>
        </is>
      </c>
      <c r="Q33" t="inlineStr">
        <is>
          <t>20240822</t>
        </is>
      </c>
    </row>
    <row r="34">
      <c r="A34" t="inlineStr">
        <is>
          <t>900000023DW75D34910031878</t>
        </is>
      </c>
      <c r="B34" t="inlineStr">
        <is>
          <t>900000023</t>
        </is>
      </c>
      <c r="C34" t="inlineStr">
        <is>
          <t>DW75</t>
        </is>
      </c>
      <c r="D34" t="inlineStr">
        <is>
          <t>D349</t>
        </is>
      </c>
      <c r="E34" t="inlineStr">
        <is>
          <t>1</t>
        </is>
      </c>
      <c r="F34" t="inlineStr">
        <is>
          <t>10031878</t>
        </is>
      </c>
      <c r="H34" t="inlineStr"/>
      <c r="J34" t="n">
        <v>91.17</v>
      </c>
      <c r="K34" t="inlineStr"/>
      <c r="M34" t="inlineStr">
        <is>
          <t>TN</t>
        </is>
      </c>
      <c r="N34" t="inlineStr"/>
      <c r="P34" t="inlineStr">
        <is>
          <t>20220331</t>
        </is>
      </c>
      <c r="Q34" t="inlineStr">
        <is>
          <t>20240822</t>
        </is>
      </c>
    </row>
    <row r="35">
      <c r="A35" t="inlineStr">
        <is>
          <t>900000023DW75D34910032115</t>
        </is>
      </c>
      <c r="B35" t="inlineStr">
        <is>
          <t>900000023</t>
        </is>
      </c>
      <c r="C35" t="inlineStr">
        <is>
          <t>DW75</t>
        </is>
      </c>
      <c r="D35" t="inlineStr">
        <is>
          <t>D349</t>
        </is>
      </c>
      <c r="E35" t="inlineStr">
        <is>
          <t>1</t>
        </is>
      </c>
      <c r="F35" t="inlineStr">
        <is>
          <t>10032115</t>
        </is>
      </c>
      <c r="H35" t="inlineStr"/>
      <c r="J35" t="n">
        <v>87.26000000000001</v>
      </c>
      <c r="K35" t="inlineStr"/>
      <c r="M35" t="inlineStr">
        <is>
          <t>TN</t>
        </is>
      </c>
      <c r="N35" t="inlineStr"/>
      <c r="P35" t="inlineStr">
        <is>
          <t>20220331</t>
        </is>
      </c>
      <c r="Q35" t="inlineStr">
        <is>
          <t>20240822</t>
        </is>
      </c>
    </row>
    <row r="36">
      <c r="A36" t="inlineStr">
        <is>
          <t>900000023DW75D34910032164</t>
        </is>
      </c>
      <c r="B36" t="inlineStr">
        <is>
          <t>900000023</t>
        </is>
      </c>
      <c r="C36" t="inlineStr">
        <is>
          <t>DW75</t>
        </is>
      </c>
      <c r="D36" t="inlineStr">
        <is>
          <t>D349</t>
        </is>
      </c>
      <c r="E36" t="inlineStr">
        <is>
          <t>1</t>
        </is>
      </c>
      <c r="F36" t="inlineStr">
        <is>
          <t>10032164</t>
        </is>
      </c>
      <c r="H36" t="inlineStr"/>
      <c r="J36" t="n">
        <v>86.95999999999999</v>
      </c>
      <c r="K36" t="inlineStr"/>
      <c r="M36" t="inlineStr">
        <is>
          <t>TN</t>
        </is>
      </c>
      <c r="N36" t="inlineStr"/>
      <c r="P36" t="inlineStr">
        <is>
          <t>20220331</t>
        </is>
      </c>
      <c r="Q36" t="inlineStr">
        <is>
          <t>20240822</t>
        </is>
      </c>
    </row>
    <row r="37">
      <c r="A37" t="inlineStr">
        <is>
          <t>900000023DW75D34910036583</t>
        </is>
      </c>
      <c r="B37" t="inlineStr">
        <is>
          <t>900000023</t>
        </is>
      </c>
      <c r="C37" t="inlineStr">
        <is>
          <t>DW75</t>
        </is>
      </c>
      <c r="D37" t="inlineStr">
        <is>
          <t>D349</t>
        </is>
      </c>
      <c r="E37" t="inlineStr">
        <is>
          <t>1</t>
        </is>
      </c>
      <c r="F37" t="inlineStr">
        <is>
          <t>10036583</t>
        </is>
      </c>
      <c r="H37" t="inlineStr"/>
      <c r="J37" t="n">
        <v>88.94</v>
      </c>
      <c r="K37" t="inlineStr"/>
      <c r="M37" t="inlineStr">
        <is>
          <t>TN</t>
        </is>
      </c>
      <c r="N37" t="inlineStr"/>
      <c r="P37" t="inlineStr">
        <is>
          <t>20220331</t>
        </is>
      </c>
      <c r="Q37" t="inlineStr">
        <is>
          <t>20240822</t>
        </is>
      </c>
    </row>
    <row r="38">
      <c r="A38" t="inlineStr">
        <is>
          <t>900000360DW75D06310009436</t>
        </is>
      </c>
      <c r="B38" t="inlineStr">
        <is>
          <t>900000360</t>
        </is>
      </c>
      <c r="C38" t="inlineStr">
        <is>
          <t>DW75</t>
        </is>
      </c>
      <c r="D38" t="inlineStr">
        <is>
          <t>D063</t>
        </is>
      </c>
      <c r="E38" t="inlineStr">
        <is>
          <t>1</t>
        </is>
      </c>
      <c r="F38" t="inlineStr">
        <is>
          <t>10009436</t>
        </is>
      </c>
      <c r="H38" t="inlineStr"/>
      <c r="J38" t="n">
        <v>804.8200000000001</v>
      </c>
      <c r="K38" t="inlineStr"/>
      <c r="M38" t="inlineStr">
        <is>
          <t>TN</t>
        </is>
      </c>
      <c r="N38" t="inlineStr"/>
      <c r="P38" t="inlineStr">
        <is>
          <t>20240726</t>
        </is>
      </c>
      <c r="Q38" t="inlineStr">
        <is>
          <t>20241023</t>
        </is>
      </c>
    </row>
    <row r="39">
      <c r="A39" t="inlineStr">
        <is>
          <t>900000360DW75D11210009436</t>
        </is>
      </c>
      <c r="B39" t="inlineStr">
        <is>
          <t>900000360</t>
        </is>
      </c>
      <c r="C39" t="inlineStr">
        <is>
          <t>DW75</t>
        </is>
      </c>
      <c r="D39" t="inlineStr">
        <is>
          <t>D112</t>
        </is>
      </c>
      <c r="E39" t="inlineStr">
        <is>
          <t>1</t>
        </is>
      </c>
      <c r="F39" t="inlineStr">
        <is>
          <t>10009436</t>
        </is>
      </c>
      <c r="H39" t="inlineStr"/>
      <c r="J39" t="n">
        <v>804.8200000000001</v>
      </c>
      <c r="K39" t="inlineStr"/>
      <c r="M39" t="inlineStr">
        <is>
          <t>TN</t>
        </is>
      </c>
      <c r="N39" t="inlineStr"/>
      <c r="P39" t="inlineStr">
        <is>
          <t>20240726</t>
        </is>
      </c>
      <c r="Q39" t="inlineStr">
        <is>
          <t>20241023</t>
        </is>
      </c>
    </row>
    <row r="40">
      <c r="A40" t="inlineStr">
        <is>
          <t>900000360DW75D27810009436</t>
        </is>
      </c>
      <c r="B40" t="inlineStr">
        <is>
          <t>900000360</t>
        </is>
      </c>
      <c r="C40" t="inlineStr">
        <is>
          <t>DW75</t>
        </is>
      </c>
      <c r="D40" t="inlineStr">
        <is>
          <t>D278</t>
        </is>
      </c>
      <c r="E40" t="inlineStr">
        <is>
          <t>1</t>
        </is>
      </c>
      <c r="F40" t="inlineStr">
        <is>
          <t>10009436</t>
        </is>
      </c>
      <c r="H40" t="inlineStr"/>
      <c r="J40" t="n">
        <v>781.49</v>
      </c>
      <c r="K40" t="inlineStr"/>
      <c r="M40" t="inlineStr">
        <is>
          <t>TN</t>
        </is>
      </c>
      <c r="N40" t="inlineStr"/>
      <c r="P40" t="inlineStr">
        <is>
          <t>20240726</t>
        </is>
      </c>
      <c r="Q40" t="inlineStr">
        <is>
          <t>20241023</t>
        </is>
      </c>
    </row>
    <row r="41">
      <c r="A41" t="inlineStr">
        <is>
          <t>900000360DW75D34310009436</t>
        </is>
      </c>
      <c r="B41" t="inlineStr">
        <is>
          <t>900000360</t>
        </is>
      </c>
      <c r="C41" t="inlineStr">
        <is>
          <t>DW75</t>
        </is>
      </c>
      <c r="D41" t="inlineStr">
        <is>
          <t>D343</t>
        </is>
      </c>
      <c r="E41" t="inlineStr">
        <is>
          <t>1</t>
        </is>
      </c>
      <c r="F41" t="inlineStr">
        <is>
          <t>10009436</t>
        </is>
      </c>
      <c r="H41" t="inlineStr"/>
      <c r="J41" t="n">
        <v>762.83</v>
      </c>
      <c r="K41" t="inlineStr"/>
      <c r="M41" t="inlineStr">
        <is>
          <t>TN</t>
        </is>
      </c>
      <c r="N41" t="inlineStr"/>
      <c r="P41" t="inlineStr">
        <is>
          <t>20240726</t>
        </is>
      </c>
      <c r="Q41" t="inlineStr">
        <is>
          <t>20241023</t>
        </is>
      </c>
    </row>
    <row r="42">
      <c r="A42" t="inlineStr">
        <is>
          <t>900000360DW75D34910009436</t>
        </is>
      </c>
      <c r="B42" t="inlineStr">
        <is>
          <t>900000360</t>
        </is>
      </c>
      <c r="C42" t="inlineStr">
        <is>
          <t>DW75</t>
        </is>
      </c>
      <c r="D42" t="inlineStr">
        <is>
          <t>D349</t>
        </is>
      </c>
      <c r="E42" t="inlineStr">
        <is>
          <t>1</t>
        </is>
      </c>
      <c r="F42" t="inlineStr">
        <is>
          <t>10009436</t>
        </is>
      </c>
      <c r="H42" t="inlineStr"/>
      <c r="J42" t="n">
        <v>814.15</v>
      </c>
      <c r="K42" t="inlineStr"/>
      <c r="M42" t="inlineStr">
        <is>
          <t>TN</t>
        </is>
      </c>
      <c r="N42" t="inlineStr"/>
      <c r="P42" t="inlineStr">
        <is>
          <t>20240726</t>
        </is>
      </c>
      <c r="Q42" t="inlineStr">
        <is>
          <t>20241023</t>
        </is>
      </c>
    </row>
    <row r="43">
      <c r="A43" t="inlineStr">
        <is>
          <t>900000372DW75D27810218211</t>
        </is>
      </c>
      <c r="B43" t="inlineStr">
        <is>
          <t>900000372</t>
        </is>
      </c>
      <c r="C43" t="inlineStr">
        <is>
          <t>DW75</t>
        </is>
      </c>
      <c r="D43" t="inlineStr">
        <is>
          <t>D278</t>
        </is>
      </c>
      <c r="E43" t="inlineStr">
        <is>
          <t>4</t>
        </is>
      </c>
      <c r="F43" t="inlineStr">
        <is>
          <t>10218211</t>
        </is>
      </c>
      <c r="H43" t="inlineStr"/>
      <c r="J43" t="n">
        <v>72.55</v>
      </c>
      <c r="K43" t="inlineStr"/>
      <c r="M43" t="inlineStr">
        <is>
          <t>TN</t>
        </is>
      </c>
      <c r="N43" t="inlineStr"/>
      <c r="P43" t="inlineStr">
        <is>
          <t>20210620</t>
        </is>
      </c>
      <c r="Q43" t="inlineStr">
        <is>
          <t>20241216</t>
        </is>
      </c>
    </row>
    <row r="44">
      <c r="A44" t="inlineStr">
        <is>
          <t>900000372DW75D31210218211</t>
        </is>
      </c>
      <c r="B44" t="inlineStr">
        <is>
          <t>900000372</t>
        </is>
      </c>
      <c r="C44" t="inlineStr">
        <is>
          <t>DW75</t>
        </is>
      </c>
      <c r="D44" t="inlineStr">
        <is>
          <t>D312</t>
        </is>
      </c>
      <c r="E44" t="inlineStr">
        <is>
          <t>4</t>
        </is>
      </c>
      <c r="F44" t="inlineStr">
        <is>
          <t>10218211</t>
        </is>
      </c>
      <c r="H44" t="inlineStr"/>
      <c r="J44" t="n">
        <v>45.02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20241216</t>
        </is>
      </c>
    </row>
    <row r="45">
      <c r="A45" t="inlineStr">
        <is>
          <t>900000372DW75D32710218211</t>
        </is>
      </c>
      <c r="B45" t="inlineStr">
        <is>
          <t>900000372</t>
        </is>
      </c>
      <c r="C45" t="inlineStr">
        <is>
          <t>DW75</t>
        </is>
      </c>
      <c r="D45" t="inlineStr">
        <is>
          <t>D327</t>
        </is>
      </c>
      <c r="E45" t="inlineStr">
        <is>
          <t>4</t>
        </is>
      </c>
      <c r="F45" t="inlineStr">
        <is>
          <t>10218211</t>
        </is>
      </c>
      <c r="H45" t="inlineStr"/>
      <c r="J45" t="n">
        <v>29.51</v>
      </c>
      <c r="K45" t="inlineStr"/>
      <c r="M45" t="inlineStr">
        <is>
          <t>TN</t>
        </is>
      </c>
      <c r="N45" t="inlineStr"/>
      <c r="P45" t="inlineStr">
        <is>
          <t>20210620</t>
        </is>
      </c>
      <c r="Q45" t="inlineStr">
        <is>
          <t>20241216</t>
        </is>
      </c>
    </row>
    <row r="46">
      <c r="A46" t="inlineStr">
        <is>
          <t>900000372DW75D34310218211</t>
        </is>
      </c>
      <c r="B46" t="inlineStr">
        <is>
          <t>900000372</t>
        </is>
      </c>
      <c r="C46" t="inlineStr">
        <is>
          <t>DW75</t>
        </is>
      </c>
      <c r="D46" t="inlineStr">
        <is>
          <t>D343</t>
        </is>
      </c>
      <c r="E46" t="inlineStr">
        <is>
          <t>4</t>
        </is>
      </c>
      <c r="F46" t="inlineStr">
        <is>
          <t>10218211</t>
        </is>
      </c>
      <c r="H46" t="inlineStr"/>
      <c r="J46" t="n">
        <v>86.88</v>
      </c>
      <c r="K46" t="inlineStr"/>
      <c r="M46" t="inlineStr">
        <is>
          <t>TN</t>
        </is>
      </c>
      <c r="N46" t="inlineStr"/>
      <c r="P46" t="inlineStr">
        <is>
          <t>20210620</t>
        </is>
      </c>
      <c r="Q46" t="inlineStr">
        <is>
          <t>20241216</t>
        </is>
      </c>
    </row>
    <row r="47">
      <c r="A47" t="inlineStr">
        <is>
          <t>900000372DW75D34910218211</t>
        </is>
      </c>
      <c r="B47" t="inlineStr">
        <is>
          <t>900000372</t>
        </is>
      </c>
      <c r="C47" t="inlineStr">
        <is>
          <t>DW75</t>
        </is>
      </c>
      <c r="D47" t="inlineStr">
        <is>
          <t>D349</t>
        </is>
      </c>
      <c r="E47" t="inlineStr">
        <is>
          <t>4</t>
        </is>
      </c>
      <c r="F47" t="inlineStr">
        <is>
          <t>10218211</t>
        </is>
      </c>
      <c r="H47" t="inlineStr"/>
      <c r="J47" t="n">
        <v>140.98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20241216</t>
        </is>
      </c>
    </row>
    <row r="48">
      <c r="A48" t="inlineStr">
        <is>
          <t>900002370DW75D06310043600</t>
        </is>
      </c>
      <c r="B48" t="inlineStr">
        <is>
          <t>900002370</t>
        </is>
      </c>
      <c r="C48" t="inlineStr">
        <is>
          <t>DW75</t>
        </is>
      </c>
      <c r="D48" t="inlineStr">
        <is>
          <t>D063</t>
        </is>
      </c>
      <c r="E48" t="inlineStr">
        <is>
          <t>1</t>
        </is>
      </c>
      <c r="F48" t="inlineStr">
        <is>
          <t>10043600</t>
        </is>
      </c>
      <c r="H48" t="inlineStr"/>
      <c r="J48" t="n">
        <v>170.69</v>
      </c>
      <c r="K48" t="inlineStr"/>
      <c r="M48" t="inlineStr">
        <is>
          <t>TN</t>
        </is>
      </c>
      <c r="N48" t="inlineStr"/>
      <c r="P48" t="inlineStr">
        <is>
          <t>20210620</t>
        </is>
      </c>
      <c r="Q48" t="inlineStr">
        <is>
          <t>20241216</t>
        </is>
      </c>
    </row>
    <row r="49">
      <c r="A49" t="inlineStr">
        <is>
          <t>900002370DW75D06310043601</t>
        </is>
      </c>
      <c r="B49" t="inlineStr">
        <is>
          <t>900002370</t>
        </is>
      </c>
      <c r="C49" t="inlineStr">
        <is>
          <t>DW75</t>
        </is>
      </c>
      <c r="D49" t="inlineStr">
        <is>
          <t>D063</t>
        </is>
      </c>
      <c r="E49" t="inlineStr">
        <is>
          <t>1</t>
        </is>
      </c>
      <c r="F49" t="inlineStr">
        <is>
          <t>10043601</t>
        </is>
      </c>
      <c r="H49" t="inlineStr"/>
      <c r="J49" t="n">
        <v>170.98</v>
      </c>
      <c r="K49" t="inlineStr"/>
      <c r="M49" t="inlineStr">
        <is>
          <t>TN</t>
        </is>
      </c>
      <c r="N49" t="inlineStr"/>
      <c r="P49" t="inlineStr">
        <is>
          <t>20210620</t>
        </is>
      </c>
      <c r="Q49" t="inlineStr">
        <is>
          <t>20241216</t>
        </is>
      </c>
    </row>
    <row r="50">
      <c r="A50" t="inlineStr">
        <is>
          <t>900002370DW75D06310045642</t>
        </is>
      </c>
      <c r="B50" t="inlineStr">
        <is>
          <t>900002370</t>
        </is>
      </c>
      <c r="C50" t="inlineStr">
        <is>
          <t>DW75</t>
        </is>
      </c>
      <c r="D50" t="inlineStr">
        <is>
          <t>D063</t>
        </is>
      </c>
      <c r="E50" t="inlineStr">
        <is>
          <t>1</t>
        </is>
      </c>
      <c r="F50" t="inlineStr">
        <is>
          <t>10045642</t>
        </is>
      </c>
      <c r="H50" t="inlineStr"/>
      <c r="J50" t="n">
        <v>136.57</v>
      </c>
      <c r="K50" t="inlineStr"/>
      <c r="M50" t="inlineStr">
        <is>
          <t>TN</t>
        </is>
      </c>
      <c r="N50" t="inlineStr"/>
      <c r="P50" t="inlineStr">
        <is>
          <t>20210620</t>
        </is>
      </c>
      <c r="Q50" t="inlineStr">
        <is>
          <t>20241216</t>
        </is>
      </c>
    </row>
    <row r="51">
      <c r="A51" t="inlineStr">
        <is>
          <t>900002370DW75D06310147933</t>
        </is>
      </c>
      <c r="B51" t="inlineStr">
        <is>
          <t>900002370</t>
        </is>
      </c>
      <c r="C51" t="inlineStr">
        <is>
          <t>DW75</t>
        </is>
      </c>
      <c r="D51" t="inlineStr">
        <is>
          <t>D063</t>
        </is>
      </c>
      <c r="E51" t="inlineStr">
        <is>
          <t>1</t>
        </is>
      </c>
      <c r="F51" t="inlineStr">
        <is>
          <t>10147933</t>
        </is>
      </c>
      <c r="H51" t="inlineStr"/>
      <c r="J51" t="n">
        <v>146</v>
      </c>
      <c r="K51" t="inlineStr"/>
      <c r="M51" t="inlineStr">
        <is>
          <t>TN</t>
        </is>
      </c>
      <c r="N51" t="inlineStr"/>
      <c r="P51" t="inlineStr">
        <is>
          <t>20210620</t>
        </is>
      </c>
      <c r="Q51" t="inlineStr">
        <is>
          <t>20241216</t>
        </is>
      </c>
    </row>
    <row r="52">
      <c r="A52" t="inlineStr">
        <is>
          <t>900002370DW75D06310151191</t>
        </is>
      </c>
      <c r="B52" t="inlineStr">
        <is>
          <t>900002370</t>
        </is>
      </c>
      <c r="C52" t="inlineStr">
        <is>
          <t>DW75</t>
        </is>
      </c>
      <c r="D52" t="inlineStr">
        <is>
          <t>D063</t>
        </is>
      </c>
      <c r="E52" t="inlineStr">
        <is>
          <t>1</t>
        </is>
      </c>
      <c r="F52" t="inlineStr">
        <is>
          <t>10151191</t>
        </is>
      </c>
      <c r="H52" t="inlineStr"/>
      <c r="J52" t="n">
        <v>156.1</v>
      </c>
      <c r="K52" t="inlineStr"/>
      <c r="M52" t="inlineStr">
        <is>
          <t>TN</t>
        </is>
      </c>
      <c r="N52" t="inlineStr"/>
      <c r="P52" t="inlineStr">
        <is>
          <t>20230831</t>
        </is>
      </c>
      <c r="Q52" t="inlineStr">
        <is>
          <t>20251031</t>
        </is>
      </c>
    </row>
    <row r="53">
      <c r="A53" t="inlineStr">
        <is>
          <t>900002370DW75D06310189747</t>
        </is>
      </c>
      <c r="B53" t="inlineStr">
        <is>
          <t>900002370</t>
        </is>
      </c>
      <c r="C53" t="inlineStr">
        <is>
          <t>DW75</t>
        </is>
      </c>
      <c r="D53" t="inlineStr">
        <is>
          <t>D063</t>
        </is>
      </c>
      <c r="E53" t="inlineStr">
        <is>
          <t>1</t>
        </is>
      </c>
      <c r="F53" t="inlineStr">
        <is>
          <t>10189747</t>
        </is>
      </c>
      <c r="H53" t="inlineStr"/>
      <c r="J53" t="n">
        <v>169.97</v>
      </c>
      <c r="K53" t="inlineStr"/>
      <c r="M53" t="inlineStr">
        <is>
          <t>TN</t>
        </is>
      </c>
      <c r="N53" t="inlineStr"/>
      <c r="P53" t="inlineStr">
        <is>
          <t>20210620</t>
        </is>
      </c>
      <c r="Q53" t="inlineStr">
        <is>
          <t>20241216</t>
        </is>
      </c>
    </row>
    <row r="54">
      <c r="A54" t="inlineStr">
        <is>
          <t>900002370DW75D11210043600</t>
        </is>
      </c>
      <c r="B54" t="inlineStr">
        <is>
          <t>900002370</t>
        </is>
      </c>
      <c r="C54" t="inlineStr">
        <is>
          <t>DW75</t>
        </is>
      </c>
      <c r="D54" t="inlineStr">
        <is>
          <t>D112</t>
        </is>
      </c>
      <c r="E54" t="inlineStr">
        <is>
          <t>1</t>
        </is>
      </c>
      <c r="F54" t="inlineStr">
        <is>
          <t>10043600</t>
        </is>
      </c>
      <c r="H54" t="inlineStr"/>
      <c r="J54" t="n">
        <v>170.69</v>
      </c>
      <c r="K54" t="inlineStr"/>
      <c r="M54" t="inlineStr">
        <is>
          <t>TN</t>
        </is>
      </c>
      <c r="N54" t="inlineStr"/>
      <c r="P54" t="inlineStr">
        <is>
          <t>20210620</t>
        </is>
      </c>
      <c r="Q54" t="inlineStr">
        <is>
          <t>20241216</t>
        </is>
      </c>
    </row>
    <row r="55">
      <c r="A55" t="inlineStr">
        <is>
          <t>900002370DW75D11210043601</t>
        </is>
      </c>
      <c r="B55" t="inlineStr">
        <is>
          <t>900002370</t>
        </is>
      </c>
      <c r="C55" t="inlineStr">
        <is>
          <t>DW75</t>
        </is>
      </c>
      <c r="D55" t="inlineStr">
        <is>
          <t>D112</t>
        </is>
      </c>
      <c r="E55" t="inlineStr">
        <is>
          <t>1</t>
        </is>
      </c>
      <c r="F55" t="inlineStr">
        <is>
          <t>10043601</t>
        </is>
      </c>
      <c r="H55" t="inlineStr"/>
      <c r="J55" t="n">
        <v>170.98</v>
      </c>
      <c r="K55" t="inlineStr"/>
      <c r="M55" t="inlineStr">
        <is>
          <t>TN</t>
        </is>
      </c>
      <c r="N55" t="inlineStr"/>
      <c r="P55" t="inlineStr">
        <is>
          <t>20210620</t>
        </is>
      </c>
      <c r="Q55" t="inlineStr">
        <is>
          <t>20241216</t>
        </is>
      </c>
    </row>
    <row r="56">
      <c r="A56" t="inlineStr">
        <is>
          <t>900002370DW75D11210045642</t>
        </is>
      </c>
      <c r="B56" t="inlineStr">
        <is>
          <t>900002370</t>
        </is>
      </c>
      <c r="C56" t="inlineStr">
        <is>
          <t>DW75</t>
        </is>
      </c>
      <c r="D56" t="inlineStr">
        <is>
          <t>D112</t>
        </is>
      </c>
      <c r="E56" t="inlineStr">
        <is>
          <t>1</t>
        </is>
      </c>
      <c r="F56" t="inlineStr">
        <is>
          <t>10045642</t>
        </is>
      </c>
      <c r="H56" t="inlineStr"/>
      <c r="J56" t="n">
        <v>136.57</v>
      </c>
      <c r="K56" t="inlineStr"/>
      <c r="M56" t="inlineStr">
        <is>
          <t>TN</t>
        </is>
      </c>
      <c r="N56" t="inlineStr"/>
      <c r="P56" t="inlineStr">
        <is>
          <t>20210620</t>
        </is>
      </c>
      <c r="Q56" t="inlineStr">
        <is>
          <t>20241216</t>
        </is>
      </c>
    </row>
    <row r="57">
      <c r="A57" t="inlineStr">
        <is>
          <t>900002370DW75D11210147933</t>
        </is>
      </c>
      <c r="B57" t="inlineStr">
        <is>
          <t>900002370</t>
        </is>
      </c>
      <c r="C57" t="inlineStr">
        <is>
          <t>DW75</t>
        </is>
      </c>
      <c r="D57" t="inlineStr">
        <is>
          <t>D112</t>
        </is>
      </c>
      <c r="E57" t="inlineStr">
        <is>
          <t>1</t>
        </is>
      </c>
      <c r="F57" t="inlineStr">
        <is>
          <t>10147933</t>
        </is>
      </c>
      <c r="H57" t="inlineStr"/>
      <c r="J57" t="n">
        <v>146</v>
      </c>
      <c r="K57" t="inlineStr"/>
      <c r="M57" t="inlineStr">
        <is>
          <t>TN</t>
        </is>
      </c>
      <c r="N57" t="inlineStr"/>
      <c r="P57" t="inlineStr">
        <is>
          <t>20210620</t>
        </is>
      </c>
      <c r="Q57" t="inlineStr">
        <is>
          <t>20241216</t>
        </is>
      </c>
    </row>
    <row r="58">
      <c r="A58" t="inlineStr">
        <is>
          <t>900002370DW75D11210151191</t>
        </is>
      </c>
      <c r="B58" t="inlineStr">
        <is>
          <t>900002370</t>
        </is>
      </c>
      <c r="C58" t="inlineStr">
        <is>
          <t>DW75</t>
        </is>
      </c>
      <c r="D58" t="inlineStr">
        <is>
          <t>D112</t>
        </is>
      </c>
      <c r="E58" t="inlineStr">
        <is>
          <t>1</t>
        </is>
      </c>
      <c r="F58" t="inlineStr">
        <is>
          <t>10151191</t>
        </is>
      </c>
      <c r="H58" t="inlineStr"/>
      <c r="J58" t="n">
        <v>156.1</v>
      </c>
      <c r="K58" t="inlineStr"/>
      <c r="M58" t="inlineStr">
        <is>
          <t>TN</t>
        </is>
      </c>
      <c r="N58" t="inlineStr"/>
      <c r="P58" t="inlineStr">
        <is>
          <t>20230831</t>
        </is>
      </c>
      <c r="Q58" t="inlineStr">
        <is>
          <t>20251031</t>
        </is>
      </c>
    </row>
    <row r="59">
      <c r="A59" t="inlineStr">
        <is>
          <t>900002370DW75D11210189747</t>
        </is>
      </c>
      <c r="B59" t="inlineStr">
        <is>
          <t>900002370</t>
        </is>
      </c>
      <c r="C59" t="inlineStr">
        <is>
          <t>DW75</t>
        </is>
      </c>
      <c r="D59" t="inlineStr">
        <is>
          <t>D112</t>
        </is>
      </c>
      <c r="E59" t="inlineStr">
        <is>
          <t>1</t>
        </is>
      </c>
      <c r="F59" t="inlineStr">
        <is>
          <t>10189747</t>
        </is>
      </c>
      <c r="H59" t="inlineStr"/>
      <c r="J59" t="n">
        <v>169.97</v>
      </c>
      <c r="K59" t="inlineStr"/>
      <c r="M59" t="inlineStr">
        <is>
          <t>TN</t>
        </is>
      </c>
      <c r="N59" t="inlineStr"/>
      <c r="P59" t="inlineStr">
        <is>
          <t>20210620</t>
        </is>
      </c>
      <c r="Q59" t="inlineStr">
        <is>
          <t>20241216</t>
        </is>
      </c>
    </row>
    <row r="60">
      <c r="A60" t="inlineStr">
        <is>
          <t>900002370DW75D27810000364</t>
        </is>
      </c>
      <c r="B60" t="inlineStr">
        <is>
          <t>900002370</t>
        </is>
      </c>
      <c r="C60" t="inlineStr">
        <is>
          <t>DW75</t>
        </is>
      </c>
      <c r="D60" t="inlineStr">
        <is>
          <t>D278</t>
        </is>
      </c>
      <c r="E60" t="inlineStr">
        <is>
          <t>1</t>
        </is>
      </c>
      <c r="F60" t="inlineStr">
        <is>
          <t>10000364</t>
        </is>
      </c>
      <c r="H60" t="inlineStr"/>
      <c r="J60" t="n">
        <v>37.57</v>
      </c>
      <c r="K60" t="inlineStr"/>
      <c r="M60" t="inlineStr">
        <is>
          <t>TN</t>
        </is>
      </c>
      <c r="N60" t="inlineStr"/>
      <c r="P60" t="inlineStr">
        <is>
          <t>20210620</t>
        </is>
      </c>
      <c r="Q60" t="inlineStr">
        <is>
          <t>20241216</t>
        </is>
      </c>
    </row>
    <row r="61">
      <c r="A61" t="inlineStr">
        <is>
          <t>900002370DW75D27810043600</t>
        </is>
      </c>
      <c r="B61" t="inlineStr">
        <is>
          <t>900002370</t>
        </is>
      </c>
      <c r="C61" t="inlineStr">
        <is>
          <t>DW75</t>
        </is>
      </c>
      <c r="D61" t="inlineStr">
        <is>
          <t>D278</t>
        </is>
      </c>
      <c r="E61" t="inlineStr">
        <is>
          <t>1</t>
        </is>
      </c>
      <c r="F61" t="inlineStr">
        <is>
          <t>10043600</t>
        </is>
      </c>
      <c r="H61" t="inlineStr"/>
      <c r="J61" t="n">
        <v>109.72</v>
      </c>
      <c r="K61" t="inlineStr"/>
      <c r="M61" t="inlineStr">
        <is>
          <t>TN</t>
        </is>
      </c>
      <c r="N61" t="inlineStr"/>
      <c r="P61" t="inlineStr">
        <is>
          <t>20251212</t>
        </is>
      </c>
      <c r="Q61" t="inlineStr">
        <is>
          <t>99991231</t>
        </is>
      </c>
    </row>
    <row r="62">
      <c r="A62" t="inlineStr">
        <is>
          <t>900002370DW75D27810043601</t>
        </is>
      </c>
      <c r="B62" t="inlineStr">
        <is>
          <t>900002370</t>
        </is>
      </c>
      <c r="C62" t="inlineStr">
        <is>
          <t>DW75</t>
        </is>
      </c>
      <c r="D62" t="inlineStr">
        <is>
          <t>D278</t>
        </is>
      </c>
      <c r="E62" t="inlineStr">
        <is>
          <t>1</t>
        </is>
      </c>
      <c r="F62" t="inlineStr">
        <is>
          <t>10043601</t>
        </is>
      </c>
      <c r="H62" t="inlineStr"/>
      <c r="J62" t="n">
        <v>109.91</v>
      </c>
      <c r="K62" t="inlineStr"/>
      <c r="M62" t="inlineStr">
        <is>
          <t>TN</t>
        </is>
      </c>
      <c r="N62" t="inlineStr"/>
      <c r="P62" t="inlineStr">
        <is>
          <t>20251212</t>
        </is>
      </c>
      <c r="Q62" t="inlineStr">
        <is>
          <t>99991231</t>
        </is>
      </c>
    </row>
    <row r="63">
      <c r="A63" t="inlineStr">
        <is>
          <t>900002370DW75D27810045642</t>
        </is>
      </c>
      <c r="B63" t="inlineStr">
        <is>
          <t>900002370</t>
        </is>
      </c>
      <c r="C63" t="inlineStr">
        <is>
          <t>DW75</t>
        </is>
      </c>
      <c r="D63" t="inlineStr">
        <is>
          <t>D278</t>
        </is>
      </c>
      <c r="E63" t="inlineStr">
        <is>
          <t>1</t>
        </is>
      </c>
      <c r="F63" t="inlineStr">
        <is>
          <t>10045642</t>
        </is>
      </c>
      <c r="H63" t="inlineStr"/>
      <c r="J63" t="n">
        <v>87.79000000000001</v>
      </c>
      <c r="K63" t="inlineStr"/>
      <c r="M63" t="inlineStr">
        <is>
          <t>TN</t>
        </is>
      </c>
      <c r="N63" t="inlineStr"/>
      <c r="P63" t="inlineStr">
        <is>
          <t>20251212</t>
        </is>
      </c>
      <c r="Q63" t="inlineStr">
        <is>
          <t>99991231</t>
        </is>
      </c>
    </row>
    <row r="64">
      <c r="A64" t="inlineStr">
        <is>
          <t>900002370DW75D27810147933</t>
        </is>
      </c>
      <c r="B64" t="inlineStr">
        <is>
          <t>900002370</t>
        </is>
      </c>
      <c r="C64" t="inlineStr">
        <is>
          <t>DW75</t>
        </is>
      </c>
      <c r="D64" t="inlineStr">
        <is>
          <t>D278</t>
        </is>
      </c>
      <c r="E64" t="inlineStr">
        <is>
          <t>1</t>
        </is>
      </c>
      <c r="F64" t="inlineStr">
        <is>
          <t>10147933</t>
        </is>
      </c>
      <c r="H64" t="inlineStr"/>
      <c r="J64" t="n">
        <v>93.84999999999999</v>
      </c>
      <c r="K64" t="inlineStr"/>
      <c r="M64" t="inlineStr">
        <is>
          <t>TN</t>
        </is>
      </c>
      <c r="N64" t="inlineStr"/>
      <c r="P64" t="inlineStr">
        <is>
          <t>20251212</t>
        </is>
      </c>
      <c r="Q64" t="inlineStr">
        <is>
          <t>20260215</t>
        </is>
      </c>
    </row>
    <row r="65">
      <c r="A65" t="inlineStr">
        <is>
          <t>900002370DW75D27810151191</t>
        </is>
      </c>
      <c r="B65" t="inlineStr">
        <is>
          <t>900002370</t>
        </is>
      </c>
      <c r="C65" t="inlineStr">
        <is>
          <t>DW75</t>
        </is>
      </c>
      <c r="D65" t="inlineStr">
        <is>
          <t>D278</t>
        </is>
      </c>
      <c r="E65" t="inlineStr">
        <is>
          <t>1</t>
        </is>
      </c>
      <c r="F65" t="inlineStr">
        <is>
          <t>10151191</t>
        </is>
      </c>
      <c r="H65" t="inlineStr"/>
      <c r="J65" t="n">
        <v>100.34</v>
      </c>
      <c r="K65" t="inlineStr"/>
      <c r="M65" t="inlineStr">
        <is>
          <t>TN</t>
        </is>
      </c>
      <c r="N65" t="inlineStr"/>
      <c r="P65" t="inlineStr">
        <is>
          <t>20251212</t>
        </is>
      </c>
      <c r="Q65" t="inlineStr">
        <is>
          <t>20260215</t>
        </is>
      </c>
    </row>
    <row r="66">
      <c r="A66" t="inlineStr">
        <is>
          <t>900002370DW75D27810189747</t>
        </is>
      </c>
      <c r="B66" t="inlineStr">
        <is>
          <t>900002370</t>
        </is>
      </c>
      <c r="C66" t="inlineStr">
        <is>
          <t>DW75</t>
        </is>
      </c>
      <c r="D66" t="inlineStr">
        <is>
          <t>D278</t>
        </is>
      </c>
      <c r="E66" t="inlineStr">
        <is>
          <t>1</t>
        </is>
      </c>
      <c r="F66" t="inlineStr">
        <is>
          <t>10189747</t>
        </is>
      </c>
      <c r="H66" t="inlineStr"/>
      <c r="J66" t="n">
        <v>104.05</v>
      </c>
      <c r="K66" t="inlineStr"/>
      <c r="M66" t="inlineStr">
        <is>
          <t>TN</t>
        </is>
      </c>
      <c r="N66" t="inlineStr"/>
      <c r="P66" t="inlineStr">
        <is>
          <t>20210620</t>
        </is>
      </c>
      <c r="Q66" t="inlineStr">
        <is>
          <t>20241216</t>
        </is>
      </c>
    </row>
    <row r="67">
      <c r="A67" t="inlineStr">
        <is>
          <t>900002370DW75D28510043600</t>
        </is>
      </c>
      <c r="B67" t="inlineStr">
        <is>
          <t>900002370</t>
        </is>
      </c>
      <c r="C67" t="inlineStr">
        <is>
          <t>DW75</t>
        </is>
      </c>
      <c r="D67" t="inlineStr">
        <is>
          <t>D285</t>
        </is>
      </c>
      <c r="E67" t="inlineStr">
        <is>
          <t>1</t>
        </is>
      </c>
      <c r="F67" t="inlineStr">
        <is>
          <t>10043600</t>
        </is>
      </c>
      <c r="H67" t="inlineStr"/>
      <c r="J67" t="n">
        <v>43.77</v>
      </c>
      <c r="K67" t="inlineStr"/>
      <c r="M67" t="inlineStr">
        <is>
          <t>TN</t>
        </is>
      </c>
      <c r="N67" t="inlineStr"/>
      <c r="P67" t="inlineStr">
        <is>
          <t>20210620</t>
        </is>
      </c>
      <c r="Q67" t="inlineStr">
        <is>
          <t>20241216</t>
        </is>
      </c>
    </row>
    <row r="68">
      <c r="A68" t="inlineStr">
        <is>
          <t>900002370DW75D28510043601</t>
        </is>
      </c>
      <c r="B68" t="inlineStr">
        <is>
          <t>900002370</t>
        </is>
      </c>
      <c r="C68" t="inlineStr">
        <is>
          <t>DW75</t>
        </is>
      </c>
      <c r="D68" t="inlineStr">
        <is>
          <t>D285</t>
        </is>
      </c>
      <c r="E68" t="inlineStr">
        <is>
          <t>1</t>
        </is>
      </c>
      <c r="F68" t="inlineStr">
        <is>
          <t>10043601</t>
        </is>
      </c>
      <c r="H68" t="inlineStr"/>
      <c r="J68" t="n">
        <v>43.84</v>
      </c>
      <c r="K68" t="inlineStr"/>
      <c r="M68" t="inlineStr">
        <is>
          <t>TN</t>
        </is>
      </c>
      <c r="N68" t="inlineStr"/>
      <c r="P68" t="inlineStr">
        <is>
          <t>20210620</t>
        </is>
      </c>
      <c r="Q68" t="inlineStr">
        <is>
          <t>20241216</t>
        </is>
      </c>
    </row>
    <row r="69">
      <c r="A69" t="inlineStr">
        <is>
          <t>900002370DW75D28510045642</t>
        </is>
      </c>
      <c r="B69" t="inlineStr">
        <is>
          <t>900002370</t>
        </is>
      </c>
      <c r="C69" t="inlineStr">
        <is>
          <t>DW75</t>
        </is>
      </c>
      <c r="D69" t="inlineStr">
        <is>
          <t>D285</t>
        </is>
      </c>
      <c r="E69" t="inlineStr">
        <is>
          <t>1</t>
        </is>
      </c>
      <c r="F69" t="inlineStr">
        <is>
          <t>10045642</t>
        </is>
      </c>
      <c r="H69" t="inlineStr"/>
      <c r="J69" t="n">
        <v>35.02</v>
      </c>
      <c r="K69" t="inlineStr"/>
      <c r="M69" t="inlineStr">
        <is>
          <t>TN</t>
        </is>
      </c>
      <c r="N69" t="inlineStr"/>
      <c r="P69" t="inlineStr">
        <is>
          <t>20210620</t>
        </is>
      </c>
      <c r="Q69" t="inlineStr">
        <is>
          <t>20241216</t>
        </is>
      </c>
    </row>
    <row r="70">
      <c r="A70" t="inlineStr">
        <is>
          <t>900002370DW75D31210000364</t>
        </is>
      </c>
      <c r="B70" t="inlineStr">
        <is>
          <t>900002370</t>
        </is>
      </c>
      <c r="C70" t="inlineStr">
        <is>
          <t>DW75</t>
        </is>
      </c>
      <c r="D70" t="inlineStr">
        <is>
          <t>D312</t>
        </is>
      </c>
      <c r="E70" t="inlineStr">
        <is>
          <t>1</t>
        </is>
      </c>
      <c r="F70" t="inlineStr">
        <is>
          <t>10000364</t>
        </is>
      </c>
      <c r="H70" t="inlineStr"/>
      <c r="J70" t="n">
        <v>39.05</v>
      </c>
      <c r="K70" t="inlineStr"/>
      <c r="M70" t="inlineStr">
        <is>
          <t>TN</t>
        </is>
      </c>
      <c r="N70" t="inlineStr"/>
      <c r="P70" t="inlineStr">
        <is>
          <t>20210620</t>
        </is>
      </c>
      <c r="Q70" t="inlineStr">
        <is>
          <t>20241216</t>
        </is>
      </c>
    </row>
    <row r="71">
      <c r="A71" t="inlineStr">
        <is>
          <t>900002370DW75D31210043600</t>
        </is>
      </c>
      <c r="B71" t="inlineStr">
        <is>
          <t>900002370</t>
        </is>
      </c>
      <c r="C71" t="inlineStr">
        <is>
          <t>DW75</t>
        </is>
      </c>
      <c r="D71" t="inlineStr">
        <is>
          <t>D312</t>
        </is>
      </c>
      <c r="E71" t="inlineStr">
        <is>
          <t>1</t>
        </is>
      </c>
      <c r="F71" t="inlineStr">
        <is>
          <t>10043600</t>
        </is>
      </c>
      <c r="H71" t="inlineStr"/>
      <c r="J71" t="n">
        <v>108.66</v>
      </c>
      <c r="K71" t="inlineStr"/>
      <c r="M71" t="inlineStr">
        <is>
          <t>TN</t>
        </is>
      </c>
      <c r="N71" t="inlineStr"/>
      <c r="P71" t="inlineStr">
        <is>
          <t>20210620</t>
        </is>
      </c>
      <c r="Q71" t="inlineStr">
        <is>
          <t>20241216</t>
        </is>
      </c>
    </row>
    <row r="72">
      <c r="A72" t="inlineStr">
        <is>
          <t>900002370DW75D31210043601</t>
        </is>
      </c>
      <c r="B72" t="inlineStr">
        <is>
          <t>900002370</t>
        </is>
      </c>
      <c r="C72" t="inlineStr">
        <is>
          <t>DW75</t>
        </is>
      </c>
      <c r="D72" t="inlineStr">
        <is>
          <t>D312</t>
        </is>
      </c>
      <c r="E72" t="inlineStr">
        <is>
          <t>1</t>
        </is>
      </c>
      <c r="F72" t="inlineStr">
        <is>
          <t>10043601</t>
        </is>
      </c>
      <c r="H72" t="inlineStr"/>
      <c r="J72" t="n">
        <v>108.84</v>
      </c>
      <c r="K72" t="inlineStr"/>
      <c r="M72" t="inlineStr">
        <is>
          <t>TN</t>
        </is>
      </c>
      <c r="N72" t="inlineStr"/>
      <c r="P72" t="inlineStr">
        <is>
          <t>20210620</t>
        </is>
      </c>
      <c r="Q72" t="inlineStr">
        <is>
          <t>20241216</t>
        </is>
      </c>
    </row>
    <row r="73">
      <c r="A73" t="inlineStr">
        <is>
          <t>900002370DW75D31210045642</t>
        </is>
      </c>
      <c r="B73" t="inlineStr">
        <is>
          <t>900002370</t>
        </is>
      </c>
      <c r="C73" t="inlineStr">
        <is>
          <t>DW75</t>
        </is>
      </c>
      <c r="D73" t="inlineStr">
        <is>
          <t>D312</t>
        </is>
      </c>
      <c r="E73" t="inlineStr">
        <is>
          <t>1</t>
        </is>
      </c>
      <c r="F73" t="inlineStr">
        <is>
          <t>10045642</t>
        </is>
      </c>
      <c r="H73" t="inlineStr"/>
      <c r="J73" t="n">
        <v>86.94</v>
      </c>
      <c r="K73" t="inlineStr"/>
      <c r="M73" t="inlineStr">
        <is>
          <t>TN</t>
        </is>
      </c>
      <c r="N73" t="inlineStr"/>
      <c r="P73" t="inlineStr">
        <is>
          <t>20210620</t>
        </is>
      </c>
      <c r="Q73" t="inlineStr">
        <is>
          <t>20241216</t>
        </is>
      </c>
    </row>
    <row r="74">
      <c r="A74" t="inlineStr">
        <is>
          <t>900002370DW75D31210147933</t>
        </is>
      </c>
      <c r="B74" t="inlineStr">
        <is>
          <t>900002370</t>
        </is>
      </c>
      <c r="C74" t="inlineStr">
        <is>
          <t>DW75</t>
        </is>
      </c>
      <c r="D74" t="inlineStr">
        <is>
          <t>D312</t>
        </is>
      </c>
      <c r="E74" t="inlineStr">
        <is>
          <t>1</t>
        </is>
      </c>
      <c r="F74" t="inlineStr">
        <is>
          <t>10147933</t>
        </is>
      </c>
      <c r="H74" t="inlineStr"/>
      <c r="J74" t="n">
        <v>92.94</v>
      </c>
      <c r="K74" t="inlineStr"/>
      <c r="M74" t="inlineStr">
        <is>
          <t>TN</t>
        </is>
      </c>
      <c r="N74" t="inlineStr"/>
      <c r="P74" t="inlineStr">
        <is>
          <t>20210620</t>
        </is>
      </c>
      <c r="Q74" t="inlineStr">
        <is>
          <t>20241216</t>
        </is>
      </c>
    </row>
    <row r="75">
      <c r="A75" t="inlineStr">
        <is>
          <t>900002370DW75D31210151191</t>
        </is>
      </c>
      <c r="B75" t="inlineStr">
        <is>
          <t>900002370</t>
        </is>
      </c>
      <c r="C75" t="inlineStr">
        <is>
          <t>DW75</t>
        </is>
      </c>
      <c r="D75" t="inlineStr">
        <is>
          <t>D312</t>
        </is>
      </c>
      <c r="E75" t="inlineStr">
        <is>
          <t>1</t>
        </is>
      </c>
      <c r="F75" t="inlineStr">
        <is>
          <t>10151191</t>
        </is>
      </c>
      <c r="H75" t="inlineStr"/>
      <c r="J75" t="n">
        <v>99.37</v>
      </c>
      <c r="K75" t="inlineStr"/>
      <c r="M75" t="inlineStr">
        <is>
          <t>TN</t>
        </is>
      </c>
      <c r="N75" t="inlineStr"/>
      <c r="P75" t="inlineStr">
        <is>
          <t>20210620</t>
        </is>
      </c>
      <c r="Q75" t="inlineStr">
        <is>
          <t>20241216</t>
        </is>
      </c>
    </row>
    <row r="76">
      <c r="A76" t="inlineStr">
        <is>
          <t>900002370DW75D31210189747</t>
        </is>
      </c>
      <c r="B76" t="inlineStr">
        <is>
          <t>900002370</t>
        </is>
      </c>
      <c r="C76" t="inlineStr">
        <is>
          <t>DW75</t>
        </is>
      </c>
      <c r="D76" t="inlineStr">
        <is>
          <t>D312</t>
        </is>
      </c>
      <c r="E76" t="inlineStr">
        <is>
          <t>1</t>
        </is>
      </c>
      <c r="F76" t="inlineStr">
        <is>
          <t>10189747</t>
        </is>
      </c>
      <c r="H76" t="inlineStr"/>
      <c r="J76" t="n">
        <v>108.2</v>
      </c>
      <c r="K76" t="inlineStr"/>
      <c r="M76" t="inlineStr">
        <is>
          <t>TN</t>
        </is>
      </c>
      <c r="N76" t="inlineStr"/>
      <c r="P76" t="inlineStr">
        <is>
          <t>20210620</t>
        </is>
      </c>
      <c r="Q76" t="inlineStr">
        <is>
          <t>20241216</t>
        </is>
      </c>
    </row>
    <row r="77">
      <c r="A77" t="inlineStr">
        <is>
          <t>900002370DW75D31510000364</t>
        </is>
      </c>
      <c r="B77" t="inlineStr">
        <is>
          <t>900002370</t>
        </is>
      </c>
      <c r="C77" t="inlineStr">
        <is>
          <t>DW75</t>
        </is>
      </c>
      <c r="D77" t="inlineStr">
        <is>
          <t>D315</t>
        </is>
      </c>
      <c r="E77" t="inlineStr">
        <is>
          <t>1</t>
        </is>
      </c>
      <c r="F77" t="inlineStr">
        <is>
          <t>10000364</t>
        </is>
      </c>
      <c r="H77" t="inlineStr"/>
      <c r="J77" t="n">
        <v>34.55</v>
      </c>
      <c r="K77" t="inlineStr"/>
      <c r="M77" t="inlineStr">
        <is>
          <t>TN</t>
        </is>
      </c>
      <c r="N77" t="inlineStr"/>
      <c r="P77" t="inlineStr">
        <is>
          <t>20210620</t>
        </is>
      </c>
      <c r="Q77" t="inlineStr">
        <is>
          <t>20241216</t>
        </is>
      </c>
    </row>
    <row r="78">
      <c r="A78" t="inlineStr">
        <is>
          <t>900002370DW75D31510000587</t>
        </is>
      </c>
      <c r="B78" t="inlineStr">
        <is>
          <t>900002370</t>
        </is>
      </c>
      <c r="C78" t="inlineStr">
        <is>
          <t>DW75</t>
        </is>
      </c>
      <c r="D78" t="inlineStr">
        <is>
          <t>D315</t>
        </is>
      </c>
      <c r="E78" t="inlineStr">
        <is>
          <t>1</t>
        </is>
      </c>
      <c r="F78" t="inlineStr">
        <is>
          <t>10000587</t>
        </is>
      </c>
      <c r="H78" t="inlineStr"/>
      <c r="J78" t="n">
        <v>33.85</v>
      </c>
      <c r="K78" t="inlineStr"/>
      <c r="M78" t="inlineStr">
        <is>
          <t>TN</t>
        </is>
      </c>
      <c r="N78" t="inlineStr"/>
      <c r="P78" t="inlineStr">
        <is>
          <t>20210620</t>
        </is>
      </c>
      <c r="Q78" t="inlineStr">
        <is>
          <t>20241216</t>
        </is>
      </c>
    </row>
    <row r="79">
      <c r="A79" t="inlineStr">
        <is>
          <t>900002370DW75D31510043600</t>
        </is>
      </c>
      <c r="B79" t="inlineStr">
        <is>
          <t>900002370</t>
        </is>
      </c>
      <c r="C79" t="inlineStr">
        <is>
          <t>DW75</t>
        </is>
      </c>
      <c r="D79" t="inlineStr">
        <is>
          <t>D315</t>
        </is>
      </c>
      <c r="E79" t="inlineStr">
        <is>
          <t>1</t>
        </is>
      </c>
      <c r="F79" t="inlineStr">
        <is>
          <t>10043600</t>
        </is>
      </c>
      <c r="H79" t="inlineStr"/>
      <c r="J79" t="n">
        <v>44.04</v>
      </c>
      <c r="K79" t="inlineStr"/>
      <c r="M79" t="inlineStr">
        <is>
          <t>TN</t>
        </is>
      </c>
      <c r="N79" t="inlineStr"/>
      <c r="P79" t="inlineStr">
        <is>
          <t>20210620</t>
        </is>
      </c>
      <c r="Q79" t="inlineStr">
        <is>
          <t>20241216</t>
        </is>
      </c>
    </row>
    <row r="80">
      <c r="A80" t="inlineStr">
        <is>
          <t>900002370DW75D31510043601</t>
        </is>
      </c>
      <c r="B80" t="inlineStr">
        <is>
          <t>900002370</t>
        </is>
      </c>
      <c r="C80" t="inlineStr">
        <is>
          <t>DW75</t>
        </is>
      </c>
      <c r="D80" t="inlineStr">
        <is>
          <t>D315</t>
        </is>
      </c>
      <c r="E80" t="inlineStr">
        <is>
          <t>1</t>
        </is>
      </c>
      <c r="F80" t="inlineStr">
        <is>
          <t>10043601</t>
        </is>
      </c>
      <c r="H80" t="inlineStr"/>
      <c r="J80" t="n">
        <v>44.12</v>
      </c>
      <c r="K80" t="inlineStr"/>
      <c r="M80" t="inlineStr">
        <is>
          <t>TN</t>
        </is>
      </c>
      <c r="N80" t="inlineStr"/>
      <c r="P80" t="inlineStr">
        <is>
          <t>20210620</t>
        </is>
      </c>
      <c r="Q80" t="inlineStr">
        <is>
          <t>20241216</t>
        </is>
      </c>
    </row>
    <row r="81">
      <c r="A81" t="inlineStr">
        <is>
          <t>900002370DW75D31510045642</t>
        </is>
      </c>
      <c r="B81" t="inlineStr">
        <is>
          <t>900002370</t>
        </is>
      </c>
      <c r="C81" t="inlineStr">
        <is>
          <t>DW75</t>
        </is>
      </c>
      <c r="D81" t="inlineStr">
        <is>
          <t>D315</t>
        </is>
      </c>
      <c r="E81" t="inlineStr">
        <is>
          <t>1</t>
        </is>
      </c>
      <c r="F81" t="inlineStr">
        <is>
          <t>10045642</t>
        </is>
      </c>
      <c r="H81" t="inlineStr"/>
      <c r="J81" t="n">
        <v>35.24</v>
      </c>
      <c r="K81" t="inlineStr"/>
      <c r="M81" t="inlineStr">
        <is>
          <t>TN</t>
        </is>
      </c>
      <c r="N81" t="inlineStr"/>
      <c r="P81" t="inlineStr">
        <is>
          <t>20210620</t>
        </is>
      </c>
      <c r="Q81" t="inlineStr">
        <is>
          <t>20241216</t>
        </is>
      </c>
    </row>
    <row r="82">
      <c r="A82" t="inlineStr">
        <is>
          <t>900002370DW75D31510147933</t>
        </is>
      </c>
      <c r="B82" t="inlineStr">
        <is>
          <t>900002370</t>
        </is>
      </c>
      <c r="C82" t="inlineStr">
        <is>
          <t>DW75</t>
        </is>
      </c>
      <c r="D82" t="inlineStr">
        <is>
          <t>D315</t>
        </is>
      </c>
      <c r="E82" t="inlineStr">
        <is>
          <t>1</t>
        </is>
      </c>
      <c r="F82" t="inlineStr">
        <is>
          <t>10147933</t>
        </is>
      </c>
      <c r="H82" t="inlineStr"/>
      <c r="J82" t="n">
        <v>37.67</v>
      </c>
      <c r="K82" t="inlineStr"/>
      <c r="M82" t="inlineStr">
        <is>
          <t>TN</t>
        </is>
      </c>
      <c r="N82" t="inlineStr"/>
      <c r="P82" t="inlineStr">
        <is>
          <t>20210620</t>
        </is>
      </c>
      <c r="Q82" t="inlineStr">
        <is>
          <t>20241216</t>
        </is>
      </c>
    </row>
    <row r="83">
      <c r="A83" t="inlineStr">
        <is>
          <t>900002370DW75D31510151191</t>
        </is>
      </c>
      <c r="B83" t="inlineStr">
        <is>
          <t>900002370</t>
        </is>
      </c>
      <c r="C83" t="inlineStr">
        <is>
          <t>DW75</t>
        </is>
      </c>
      <c r="D83" t="inlineStr">
        <is>
          <t>D315</t>
        </is>
      </c>
      <c r="E83" t="inlineStr">
        <is>
          <t>1</t>
        </is>
      </c>
      <c r="F83" t="inlineStr">
        <is>
          <t>10151191</t>
        </is>
      </c>
      <c r="H83" t="inlineStr"/>
      <c r="J83" t="n">
        <v>40.28</v>
      </c>
      <c r="K83" t="inlineStr"/>
      <c r="M83" t="inlineStr">
        <is>
          <t>TN</t>
        </is>
      </c>
      <c r="N83" t="inlineStr"/>
      <c r="P83" t="inlineStr">
        <is>
          <t>20210620</t>
        </is>
      </c>
      <c r="Q83" t="inlineStr">
        <is>
          <t>20241216</t>
        </is>
      </c>
    </row>
    <row r="84">
      <c r="A84" t="inlineStr">
        <is>
          <t>900002370DW75D31510189747</t>
        </is>
      </c>
      <c r="B84" t="inlineStr">
        <is>
          <t>900002370</t>
        </is>
      </c>
      <c r="C84" t="inlineStr">
        <is>
          <t>DW75</t>
        </is>
      </c>
      <c r="D84" t="inlineStr">
        <is>
          <t>D315</t>
        </is>
      </c>
      <c r="E84" t="inlineStr">
        <is>
          <t>1</t>
        </is>
      </c>
      <c r="F84" t="inlineStr">
        <is>
          <t>10189747</t>
        </is>
      </c>
      <c r="H84" t="inlineStr"/>
      <c r="J84" t="n">
        <v>43.86</v>
      </c>
      <c r="K84" t="inlineStr"/>
      <c r="M84" t="inlineStr">
        <is>
          <t>TN</t>
        </is>
      </c>
      <c r="N84" t="inlineStr"/>
      <c r="P84" t="inlineStr">
        <is>
          <t>20210620</t>
        </is>
      </c>
      <c r="Q84" t="inlineStr">
        <is>
          <t>20241216</t>
        </is>
      </c>
    </row>
    <row r="85">
      <c r="A85" t="inlineStr">
        <is>
          <t>900002370DW75D32710000364</t>
        </is>
      </c>
      <c r="B85" t="inlineStr">
        <is>
          <t>900002370</t>
        </is>
      </c>
      <c r="C85" t="inlineStr">
        <is>
          <t>DW75</t>
        </is>
      </c>
      <c r="D85" t="inlineStr">
        <is>
          <t>D327</t>
        </is>
      </c>
      <c r="E85" t="inlineStr">
        <is>
          <t>1</t>
        </is>
      </c>
      <c r="F85" t="inlineStr">
        <is>
          <t>10000364</t>
        </is>
      </c>
      <c r="H85" t="inlineStr"/>
      <c r="J85" t="n">
        <v>43.05</v>
      </c>
      <c r="K85" t="inlineStr"/>
      <c r="M85" t="inlineStr">
        <is>
          <t>TN</t>
        </is>
      </c>
      <c r="N85" t="inlineStr"/>
      <c r="P85" t="inlineStr">
        <is>
          <t>20210620</t>
        </is>
      </c>
      <c r="Q85" t="inlineStr">
        <is>
          <t>20241216</t>
        </is>
      </c>
    </row>
    <row r="86">
      <c r="A86" t="inlineStr">
        <is>
          <t>900002370DW75D32710000587</t>
        </is>
      </c>
      <c r="B86" t="inlineStr">
        <is>
          <t>900002370</t>
        </is>
      </c>
      <c r="C86" t="inlineStr">
        <is>
          <t>DW75</t>
        </is>
      </c>
      <c r="D86" t="inlineStr">
        <is>
          <t>D327</t>
        </is>
      </c>
      <c r="E86" t="inlineStr">
        <is>
          <t>1</t>
        </is>
      </c>
      <c r="F86" t="inlineStr">
        <is>
          <t>10000587</t>
        </is>
      </c>
      <c r="H86" t="inlineStr"/>
      <c r="J86" t="n">
        <v>40.75</v>
      </c>
      <c r="K86" t="inlineStr"/>
      <c r="M86" t="inlineStr">
        <is>
          <t>TN</t>
        </is>
      </c>
      <c r="N86" t="inlineStr"/>
      <c r="P86" t="inlineStr">
        <is>
          <t>20210620</t>
        </is>
      </c>
      <c r="Q86" t="inlineStr">
        <is>
          <t>20241216</t>
        </is>
      </c>
    </row>
    <row r="87">
      <c r="A87" t="inlineStr">
        <is>
          <t>900002370DW75D32710043600</t>
        </is>
      </c>
      <c r="B87" t="inlineStr">
        <is>
          <t>900002370</t>
        </is>
      </c>
      <c r="C87" t="inlineStr">
        <is>
          <t>DW75</t>
        </is>
      </c>
      <c r="D87" t="inlineStr">
        <is>
          <t>D327</t>
        </is>
      </c>
      <c r="E87" t="inlineStr">
        <is>
          <t>1</t>
        </is>
      </c>
      <c r="F87" t="inlineStr">
        <is>
          <t>10043600</t>
        </is>
      </c>
      <c r="H87" t="inlineStr"/>
      <c r="J87" t="n">
        <v>125.31</v>
      </c>
      <c r="K87" t="inlineStr"/>
      <c r="M87" t="inlineStr">
        <is>
          <t>TN</t>
        </is>
      </c>
      <c r="N87" t="inlineStr"/>
      <c r="P87" t="inlineStr">
        <is>
          <t>20210620</t>
        </is>
      </c>
      <c r="Q87" t="inlineStr">
        <is>
          <t>20241216</t>
        </is>
      </c>
    </row>
    <row r="88">
      <c r="A88" t="inlineStr">
        <is>
          <t>900002370DW75D32710043601</t>
        </is>
      </c>
      <c r="B88" t="inlineStr">
        <is>
          <t>900002370</t>
        </is>
      </c>
      <c r="C88" t="inlineStr">
        <is>
          <t>DW75</t>
        </is>
      </c>
      <c r="D88" t="inlineStr">
        <is>
          <t>D327</t>
        </is>
      </c>
      <c r="E88" t="inlineStr">
        <is>
          <t>1</t>
        </is>
      </c>
      <c r="F88" t="inlineStr">
        <is>
          <t>10043601</t>
        </is>
      </c>
      <c r="H88" t="inlineStr"/>
      <c r="J88" t="n">
        <v>125.52</v>
      </c>
      <c r="K88" t="inlineStr"/>
      <c r="M88" t="inlineStr">
        <is>
          <t>TN</t>
        </is>
      </c>
      <c r="N88" t="inlineStr"/>
      <c r="P88" t="inlineStr">
        <is>
          <t>20210620</t>
        </is>
      </c>
      <c r="Q88" t="inlineStr">
        <is>
          <t>20241216</t>
        </is>
      </c>
    </row>
    <row r="89">
      <c r="A89" t="inlineStr">
        <is>
          <t>900002370DW75D32710045642</t>
        </is>
      </c>
      <c r="B89" t="inlineStr">
        <is>
          <t>900002370</t>
        </is>
      </c>
      <c r="C89" t="inlineStr">
        <is>
          <t>DW75</t>
        </is>
      </c>
      <c r="D89" t="inlineStr">
        <is>
          <t>D327</t>
        </is>
      </c>
      <c r="E89" t="inlineStr">
        <is>
          <t>1</t>
        </is>
      </c>
      <c r="F89" t="inlineStr">
        <is>
          <t>10045642</t>
        </is>
      </c>
      <c r="H89" t="inlineStr"/>
      <c r="J89" t="n">
        <v>100.27</v>
      </c>
      <c r="K89" t="inlineStr"/>
      <c r="M89" t="inlineStr">
        <is>
          <t>TN</t>
        </is>
      </c>
      <c r="N89" t="inlineStr"/>
      <c r="P89" t="inlineStr">
        <is>
          <t>20210620</t>
        </is>
      </c>
      <c r="Q89" t="inlineStr">
        <is>
          <t>20241216</t>
        </is>
      </c>
    </row>
    <row r="90">
      <c r="A90" t="inlineStr">
        <is>
          <t>900002370DW75D32710147933</t>
        </is>
      </c>
      <c r="B90" t="inlineStr">
        <is>
          <t>900002370</t>
        </is>
      </c>
      <c r="C90" t="inlineStr">
        <is>
          <t>DW75</t>
        </is>
      </c>
      <c r="D90" t="inlineStr">
        <is>
          <t>D327</t>
        </is>
      </c>
      <c r="E90" t="inlineStr">
        <is>
          <t>1</t>
        </is>
      </c>
      <c r="F90" t="inlineStr">
        <is>
          <t>10147933</t>
        </is>
      </c>
      <c r="H90" t="inlineStr"/>
      <c r="J90" t="n">
        <v>107.19</v>
      </c>
      <c r="K90" t="inlineStr"/>
      <c r="M90" t="inlineStr">
        <is>
          <t>TN</t>
        </is>
      </c>
      <c r="N90" t="inlineStr"/>
      <c r="P90" t="inlineStr">
        <is>
          <t>20210620</t>
        </is>
      </c>
      <c r="Q90" t="inlineStr">
        <is>
          <t>20241216</t>
        </is>
      </c>
    </row>
    <row r="91">
      <c r="A91" t="inlineStr">
        <is>
          <t>900002370DW75D32710151191</t>
        </is>
      </c>
      <c r="B91" t="inlineStr">
        <is>
          <t>900002370</t>
        </is>
      </c>
      <c r="C91" t="inlineStr">
        <is>
          <t>DW75</t>
        </is>
      </c>
      <c r="D91" t="inlineStr">
        <is>
          <t>D327</t>
        </is>
      </c>
      <c r="E91" t="inlineStr">
        <is>
          <t>1</t>
        </is>
      </c>
      <c r="F91" t="inlineStr">
        <is>
          <t>10151191</t>
        </is>
      </c>
      <c r="H91" t="inlineStr"/>
      <c r="J91" t="n">
        <v>114.6</v>
      </c>
      <c r="K91" t="inlineStr"/>
      <c r="M91" t="inlineStr">
        <is>
          <t>TN</t>
        </is>
      </c>
      <c r="N91" t="inlineStr"/>
      <c r="P91" t="inlineStr">
        <is>
          <t>20210620</t>
        </is>
      </c>
      <c r="Q91" t="inlineStr">
        <is>
          <t>20241216</t>
        </is>
      </c>
    </row>
    <row r="92">
      <c r="A92" t="inlineStr">
        <is>
          <t>900002370DW75D32710189747</t>
        </is>
      </c>
      <c r="B92" t="inlineStr">
        <is>
          <t>900002370</t>
        </is>
      </c>
      <c r="C92" t="inlineStr">
        <is>
          <t>DW75</t>
        </is>
      </c>
      <c r="D92" t="inlineStr">
        <is>
          <t>D327</t>
        </is>
      </c>
      <c r="E92" t="inlineStr">
        <is>
          <t>1</t>
        </is>
      </c>
      <c r="F92" t="inlineStr">
        <is>
          <t>10189747</t>
        </is>
      </c>
      <c r="H92" t="inlineStr"/>
      <c r="J92" t="n">
        <v>124.78</v>
      </c>
      <c r="K92" t="inlineStr"/>
      <c r="M92" t="inlineStr">
        <is>
          <t>TN</t>
        </is>
      </c>
      <c r="N92" t="inlineStr"/>
      <c r="P92" t="inlineStr">
        <is>
          <t>20210620</t>
        </is>
      </c>
      <c r="Q92" t="inlineStr">
        <is>
          <t>20241216</t>
        </is>
      </c>
    </row>
    <row r="93">
      <c r="A93" t="inlineStr">
        <is>
          <t>900002370DW75D33110000364</t>
        </is>
      </c>
      <c r="B93" t="inlineStr">
        <is>
          <t>900002370</t>
        </is>
      </c>
      <c r="C93" t="inlineStr">
        <is>
          <t>DW75</t>
        </is>
      </c>
      <c r="D93" t="inlineStr">
        <is>
          <t>D331</t>
        </is>
      </c>
      <c r="E93" t="inlineStr">
        <is>
          <t>1</t>
        </is>
      </c>
      <c r="F93" t="inlineStr">
        <is>
          <t>10000364</t>
        </is>
      </c>
      <c r="H93" t="inlineStr"/>
      <c r="J93" t="n">
        <v>31.64</v>
      </c>
      <c r="K93" t="inlineStr"/>
      <c r="M93" t="inlineStr">
        <is>
          <t>TN</t>
        </is>
      </c>
      <c r="N93" t="inlineStr"/>
      <c r="P93" t="inlineStr">
        <is>
          <t>20210620</t>
        </is>
      </c>
      <c r="Q93" t="inlineStr">
        <is>
          <t>20241216</t>
        </is>
      </c>
    </row>
    <row r="94">
      <c r="A94" t="inlineStr">
        <is>
          <t>900002370DW75D33110000587</t>
        </is>
      </c>
      <c r="B94" t="inlineStr">
        <is>
          <t>900002370</t>
        </is>
      </c>
      <c r="C94" t="inlineStr">
        <is>
          <t>DW75</t>
        </is>
      </c>
      <c r="D94" t="inlineStr">
        <is>
          <t>D331</t>
        </is>
      </c>
      <c r="E94" t="inlineStr">
        <is>
          <t>1</t>
        </is>
      </c>
      <c r="F94" t="inlineStr">
        <is>
          <t>10000587</t>
        </is>
      </c>
      <c r="H94" t="inlineStr"/>
      <c r="J94" t="n">
        <v>31</v>
      </c>
      <c r="K94" t="inlineStr"/>
      <c r="M94" t="inlineStr">
        <is>
          <t>TN</t>
        </is>
      </c>
      <c r="N94" t="inlineStr"/>
      <c r="P94" t="inlineStr">
        <is>
          <t>20210620</t>
        </is>
      </c>
      <c r="Q94" t="inlineStr">
        <is>
          <t>20241216</t>
        </is>
      </c>
    </row>
    <row r="95">
      <c r="A95" t="inlineStr">
        <is>
          <t>900002370DW75D33110043600</t>
        </is>
      </c>
      <c r="B95" t="inlineStr">
        <is>
          <t>900002370</t>
        </is>
      </c>
      <c r="C95" t="inlineStr">
        <is>
          <t>DW75</t>
        </is>
      </c>
      <c r="D95" t="inlineStr">
        <is>
          <t>D331</t>
        </is>
      </c>
      <c r="E95" t="inlineStr">
        <is>
          <t>1</t>
        </is>
      </c>
      <c r="F95" t="inlineStr">
        <is>
          <t>10043600</t>
        </is>
      </c>
      <c r="H95" t="inlineStr"/>
      <c r="J95" t="n">
        <v>38.44</v>
      </c>
      <c r="K95" t="inlineStr"/>
      <c r="M95" t="inlineStr">
        <is>
          <t>TN</t>
        </is>
      </c>
      <c r="N95" t="inlineStr"/>
      <c r="P95" t="inlineStr">
        <is>
          <t>20210620</t>
        </is>
      </c>
      <c r="Q95" t="inlineStr">
        <is>
          <t>20241216</t>
        </is>
      </c>
    </row>
    <row r="96">
      <c r="A96" t="inlineStr">
        <is>
          <t>900002370DW75D33110043601</t>
        </is>
      </c>
      <c r="B96" t="inlineStr">
        <is>
          <t>900002370</t>
        </is>
      </c>
      <c r="C96" t="inlineStr">
        <is>
          <t>DW75</t>
        </is>
      </c>
      <c r="D96" t="inlineStr">
        <is>
          <t>D331</t>
        </is>
      </c>
      <c r="E96" t="inlineStr">
        <is>
          <t>1</t>
        </is>
      </c>
      <c r="F96" t="inlineStr">
        <is>
          <t>10043601</t>
        </is>
      </c>
      <c r="H96" t="inlineStr"/>
      <c r="J96" t="n">
        <v>38.5</v>
      </c>
      <c r="K96" t="inlineStr"/>
      <c r="M96" t="inlineStr">
        <is>
          <t>TN</t>
        </is>
      </c>
      <c r="N96" t="inlineStr"/>
      <c r="P96" t="inlineStr">
        <is>
          <t>20210620</t>
        </is>
      </c>
      <c r="Q96" t="inlineStr">
        <is>
          <t>20241216</t>
        </is>
      </c>
    </row>
    <row r="97">
      <c r="A97" t="inlineStr">
        <is>
          <t>900002370DW75D33110045642</t>
        </is>
      </c>
      <c r="B97" t="inlineStr">
        <is>
          <t>900002370</t>
        </is>
      </c>
      <c r="C97" t="inlineStr">
        <is>
          <t>DW75</t>
        </is>
      </c>
      <c r="D97" t="inlineStr">
        <is>
          <t>D331</t>
        </is>
      </c>
      <c r="E97" t="inlineStr">
        <is>
          <t>1</t>
        </is>
      </c>
      <c r="F97" t="inlineStr">
        <is>
          <t>10045642</t>
        </is>
      </c>
      <c r="H97" t="inlineStr"/>
      <c r="J97" t="n">
        <v>30.76</v>
      </c>
      <c r="K97" t="inlineStr"/>
      <c r="M97" t="inlineStr">
        <is>
          <t>TN</t>
        </is>
      </c>
      <c r="N97" t="inlineStr"/>
      <c r="P97" t="inlineStr">
        <is>
          <t>20210620</t>
        </is>
      </c>
      <c r="Q97" t="inlineStr">
        <is>
          <t>20241216</t>
        </is>
      </c>
    </row>
    <row r="98">
      <c r="A98" t="inlineStr">
        <is>
          <t>900002370DW75D33110147933</t>
        </is>
      </c>
      <c r="B98" t="inlineStr">
        <is>
          <t>900002370</t>
        </is>
      </c>
      <c r="C98" t="inlineStr">
        <is>
          <t>DW75</t>
        </is>
      </c>
      <c r="D98" t="inlineStr">
        <is>
          <t>D331</t>
        </is>
      </c>
      <c r="E98" t="inlineStr">
        <is>
          <t>1</t>
        </is>
      </c>
      <c r="F98" t="inlineStr">
        <is>
          <t>10147933</t>
        </is>
      </c>
      <c r="H98" t="inlineStr"/>
      <c r="J98" t="n">
        <v>32.88</v>
      </c>
      <c r="K98" t="inlineStr"/>
      <c r="M98" t="inlineStr">
        <is>
          <t>TN</t>
        </is>
      </c>
      <c r="N98" t="inlineStr"/>
      <c r="P98" t="inlineStr">
        <is>
          <t>20210620</t>
        </is>
      </c>
      <c r="Q98" t="inlineStr">
        <is>
          <t>20241216</t>
        </is>
      </c>
    </row>
    <row r="99">
      <c r="A99" t="inlineStr">
        <is>
          <t>900002370DW75D33110151191</t>
        </is>
      </c>
      <c r="B99" t="inlineStr">
        <is>
          <t>900002370</t>
        </is>
      </c>
      <c r="C99" t="inlineStr">
        <is>
          <t>DW75</t>
        </is>
      </c>
      <c r="D99" t="inlineStr">
        <is>
          <t>D331</t>
        </is>
      </c>
      <c r="E99" t="inlineStr">
        <is>
          <t>1</t>
        </is>
      </c>
      <c r="F99" t="inlineStr">
        <is>
          <t>10151191</t>
        </is>
      </c>
      <c r="H99" t="inlineStr"/>
      <c r="J99" t="n">
        <v>35.15</v>
      </c>
      <c r="K99" t="inlineStr"/>
      <c r="M99" t="inlineStr">
        <is>
          <t>TN</t>
        </is>
      </c>
      <c r="N99" t="inlineStr"/>
      <c r="P99" t="inlineStr">
        <is>
          <t>20210620</t>
        </is>
      </c>
      <c r="Q99" t="inlineStr">
        <is>
          <t>20241216</t>
        </is>
      </c>
    </row>
    <row r="100">
      <c r="A100" t="inlineStr">
        <is>
          <t>900002370DW75D34310000364</t>
        </is>
      </c>
      <c r="B100" t="inlineStr">
        <is>
          <t>900002370</t>
        </is>
      </c>
      <c r="C100" t="inlineStr">
        <is>
          <t>DW75</t>
        </is>
      </c>
      <c r="D100" t="inlineStr">
        <is>
          <t>D343</t>
        </is>
      </c>
      <c r="E100" t="inlineStr">
        <is>
          <t>1</t>
        </is>
      </c>
      <c r="F100" t="inlineStr">
        <is>
          <t>10000364</t>
        </is>
      </c>
      <c r="H100" t="inlineStr"/>
      <c r="J100" t="n">
        <v>36.15</v>
      </c>
      <c r="K100" t="inlineStr"/>
      <c r="M100" t="inlineStr">
        <is>
          <t>TN</t>
        </is>
      </c>
      <c r="N100" t="inlineStr"/>
      <c r="P100" t="inlineStr">
        <is>
          <t>20210620</t>
        </is>
      </c>
      <c r="Q100" t="inlineStr">
        <is>
          <t>20241216</t>
        </is>
      </c>
    </row>
    <row r="101">
      <c r="A101" t="inlineStr">
        <is>
          <t>900002370DW75D34310043600</t>
        </is>
      </c>
      <c r="B101" t="inlineStr">
        <is>
          <t>900002370</t>
        </is>
      </c>
      <c r="C101" t="inlineStr">
        <is>
          <t>DW75</t>
        </is>
      </c>
      <c r="D101" t="inlineStr">
        <is>
          <t>D343</t>
        </is>
      </c>
      <c r="E101" t="inlineStr">
        <is>
          <t>1</t>
        </is>
      </c>
      <c r="F101" t="inlineStr">
        <is>
          <t>10043600</t>
        </is>
      </c>
      <c r="H101" t="inlineStr"/>
      <c r="J101" t="n">
        <v>82.18000000000001</v>
      </c>
      <c r="K101" t="inlineStr"/>
      <c r="M101" t="inlineStr">
        <is>
          <t>TN</t>
        </is>
      </c>
      <c r="N101" t="inlineStr"/>
      <c r="P101" t="inlineStr">
        <is>
          <t>20251212</t>
        </is>
      </c>
      <c r="Q101" t="inlineStr">
        <is>
          <t>99991231</t>
        </is>
      </c>
    </row>
    <row r="102">
      <c r="A102" t="inlineStr">
        <is>
          <t>900002370DW75D34310043601</t>
        </is>
      </c>
      <c r="B102" t="inlineStr">
        <is>
          <t>900002370</t>
        </is>
      </c>
      <c r="C102" t="inlineStr">
        <is>
          <t>DW75</t>
        </is>
      </c>
      <c r="D102" t="inlineStr">
        <is>
          <t>D343</t>
        </is>
      </c>
      <c r="E102" t="inlineStr">
        <is>
          <t>1</t>
        </is>
      </c>
      <c r="F102" t="inlineStr">
        <is>
          <t>10043601</t>
        </is>
      </c>
      <c r="H102" t="inlineStr"/>
      <c r="J102" t="n">
        <v>82.31999999999999</v>
      </c>
      <c r="K102" t="inlineStr"/>
      <c r="M102" t="inlineStr">
        <is>
          <t>TN</t>
        </is>
      </c>
      <c r="N102" t="inlineStr"/>
      <c r="P102" t="inlineStr">
        <is>
          <t>20251212</t>
        </is>
      </c>
      <c r="Q102" t="inlineStr">
        <is>
          <t>99991231</t>
        </is>
      </c>
    </row>
    <row r="103">
      <c r="A103" t="inlineStr">
        <is>
          <t>900002370DW75D34310045642</t>
        </is>
      </c>
      <c r="B103" t="inlineStr">
        <is>
          <t>900002370</t>
        </is>
      </c>
      <c r="C103" t="inlineStr">
        <is>
          <t>DW75</t>
        </is>
      </c>
      <c r="D103" t="inlineStr">
        <is>
          <t>D343</t>
        </is>
      </c>
      <c r="E103" t="inlineStr">
        <is>
          <t>1</t>
        </is>
      </c>
      <c r="F103" t="inlineStr">
        <is>
          <t>10045642</t>
        </is>
      </c>
      <c r="H103" t="inlineStr"/>
      <c r="J103" t="n">
        <v>65.76000000000001</v>
      </c>
      <c r="K103" t="inlineStr"/>
      <c r="M103" t="inlineStr">
        <is>
          <t>TN</t>
        </is>
      </c>
      <c r="N103" t="inlineStr"/>
      <c r="P103" t="inlineStr">
        <is>
          <t>20251212</t>
        </is>
      </c>
      <c r="Q103" t="inlineStr">
        <is>
          <t>20260215</t>
        </is>
      </c>
    </row>
    <row r="104">
      <c r="A104" t="inlineStr">
        <is>
          <t>900002370DW75D34310147933</t>
        </is>
      </c>
      <c r="B104" t="inlineStr">
        <is>
          <t>900002370</t>
        </is>
      </c>
      <c r="C104" t="inlineStr">
        <is>
          <t>DW75</t>
        </is>
      </c>
      <c r="D104" t="inlineStr">
        <is>
          <t>D343</t>
        </is>
      </c>
      <c r="E104" t="inlineStr">
        <is>
          <t>1</t>
        </is>
      </c>
      <c r="F104" t="inlineStr">
        <is>
          <t>10147933</t>
        </is>
      </c>
      <c r="H104" t="inlineStr"/>
      <c r="J104" t="n">
        <v>70.3</v>
      </c>
      <c r="K104" t="inlineStr"/>
      <c r="M104" t="inlineStr">
        <is>
          <t>TN</t>
        </is>
      </c>
      <c r="N104" t="inlineStr"/>
      <c r="P104" t="inlineStr">
        <is>
          <t>20251212</t>
        </is>
      </c>
      <c r="Q104" t="inlineStr">
        <is>
          <t>20260215</t>
        </is>
      </c>
    </row>
    <row r="105">
      <c r="A105" t="inlineStr">
        <is>
          <t>900002370DW75D34310151191</t>
        </is>
      </c>
      <c r="B105" t="inlineStr">
        <is>
          <t>900002370</t>
        </is>
      </c>
      <c r="C105" t="inlineStr">
        <is>
          <t>DW75</t>
        </is>
      </c>
      <c r="D105" t="inlineStr">
        <is>
          <t>D343</t>
        </is>
      </c>
      <c r="E105" t="inlineStr">
        <is>
          <t>1</t>
        </is>
      </c>
      <c r="F105" t="inlineStr">
        <is>
          <t>10151191</t>
        </is>
      </c>
      <c r="H105" t="inlineStr"/>
      <c r="J105" t="n">
        <v>75.16</v>
      </c>
      <c r="K105" t="inlineStr"/>
      <c r="M105" t="inlineStr">
        <is>
          <t>TN</t>
        </is>
      </c>
      <c r="N105" t="inlineStr"/>
      <c r="P105" t="inlineStr">
        <is>
          <t>20251212</t>
        </is>
      </c>
      <c r="Q105" t="inlineStr">
        <is>
          <t>99991231</t>
        </is>
      </c>
    </row>
    <row r="106">
      <c r="A106" t="inlineStr">
        <is>
          <t>900002370DW75D34310189747</t>
        </is>
      </c>
      <c r="B106" t="inlineStr">
        <is>
          <t>900002370</t>
        </is>
      </c>
      <c r="C106" t="inlineStr">
        <is>
          <t>DW75</t>
        </is>
      </c>
      <c r="D106" t="inlineStr">
        <is>
          <t>D343</t>
        </is>
      </c>
      <c r="E106" t="inlineStr">
        <is>
          <t>1</t>
        </is>
      </c>
      <c r="F106" t="inlineStr">
        <is>
          <t>10189747</t>
        </is>
      </c>
      <c r="H106" t="inlineStr"/>
      <c r="J106" t="n">
        <v>77.94</v>
      </c>
      <c r="K106" t="inlineStr"/>
      <c r="M106" t="inlineStr">
        <is>
          <t>TN</t>
        </is>
      </c>
      <c r="N106" t="inlineStr"/>
      <c r="P106" t="inlineStr">
        <is>
          <t>20210620</t>
        </is>
      </c>
      <c r="Q106" t="inlineStr">
        <is>
          <t>20241216</t>
        </is>
      </c>
    </row>
    <row r="107">
      <c r="A107" t="inlineStr">
        <is>
          <t>900002370DW75D34910000364</t>
        </is>
      </c>
      <c r="B107" t="inlineStr">
        <is>
          <t>900002370</t>
        </is>
      </c>
      <c r="C107" t="inlineStr">
        <is>
          <t>DW75</t>
        </is>
      </c>
      <c r="D107" t="inlineStr">
        <is>
          <t>D349</t>
        </is>
      </c>
      <c r="E107" t="inlineStr">
        <is>
          <t>1</t>
        </is>
      </c>
      <c r="F107" t="inlineStr">
        <is>
          <t>10000364</t>
        </is>
      </c>
      <c r="H107" t="inlineStr"/>
      <c r="J107" t="n">
        <v>48.32</v>
      </c>
      <c r="K107" t="inlineStr"/>
      <c r="M107" t="inlineStr">
        <is>
          <t>TN</t>
        </is>
      </c>
      <c r="N107" t="inlineStr"/>
      <c r="P107" t="inlineStr">
        <is>
          <t>20210620</t>
        </is>
      </c>
      <c r="Q107" t="inlineStr">
        <is>
          <t>20241216</t>
        </is>
      </c>
    </row>
    <row r="108">
      <c r="A108" t="inlineStr">
        <is>
          <t>900002370DW75D34910000587</t>
        </is>
      </c>
      <c r="B108" t="inlineStr">
        <is>
          <t>900002370</t>
        </is>
      </c>
      <c r="C108" t="inlineStr">
        <is>
          <t>DW75</t>
        </is>
      </c>
      <c r="D108" t="inlineStr">
        <is>
          <t>D349</t>
        </is>
      </c>
      <c r="E108" t="inlineStr">
        <is>
          <t>1</t>
        </is>
      </c>
      <c r="F108" t="inlineStr">
        <is>
          <t>10000587</t>
        </is>
      </c>
      <c r="H108" t="inlineStr"/>
      <c r="J108" t="n">
        <v>46.2</v>
      </c>
      <c r="K108" t="inlineStr"/>
      <c r="M108" t="inlineStr">
        <is>
          <t>TN</t>
        </is>
      </c>
      <c r="N108" t="inlineStr"/>
      <c r="P108" t="inlineStr">
        <is>
          <t>20210620</t>
        </is>
      </c>
      <c r="Q108" t="inlineStr">
        <is>
          <t>20241216</t>
        </is>
      </c>
    </row>
    <row r="109">
      <c r="A109" t="inlineStr">
        <is>
          <t>900002370DW75D34910043600</t>
        </is>
      </c>
      <c r="B109" t="inlineStr">
        <is>
          <t>900002370</t>
        </is>
      </c>
      <c r="C109" t="inlineStr">
        <is>
          <t>DW75</t>
        </is>
      </c>
      <c r="D109" t="inlineStr">
        <is>
          <t>D349</t>
        </is>
      </c>
      <c r="E109" t="inlineStr">
        <is>
          <t>1</t>
        </is>
      </c>
      <c r="F109" t="inlineStr">
        <is>
          <t>10043600</t>
        </is>
      </c>
      <c r="H109" t="inlineStr"/>
      <c r="J109" t="n">
        <v>174.42</v>
      </c>
      <c r="K109" t="inlineStr"/>
      <c r="M109" t="inlineStr">
        <is>
          <t>TN</t>
        </is>
      </c>
      <c r="N109" t="inlineStr"/>
      <c r="P109" t="inlineStr">
        <is>
          <t>20251212</t>
        </is>
      </c>
      <c r="Q109" t="inlineStr">
        <is>
          <t>20260215</t>
        </is>
      </c>
    </row>
    <row r="110">
      <c r="A110" t="inlineStr">
        <is>
          <t>900002370DW75D34910043601</t>
        </is>
      </c>
      <c r="B110" t="inlineStr">
        <is>
          <t>900002370</t>
        </is>
      </c>
      <c r="C110" t="inlineStr">
        <is>
          <t>DW75</t>
        </is>
      </c>
      <c r="D110" t="inlineStr">
        <is>
          <t>D349</t>
        </is>
      </c>
      <c r="E110" t="inlineStr">
        <is>
          <t>1</t>
        </is>
      </c>
      <c r="F110" t="inlineStr">
        <is>
          <t>10043601</t>
        </is>
      </c>
      <c r="H110" t="inlineStr"/>
      <c r="J110" t="n">
        <v>174.71</v>
      </c>
      <c r="K110" t="inlineStr"/>
      <c r="M110" t="inlineStr">
        <is>
          <t>TN</t>
        </is>
      </c>
      <c r="N110" t="inlineStr"/>
      <c r="P110" t="inlineStr">
        <is>
          <t>20251212</t>
        </is>
      </c>
      <c r="Q110" t="inlineStr">
        <is>
          <t>99991231</t>
        </is>
      </c>
    </row>
    <row r="111">
      <c r="A111" t="inlineStr">
        <is>
          <t>900002370DW75D34910045642</t>
        </is>
      </c>
      <c r="B111" t="inlineStr">
        <is>
          <t>900002370</t>
        </is>
      </c>
      <c r="C111" t="inlineStr">
        <is>
          <t>DW75</t>
        </is>
      </c>
      <c r="D111" t="inlineStr">
        <is>
          <t>D349</t>
        </is>
      </c>
      <c r="E111" t="inlineStr">
        <is>
          <t>1</t>
        </is>
      </c>
      <c r="F111" t="inlineStr">
        <is>
          <t>10045642</t>
        </is>
      </c>
      <c r="H111" t="inlineStr"/>
      <c r="J111" t="n">
        <v>139.56</v>
      </c>
      <c r="K111" t="inlineStr"/>
      <c r="M111" t="inlineStr">
        <is>
          <t>TN</t>
        </is>
      </c>
      <c r="N111" t="inlineStr"/>
      <c r="P111" t="inlineStr">
        <is>
          <t>20251212</t>
        </is>
      </c>
      <c r="Q111" t="inlineStr">
        <is>
          <t>20260215</t>
        </is>
      </c>
    </row>
    <row r="112">
      <c r="A112" t="inlineStr">
        <is>
          <t>900002370DW75D34910147933</t>
        </is>
      </c>
      <c r="B112" t="inlineStr">
        <is>
          <t>900002370</t>
        </is>
      </c>
      <c r="C112" t="inlineStr">
        <is>
          <t>DW75</t>
        </is>
      </c>
      <c r="D112" t="inlineStr">
        <is>
          <t>D349</t>
        </is>
      </c>
      <c r="E112" t="inlineStr">
        <is>
          <t>1</t>
        </is>
      </c>
      <c r="F112" t="inlineStr">
        <is>
          <t>10147933</t>
        </is>
      </c>
      <c r="H112" t="inlineStr"/>
      <c r="J112" t="n">
        <v>149.19</v>
      </c>
      <c r="K112" t="inlineStr"/>
      <c r="M112" t="inlineStr">
        <is>
          <t>TN</t>
        </is>
      </c>
      <c r="N112" t="inlineStr"/>
      <c r="P112" t="inlineStr">
        <is>
          <t>20251212</t>
        </is>
      </c>
      <c r="Q112" t="inlineStr">
        <is>
          <t>20260215</t>
        </is>
      </c>
    </row>
    <row r="113">
      <c r="A113" t="inlineStr">
        <is>
          <t>900002370DW75D34910151191</t>
        </is>
      </c>
      <c r="B113" t="inlineStr">
        <is>
          <t>900002370</t>
        </is>
      </c>
      <c r="C113" t="inlineStr">
        <is>
          <t>DW75</t>
        </is>
      </c>
      <c r="D113" t="inlineStr">
        <is>
          <t>D349</t>
        </is>
      </c>
      <c r="E113" t="inlineStr">
        <is>
          <t>1</t>
        </is>
      </c>
      <c r="F113" t="inlineStr">
        <is>
          <t>10151191</t>
        </is>
      </c>
      <c r="H113" t="inlineStr"/>
      <c r="J113" t="n">
        <v>163.5</v>
      </c>
      <c r="K113" t="inlineStr"/>
      <c r="M113" t="inlineStr">
        <is>
          <t>TN</t>
        </is>
      </c>
      <c r="N113" t="inlineStr"/>
      <c r="P113" t="inlineStr">
        <is>
          <t>20260603</t>
        </is>
      </c>
      <c r="Q113" t="inlineStr">
        <is>
          <t>99991231</t>
        </is>
      </c>
    </row>
    <row r="114">
      <c r="A114" t="inlineStr">
        <is>
          <t>900002370DW75D34910189747</t>
        </is>
      </c>
      <c r="B114" t="inlineStr">
        <is>
          <t>900002370</t>
        </is>
      </c>
      <c r="C114" t="inlineStr">
        <is>
          <t>DW75</t>
        </is>
      </c>
      <c r="D114" t="inlineStr">
        <is>
          <t>D349</t>
        </is>
      </c>
      <c r="E114" t="inlineStr">
        <is>
          <t>1</t>
        </is>
      </c>
      <c r="F114" t="inlineStr">
        <is>
          <t>10189747</t>
        </is>
      </c>
      <c r="H114" t="inlineStr"/>
      <c r="J114" t="n">
        <v>165.41</v>
      </c>
      <c r="K114" t="inlineStr"/>
      <c r="M114" t="inlineStr">
        <is>
          <t>TN</t>
        </is>
      </c>
      <c r="N114" t="inlineStr"/>
      <c r="P114" t="inlineStr">
        <is>
          <t>20210620</t>
        </is>
      </c>
      <c r="Q114" t="inlineStr">
        <is>
          <t>20241216</t>
        </is>
      </c>
    </row>
    <row r="115">
      <c r="A115" t="inlineStr">
        <is>
          <t>900002370DW75D35810043600</t>
        </is>
      </c>
      <c r="B115" t="inlineStr">
        <is>
          <t>900002370</t>
        </is>
      </c>
      <c r="C115" t="inlineStr">
        <is>
          <t>DW75</t>
        </is>
      </c>
      <c r="D115" t="inlineStr">
        <is>
          <t>D358</t>
        </is>
      </c>
      <c r="E115" t="inlineStr">
        <is>
          <t>1</t>
        </is>
      </c>
      <c r="F115" t="inlineStr">
        <is>
          <t>10043600</t>
        </is>
      </c>
      <c r="H115" t="inlineStr"/>
      <c r="J115" t="n">
        <v>189.28</v>
      </c>
      <c r="K115" t="inlineStr"/>
      <c r="M115" t="inlineStr">
        <is>
          <t>TN</t>
        </is>
      </c>
      <c r="N115" t="inlineStr"/>
      <c r="P115" t="inlineStr">
        <is>
          <t>20260129</t>
        </is>
      </c>
      <c r="Q115" t="inlineStr">
        <is>
          <t>99991231</t>
        </is>
      </c>
    </row>
    <row r="116">
      <c r="A116" t="inlineStr">
        <is>
          <t>900002370DW75D35810043601</t>
        </is>
      </c>
      <c r="B116" t="inlineStr">
        <is>
          <t>900002370</t>
        </is>
      </c>
      <c r="C116" t="inlineStr">
        <is>
          <t>DW75</t>
        </is>
      </c>
      <c r="D116" t="inlineStr">
        <is>
          <t>D358</t>
        </is>
      </c>
      <c r="E116" t="inlineStr">
        <is>
          <t>1</t>
        </is>
      </c>
      <c r="F116" t="inlineStr">
        <is>
          <t>10043601</t>
        </is>
      </c>
      <c r="H116" t="inlineStr"/>
      <c r="J116" t="n">
        <v>189.6</v>
      </c>
      <c r="K116" t="inlineStr"/>
      <c r="M116" t="inlineStr">
        <is>
          <t>TN</t>
        </is>
      </c>
      <c r="N116" t="inlineStr"/>
      <c r="P116" t="inlineStr">
        <is>
          <t>20260129</t>
        </is>
      </c>
      <c r="Q116" t="inlineStr">
        <is>
          <t>99991231</t>
        </is>
      </c>
    </row>
    <row r="117">
      <c r="A117" t="inlineStr">
        <is>
          <t>900002370DW75D35810045642</t>
        </is>
      </c>
      <c r="B117" t="inlineStr">
        <is>
          <t>900002370</t>
        </is>
      </c>
      <c r="C117" t="inlineStr">
        <is>
          <t>DW75</t>
        </is>
      </c>
      <c r="D117" t="inlineStr">
        <is>
          <t>D358</t>
        </is>
      </c>
      <c r="E117" t="inlineStr">
        <is>
          <t>1</t>
        </is>
      </c>
      <c r="F117" t="inlineStr">
        <is>
          <t>10045642</t>
        </is>
      </c>
      <c r="H117" t="inlineStr"/>
      <c r="J117" t="n">
        <v>151.45</v>
      </c>
      <c r="K117" t="inlineStr"/>
      <c r="M117" t="inlineStr">
        <is>
          <t>TN</t>
        </is>
      </c>
      <c r="N117" t="inlineStr"/>
      <c r="P117" t="inlineStr">
        <is>
          <t>20260129</t>
        </is>
      </c>
      <c r="Q117" t="inlineStr">
        <is>
          <t>20260215</t>
        </is>
      </c>
    </row>
    <row r="118">
      <c r="A118" t="inlineStr">
        <is>
          <t>900002370DW75D35810147933</t>
        </is>
      </c>
      <c r="B118" t="inlineStr">
        <is>
          <t>900002370</t>
        </is>
      </c>
      <c r="C118" t="inlineStr">
        <is>
          <t>DW75</t>
        </is>
      </c>
      <c r="D118" t="inlineStr">
        <is>
          <t>D358</t>
        </is>
      </c>
      <c r="E118" t="inlineStr">
        <is>
          <t>1</t>
        </is>
      </c>
      <c r="F118" t="inlineStr">
        <is>
          <t>10147933</t>
        </is>
      </c>
      <c r="H118" t="inlineStr"/>
      <c r="J118" t="n">
        <v>154.2</v>
      </c>
      <c r="K118" t="inlineStr"/>
      <c r="M118" t="inlineStr">
        <is>
          <t>TN</t>
        </is>
      </c>
      <c r="N118" t="inlineStr"/>
      <c r="P118" t="inlineStr">
        <is>
          <t>20251101</t>
        </is>
      </c>
      <c r="Q118" t="inlineStr">
        <is>
          <t>20251211</t>
        </is>
      </c>
    </row>
    <row r="119">
      <c r="A119" t="inlineStr">
        <is>
          <t>900002370DW75D35810151191</t>
        </is>
      </c>
      <c r="B119" t="inlineStr">
        <is>
          <t>900002370</t>
        </is>
      </c>
      <c r="C119" t="inlineStr">
        <is>
          <t>DW75</t>
        </is>
      </c>
      <c r="D119" t="inlineStr">
        <is>
          <t>D358</t>
        </is>
      </c>
      <c r="E119" t="inlineStr">
        <is>
          <t>1</t>
        </is>
      </c>
      <c r="F119" t="inlineStr">
        <is>
          <t>10151191</t>
        </is>
      </c>
      <c r="H119" t="inlineStr"/>
      <c r="J119" t="n">
        <v>173.1</v>
      </c>
      <c r="K119" t="inlineStr"/>
      <c r="M119" t="inlineStr">
        <is>
          <t>TN</t>
        </is>
      </c>
      <c r="N119" t="inlineStr"/>
      <c r="P119" t="inlineStr">
        <is>
          <t>20260430</t>
        </is>
      </c>
      <c r="Q119" t="inlineStr">
        <is>
          <t>99991231</t>
        </is>
      </c>
    </row>
    <row r="120">
      <c r="A120" t="inlineStr">
        <is>
          <t>900002370DW75D67810000364</t>
        </is>
      </c>
      <c r="B120" t="inlineStr">
        <is>
          <t>900002370</t>
        </is>
      </c>
      <c r="C120" t="inlineStr">
        <is>
          <t>DW75</t>
        </is>
      </c>
      <c r="D120" t="inlineStr">
        <is>
          <t>D678</t>
        </is>
      </c>
      <c r="E120" t="inlineStr">
        <is>
          <t>1</t>
        </is>
      </c>
      <c r="F120" t="inlineStr">
        <is>
          <t>10000364</t>
        </is>
      </c>
      <c r="H120" t="inlineStr"/>
      <c r="J120" t="n">
        <v>70.64</v>
      </c>
      <c r="K120" t="inlineStr"/>
      <c r="M120" t="inlineStr">
        <is>
          <t>TN</t>
        </is>
      </c>
      <c r="N120" t="inlineStr"/>
      <c r="P120" t="inlineStr">
        <is>
          <t>20210620</t>
        </is>
      </c>
      <c r="Q120" t="inlineStr">
        <is>
          <t>20241216</t>
        </is>
      </c>
    </row>
    <row r="121">
      <c r="A121" t="inlineStr">
        <is>
          <t>900002370DW75D67810000587</t>
        </is>
      </c>
      <c r="B121" t="inlineStr">
        <is>
          <t>900002370</t>
        </is>
      </c>
      <c r="C121" t="inlineStr">
        <is>
          <t>DW75</t>
        </is>
      </c>
      <c r="D121" t="inlineStr">
        <is>
          <t>D678</t>
        </is>
      </c>
      <c r="E121" t="inlineStr">
        <is>
          <t>1</t>
        </is>
      </c>
      <c r="F121" t="inlineStr">
        <is>
          <t>10000587</t>
        </is>
      </c>
      <c r="H121" t="inlineStr"/>
      <c r="J121" t="n">
        <v>67.34</v>
      </c>
      <c r="K121" t="inlineStr"/>
      <c r="M121" t="inlineStr">
        <is>
          <t>TN</t>
        </is>
      </c>
      <c r="N121" t="inlineStr"/>
      <c r="P121" t="inlineStr">
        <is>
          <t>20210620</t>
        </is>
      </c>
      <c r="Q121" t="inlineStr">
        <is>
          <t>20241216</t>
        </is>
      </c>
    </row>
    <row r="122">
      <c r="A122" t="inlineStr">
        <is>
          <t>900002370DW75D67810043600</t>
        </is>
      </c>
      <c r="B122" t="inlineStr">
        <is>
          <t>900002370</t>
        </is>
      </c>
      <c r="C122" t="inlineStr">
        <is>
          <t>DW75</t>
        </is>
      </c>
      <c r="D122" t="inlineStr">
        <is>
          <t>D678</t>
        </is>
      </c>
      <c r="E122" t="inlineStr">
        <is>
          <t>1</t>
        </is>
      </c>
      <c r="F122" t="inlineStr">
        <is>
          <t>10043600</t>
        </is>
      </c>
      <c r="H122" t="inlineStr"/>
      <c r="J122" t="n">
        <v>85.81999999999999</v>
      </c>
      <c r="K122" t="inlineStr"/>
      <c r="M122" t="inlineStr">
        <is>
          <t>TN</t>
        </is>
      </c>
      <c r="N122" t="inlineStr"/>
      <c r="P122" t="inlineStr">
        <is>
          <t>20210620</t>
        </is>
      </c>
      <c r="Q122" t="inlineStr">
        <is>
          <t>20241216</t>
        </is>
      </c>
    </row>
    <row r="123">
      <c r="A123" t="inlineStr">
        <is>
          <t>900002370DW75D67810043601</t>
        </is>
      </c>
      <c r="B123" t="inlineStr">
        <is>
          <t>900002370</t>
        </is>
      </c>
      <c r="C123" t="inlineStr">
        <is>
          <t>DW75</t>
        </is>
      </c>
      <c r="D123" t="inlineStr">
        <is>
          <t>D678</t>
        </is>
      </c>
      <c r="E123" t="inlineStr">
        <is>
          <t>1</t>
        </is>
      </c>
      <c r="F123" t="inlineStr">
        <is>
          <t>10043601</t>
        </is>
      </c>
      <c r="H123" t="inlineStr"/>
      <c r="J123" t="n">
        <v>85.97</v>
      </c>
      <c r="K123" t="inlineStr"/>
      <c r="M123" t="inlineStr">
        <is>
          <t>TN</t>
        </is>
      </c>
      <c r="N123" t="inlineStr"/>
      <c r="P123" t="inlineStr">
        <is>
          <t>20210620</t>
        </is>
      </c>
      <c r="Q123" t="inlineStr">
        <is>
          <t>20241216</t>
        </is>
      </c>
    </row>
    <row r="124">
      <c r="A124" t="inlineStr">
        <is>
          <t>900002370DW75D67810045642</t>
        </is>
      </c>
      <c r="B124" t="inlineStr">
        <is>
          <t>900002370</t>
        </is>
      </c>
      <c r="C124" t="inlineStr">
        <is>
          <t>DW75</t>
        </is>
      </c>
      <c r="D124" t="inlineStr">
        <is>
          <t>D678</t>
        </is>
      </c>
      <c r="E124" t="inlineStr">
        <is>
          <t>1</t>
        </is>
      </c>
      <c r="F124" t="inlineStr">
        <is>
          <t>10045642</t>
        </is>
      </c>
      <c r="H124" t="inlineStr"/>
      <c r="J124" t="n">
        <v>68.67</v>
      </c>
      <c r="K124" t="inlineStr"/>
      <c r="M124" t="inlineStr">
        <is>
          <t>TN</t>
        </is>
      </c>
      <c r="N124" t="inlineStr"/>
      <c r="P124" t="inlineStr">
        <is>
          <t>20210620</t>
        </is>
      </c>
      <c r="Q124" t="inlineStr">
        <is>
          <t>20241216</t>
        </is>
      </c>
    </row>
    <row r="125">
      <c r="A125" t="inlineStr">
        <is>
          <t>900002370DW75D67810147933</t>
        </is>
      </c>
      <c r="B125" t="inlineStr">
        <is>
          <t>900002370</t>
        </is>
      </c>
      <c r="C125" t="inlineStr">
        <is>
          <t>DW75</t>
        </is>
      </c>
      <c r="D125" t="inlineStr">
        <is>
          <t>D678</t>
        </is>
      </c>
      <c r="E125" t="inlineStr">
        <is>
          <t>1</t>
        </is>
      </c>
      <c r="F125" t="inlineStr">
        <is>
          <t>10147933</t>
        </is>
      </c>
      <c r="H125" t="inlineStr"/>
      <c r="J125" t="n">
        <v>73.41</v>
      </c>
      <c r="K125" t="inlineStr"/>
      <c r="M125" t="inlineStr">
        <is>
          <t>TN</t>
        </is>
      </c>
      <c r="N125" t="inlineStr"/>
      <c r="P125" t="inlineStr">
        <is>
          <t>20210620</t>
        </is>
      </c>
      <c r="Q125" t="inlineStr">
        <is>
          <t>20241216</t>
        </is>
      </c>
    </row>
    <row r="126">
      <c r="A126" t="inlineStr">
        <is>
          <t>900002370DW75D67810151191</t>
        </is>
      </c>
      <c r="B126" t="inlineStr">
        <is>
          <t>900002370</t>
        </is>
      </c>
      <c r="C126" t="inlineStr">
        <is>
          <t>DW75</t>
        </is>
      </c>
      <c r="D126" t="inlineStr">
        <is>
          <t>D678</t>
        </is>
      </c>
      <c r="E126" t="inlineStr">
        <is>
          <t>1</t>
        </is>
      </c>
      <c r="F126" t="inlineStr">
        <is>
          <t>10151191</t>
        </is>
      </c>
      <c r="H126" t="inlineStr"/>
      <c r="J126" t="n">
        <v>78.48</v>
      </c>
      <c r="K126" t="inlineStr"/>
      <c r="M126" t="inlineStr">
        <is>
          <t>TN</t>
        </is>
      </c>
      <c r="N126" t="inlineStr"/>
      <c r="P126" t="inlineStr">
        <is>
          <t>20210620</t>
        </is>
      </c>
      <c r="Q126" t="inlineStr">
        <is>
          <t>20241216</t>
        </is>
      </c>
    </row>
    <row r="127">
      <c r="A127" t="inlineStr">
        <is>
          <t>900002370DW75E67410043600</t>
        </is>
      </c>
      <c r="B127" t="inlineStr">
        <is>
          <t>900002370</t>
        </is>
      </c>
      <c r="C127" t="inlineStr">
        <is>
          <t>DW75</t>
        </is>
      </c>
      <c r="D127" t="inlineStr">
        <is>
          <t>E674</t>
        </is>
      </c>
      <c r="E127" t="inlineStr">
        <is>
          <t>1</t>
        </is>
      </c>
      <c r="F127" t="inlineStr">
        <is>
          <t>10043600</t>
        </is>
      </c>
      <c r="H127" t="inlineStr"/>
      <c r="J127" t="n">
        <v>180.26</v>
      </c>
      <c r="K127" t="inlineStr"/>
      <c r="M127" t="inlineStr">
        <is>
          <t>TN</t>
        </is>
      </c>
      <c r="N127" t="inlineStr"/>
      <c r="P127" t="inlineStr">
        <is>
          <t>20230831</t>
        </is>
      </c>
      <c r="Q127" t="inlineStr">
        <is>
          <t>20251031</t>
        </is>
      </c>
    </row>
    <row r="128">
      <c r="A128" t="inlineStr">
        <is>
          <t>900002370DW75E67410043601</t>
        </is>
      </c>
      <c r="B128" t="inlineStr">
        <is>
          <t>900002370</t>
        </is>
      </c>
      <c r="C128" t="inlineStr">
        <is>
          <t>DW75</t>
        </is>
      </c>
      <c r="D128" t="inlineStr">
        <is>
          <t>E674</t>
        </is>
      </c>
      <c r="E128" t="inlineStr">
        <is>
          <t>1</t>
        </is>
      </c>
      <c r="F128" t="inlineStr">
        <is>
          <t>10043601</t>
        </is>
      </c>
      <c r="H128" t="inlineStr"/>
      <c r="J128" t="n">
        <v>180.57</v>
      </c>
      <c r="K128" t="inlineStr"/>
      <c r="M128" t="inlineStr">
        <is>
          <t>TN</t>
        </is>
      </c>
      <c r="N128" t="inlineStr"/>
      <c r="P128" t="inlineStr">
        <is>
          <t>20210620</t>
        </is>
      </c>
      <c r="Q128" t="inlineStr">
        <is>
          <t>20241216</t>
        </is>
      </c>
    </row>
    <row r="129">
      <c r="A129" t="inlineStr">
        <is>
          <t>900002370DW75E67410045642</t>
        </is>
      </c>
      <c r="B129" t="inlineStr">
        <is>
          <t>900002370</t>
        </is>
      </c>
      <c r="C129" t="inlineStr">
        <is>
          <t>DW75</t>
        </is>
      </c>
      <c r="D129" t="inlineStr">
        <is>
          <t>E674</t>
        </is>
      </c>
      <c r="E129" t="inlineStr">
        <is>
          <t>1</t>
        </is>
      </c>
      <c r="F129" t="inlineStr">
        <is>
          <t>10045642</t>
        </is>
      </c>
      <c r="H129" t="inlineStr"/>
      <c r="J129" t="n">
        <v>144.24</v>
      </c>
      <c r="K129" t="inlineStr"/>
      <c r="M129" t="inlineStr">
        <is>
          <t>TN</t>
        </is>
      </c>
      <c r="N129" t="inlineStr"/>
      <c r="P129" t="inlineStr">
        <is>
          <t>20210620</t>
        </is>
      </c>
      <c r="Q129" t="inlineStr">
        <is>
          <t>20241216</t>
        </is>
      </c>
    </row>
    <row r="130">
      <c r="A130" t="inlineStr">
        <is>
          <t>900002370DW75E67410147933</t>
        </is>
      </c>
      <c r="B130" t="inlineStr">
        <is>
          <t>900002370</t>
        </is>
      </c>
      <c r="C130" t="inlineStr">
        <is>
          <t>DW75</t>
        </is>
      </c>
      <c r="D130" t="inlineStr">
        <is>
          <t>E674</t>
        </is>
      </c>
      <c r="E130" t="inlineStr">
        <is>
          <t>1</t>
        </is>
      </c>
      <c r="F130" t="inlineStr">
        <is>
          <t>10147933</t>
        </is>
      </c>
      <c r="H130" t="inlineStr"/>
      <c r="J130" t="n">
        <v>154.19</v>
      </c>
      <c r="K130" t="inlineStr"/>
      <c r="M130" t="inlineStr">
        <is>
          <t>TN</t>
        </is>
      </c>
      <c r="N130" t="inlineStr"/>
      <c r="P130" t="inlineStr">
        <is>
          <t>20210620</t>
        </is>
      </c>
      <c r="Q130" t="inlineStr">
        <is>
          <t>20241216</t>
        </is>
      </c>
    </row>
    <row r="131">
      <c r="A131" t="inlineStr">
        <is>
          <t>900002370DW75E67410151191</t>
        </is>
      </c>
      <c r="B131" t="inlineStr">
        <is>
          <t>900002370</t>
        </is>
      </c>
      <c r="C131" t="inlineStr">
        <is>
          <t>DW75</t>
        </is>
      </c>
      <c r="D131" t="inlineStr">
        <is>
          <t>E674</t>
        </is>
      </c>
      <c r="E131" t="inlineStr">
        <is>
          <t>1</t>
        </is>
      </c>
      <c r="F131" t="inlineStr">
        <is>
          <t>10151191</t>
        </is>
      </c>
      <c r="H131" t="inlineStr"/>
      <c r="J131" t="n">
        <v>164.86</v>
      </c>
      <c r="K131" t="inlineStr"/>
      <c r="M131" t="inlineStr">
        <is>
          <t>TN</t>
        </is>
      </c>
      <c r="N131" t="inlineStr"/>
      <c r="P131" t="inlineStr">
        <is>
          <t>20210620</t>
        </is>
      </c>
      <c r="Q131" t="inlineStr">
        <is>
          <t>20241216</t>
        </is>
      </c>
    </row>
    <row r="132">
      <c r="A132" t="inlineStr">
        <is>
          <t>900002370DW75E67410189747</t>
        </is>
      </c>
      <c r="B132" t="inlineStr">
        <is>
          <t>900002370</t>
        </is>
      </c>
      <c r="C132" t="inlineStr">
        <is>
          <t>DW75</t>
        </is>
      </c>
      <c r="D132" t="inlineStr">
        <is>
          <t>E674</t>
        </is>
      </c>
      <c r="E132" t="inlineStr">
        <is>
          <t>1</t>
        </is>
      </c>
      <c r="F132" t="inlineStr">
        <is>
          <t>10189747</t>
        </is>
      </c>
      <c r="H132" t="inlineStr"/>
      <c r="J132" t="n">
        <v>179.5</v>
      </c>
      <c r="K132" t="inlineStr"/>
      <c r="M132" t="inlineStr">
        <is>
          <t>TN</t>
        </is>
      </c>
      <c r="N132" t="inlineStr"/>
      <c r="P132" t="inlineStr">
        <is>
          <t>20210620</t>
        </is>
      </c>
      <c r="Q132" t="inlineStr">
        <is>
          <t>20241216</t>
        </is>
      </c>
    </row>
    <row r="133">
      <c r="A133" t="inlineStr">
        <is>
          <t>900003833DW75D27810222859</t>
        </is>
      </c>
      <c r="B133" t="inlineStr">
        <is>
          <t>900003833</t>
        </is>
      </c>
      <c r="C133" t="inlineStr">
        <is>
          <t>DW75</t>
        </is>
      </c>
      <c r="D133" t="inlineStr">
        <is>
          <t>D278</t>
        </is>
      </c>
      <c r="E133" t="inlineStr">
        <is>
          <t>1</t>
        </is>
      </c>
      <c r="F133" t="inlineStr">
        <is>
          <t>10222859</t>
        </is>
      </c>
      <c r="H133" t="inlineStr"/>
      <c r="J133" t="n">
        <v>296.19</v>
      </c>
      <c r="K133" t="inlineStr"/>
      <c r="M133" t="inlineStr">
        <is>
          <t>TN</t>
        </is>
      </c>
      <c r="N133" t="inlineStr"/>
      <c r="P133" t="inlineStr">
        <is>
          <t>20210620</t>
        </is>
      </c>
      <c r="Q133" t="inlineStr">
        <is>
          <t>20241216</t>
        </is>
      </c>
    </row>
    <row r="134">
      <c r="A134" t="inlineStr">
        <is>
          <t>900003833DW75D32710222859</t>
        </is>
      </c>
      <c r="B134" t="inlineStr">
        <is>
          <t>900003833</t>
        </is>
      </c>
      <c r="C134" t="inlineStr">
        <is>
          <t>DW75</t>
        </is>
      </c>
      <c r="D134" t="inlineStr">
        <is>
          <t>D327</t>
        </is>
      </c>
      <c r="E134" t="inlineStr">
        <is>
          <t>1</t>
        </is>
      </c>
      <c r="F134" t="inlineStr">
        <is>
          <t>10222859</t>
        </is>
      </c>
      <c r="H134" t="inlineStr"/>
      <c r="J134" t="n">
        <v>303.91</v>
      </c>
      <c r="K134" t="inlineStr"/>
      <c r="M134" t="inlineStr">
        <is>
          <t>TN</t>
        </is>
      </c>
      <c r="N134" t="inlineStr"/>
      <c r="P134" t="inlineStr">
        <is>
          <t>20210620</t>
        </is>
      </c>
      <c r="Q134" t="inlineStr">
        <is>
          <t>20241216</t>
        </is>
      </c>
    </row>
    <row r="135">
      <c r="A135" t="inlineStr">
        <is>
          <t>900003833DW75D34310222859</t>
        </is>
      </c>
      <c r="B135" t="inlineStr">
        <is>
          <t>900003833</t>
        </is>
      </c>
      <c r="C135" t="inlineStr">
        <is>
          <t>DW75</t>
        </is>
      </c>
      <c r="D135" t="inlineStr">
        <is>
          <t>D343</t>
        </is>
      </c>
      <c r="E135" t="inlineStr">
        <is>
          <t>1</t>
        </is>
      </c>
      <c r="F135" t="inlineStr">
        <is>
          <t>10222859</t>
        </is>
      </c>
      <c r="H135" t="inlineStr"/>
      <c r="J135" t="n">
        <v>283.85</v>
      </c>
      <c r="K135" t="inlineStr"/>
      <c r="M135" t="inlineStr">
        <is>
          <t>TN</t>
        </is>
      </c>
      <c r="N135" t="inlineStr"/>
      <c r="P135" t="inlineStr">
        <is>
          <t>20210620</t>
        </is>
      </c>
      <c r="Q135" t="inlineStr">
        <is>
          <t>20241216</t>
        </is>
      </c>
    </row>
    <row r="136">
      <c r="A136" t="inlineStr">
        <is>
          <t>900003833DW75E67410222859</t>
        </is>
      </c>
      <c r="B136" t="inlineStr">
        <is>
          <t>900003833</t>
        </is>
      </c>
      <c r="C136" t="inlineStr">
        <is>
          <t>DW75</t>
        </is>
      </c>
      <c r="D136" t="inlineStr">
        <is>
          <t>E674</t>
        </is>
      </c>
      <c r="E136" t="inlineStr">
        <is>
          <t>1</t>
        </is>
      </c>
      <c r="F136" t="inlineStr">
        <is>
          <t>10222859</t>
        </is>
      </c>
      <c r="H136" t="inlineStr"/>
      <c r="J136" t="n">
        <v>314.71</v>
      </c>
      <c r="K136" t="inlineStr"/>
      <c r="M136" t="inlineStr">
        <is>
          <t>TN</t>
        </is>
      </c>
      <c r="N136" t="inlineStr"/>
      <c r="P136" t="inlineStr">
        <is>
          <t>20221003</t>
        </is>
      </c>
      <c r="Q136" t="inlineStr">
        <is>
          <t>20240801</t>
        </is>
      </c>
    </row>
    <row r="137">
      <c r="A137" t="inlineStr">
        <is>
          <t>900003903DW75E67410000826</t>
        </is>
      </c>
      <c r="B137" t="inlineStr">
        <is>
          <t>900003903</t>
        </is>
      </c>
      <c r="C137" t="inlineStr">
        <is>
          <t>DW75</t>
        </is>
      </c>
      <c r="D137" t="inlineStr">
        <is>
          <t>E674</t>
        </is>
      </c>
      <c r="E137" t="inlineStr">
        <is>
          <t>1</t>
        </is>
      </c>
      <c r="F137" t="inlineStr">
        <is>
          <t>10000826</t>
        </is>
      </c>
      <c r="H137" t="inlineStr"/>
      <c r="J137" t="n">
        <v>2429.78</v>
      </c>
      <c r="K137" t="inlineStr"/>
      <c r="M137" t="inlineStr">
        <is>
          <t>TN</t>
        </is>
      </c>
      <c r="N137" t="inlineStr"/>
      <c r="P137" t="inlineStr">
        <is>
          <t>20240726</t>
        </is>
      </c>
      <c r="Q137" t="inlineStr">
        <is>
          <t>20241023</t>
        </is>
      </c>
    </row>
    <row r="138">
      <c r="A138" t="inlineStr">
        <is>
          <t>900005305DW75D06310151196</t>
        </is>
      </c>
      <c r="B138" t="inlineStr">
        <is>
          <t>900005305</t>
        </is>
      </c>
      <c r="C138" t="inlineStr">
        <is>
          <t>DW75</t>
        </is>
      </c>
      <c r="D138" t="inlineStr">
        <is>
          <t>D063</t>
        </is>
      </c>
      <c r="E138" t="inlineStr">
        <is>
          <t>1</t>
        </is>
      </c>
      <c r="F138" t="inlineStr">
        <is>
          <t>10151196</t>
        </is>
      </c>
      <c r="H138" t="inlineStr"/>
      <c r="J138" t="n">
        <v>735.47</v>
      </c>
      <c r="K138" t="inlineStr"/>
      <c r="M138" t="inlineStr">
        <is>
          <t>TN</t>
        </is>
      </c>
      <c r="N138" t="inlineStr"/>
      <c r="P138" t="inlineStr">
        <is>
          <t>20240726</t>
        </is>
      </c>
      <c r="Q138" t="inlineStr">
        <is>
          <t>20241023</t>
        </is>
      </c>
    </row>
    <row r="139">
      <c r="A139" t="inlineStr">
        <is>
          <t>900005305DW75D11210151196</t>
        </is>
      </c>
      <c r="B139" t="inlineStr">
        <is>
          <t>900005305</t>
        </is>
      </c>
      <c r="C139" t="inlineStr">
        <is>
          <t>DW75</t>
        </is>
      </c>
      <c r="D139" t="inlineStr">
        <is>
          <t>D112</t>
        </is>
      </c>
      <c r="E139" t="inlineStr">
        <is>
          <t>1</t>
        </is>
      </c>
      <c r="F139" t="inlineStr">
        <is>
          <t>10151196</t>
        </is>
      </c>
      <c r="H139" t="inlineStr"/>
      <c r="J139" t="n">
        <v>735.47</v>
      </c>
      <c r="K139" t="inlineStr"/>
      <c r="M139" t="inlineStr">
        <is>
          <t>TN</t>
        </is>
      </c>
      <c r="N139" t="inlineStr"/>
      <c r="P139" t="inlineStr">
        <is>
          <t>20240726</t>
        </is>
      </c>
      <c r="Q139" t="inlineStr">
        <is>
          <t>20241023</t>
        </is>
      </c>
    </row>
    <row r="140">
      <c r="A140" t="inlineStr">
        <is>
          <t>900005305DW75D27810151196</t>
        </is>
      </c>
      <c r="B140" t="inlineStr">
        <is>
          <t>900005305</t>
        </is>
      </c>
      <c r="C140" t="inlineStr">
        <is>
          <t>DW75</t>
        </is>
      </c>
      <c r="D140" t="inlineStr">
        <is>
          <t>D278</t>
        </is>
      </c>
      <c r="E140" t="inlineStr">
        <is>
          <t>1</t>
        </is>
      </c>
      <c r="F140" t="inlineStr">
        <is>
          <t>10151196</t>
        </is>
      </c>
      <c r="H140" t="inlineStr"/>
      <c r="J140" t="n">
        <v>715.35</v>
      </c>
      <c r="K140" t="inlineStr"/>
      <c r="M140" t="inlineStr">
        <is>
          <t>TN</t>
        </is>
      </c>
      <c r="N140" t="inlineStr"/>
      <c r="P140" t="inlineStr">
        <is>
          <t>20240726</t>
        </is>
      </c>
      <c r="Q140" t="inlineStr">
        <is>
          <t>20241023</t>
        </is>
      </c>
    </row>
    <row r="141">
      <c r="A141" t="inlineStr">
        <is>
          <t>900005305DW75D34310151196</t>
        </is>
      </c>
      <c r="B141" t="inlineStr">
        <is>
          <t>900005305</t>
        </is>
      </c>
      <c r="C141" t="inlineStr">
        <is>
          <t>DW75</t>
        </is>
      </c>
      <c r="D141" t="inlineStr">
        <is>
          <t>D343</t>
        </is>
      </c>
      <c r="E141" t="inlineStr">
        <is>
          <t>1</t>
        </is>
      </c>
      <c r="F141" t="inlineStr">
        <is>
          <t>10151196</t>
        </is>
      </c>
      <c r="H141" t="inlineStr"/>
      <c r="J141" t="n">
        <v>697.47</v>
      </c>
      <c r="K141" t="inlineStr"/>
      <c r="M141" t="inlineStr">
        <is>
          <t>TN</t>
        </is>
      </c>
      <c r="N141" t="inlineStr"/>
      <c r="P141" t="inlineStr">
        <is>
          <t>20240726</t>
        </is>
      </c>
      <c r="Q141" t="inlineStr">
        <is>
          <t>20241023</t>
        </is>
      </c>
    </row>
    <row r="142">
      <c r="A142" t="inlineStr">
        <is>
          <t>900005305DW75D34910151196</t>
        </is>
      </c>
      <c r="B142" t="inlineStr">
        <is>
          <t>900005305</t>
        </is>
      </c>
      <c r="C142" t="inlineStr">
        <is>
          <t>DW75</t>
        </is>
      </c>
      <c r="D142" t="inlineStr">
        <is>
          <t>D349</t>
        </is>
      </c>
      <c r="E142" t="inlineStr">
        <is>
          <t>1</t>
        </is>
      </c>
      <c r="F142" t="inlineStr">
        <is>
          <t>10151196</t>
        </is>
      </c>
      <c r="H142" t="inlineStr"/>
      <c r="J142" t="n">
        <v>744.41</v>
      </c>
      <c r="K142" t="inlineStr"/>
      <c r="M142" t="inlineStr">
        <is>
          <t>TN</t>
        </is>
      </c>
      <c r="N142" t="inlineStr"/>
      <c r="P142" t="inlineStr">
        <is>
          <t>20240726</t>
        </is>
      </c>
      <c r="Q142" t="inlineStr">
        <is>
          <t>20241023</t>
        </is>
      </c>
    </row>
    <row r="143">
      <c r="A143" t="inlineStr">
        <is>
          <t>900005465DW75D06310000716</t>
        </is>
      </c>
      <c r="B143" t="inlineStr">
        <is>
          <t>900005465</t>
        </is>
      </c>
      <c r="C143" t="inlineStr">
        <is>
          <t>DW75</t>
        </is>
      </c>
      <c r="D143" t="inlineStr">
        <is>
          <t>D063</t>
        </is>
      </c>
      <c r="E143" t="inlineStr">
        <is>
          <t>1</t>
        </is>
      </c>
      <c r="F143" t="inlineStr">
        <is>
          <t>10000716</t>
        </is>
      </c>
      <c r="H143" t="inlineStr"/>
      <c r="J143" t="n">
        <v>103.64</v>
      </c>
      <c r="K143" t="inlineStr"/>
      <c r="M143" t="inlineStr">
        <is>
          <t>TN</t>
        </is>
      </c>
      <c r="N143" t="inlineStr"/>
      <c r="P143" t="inlineStr">
        <is>
          <t>20240726</t>
        </is>
      </c>
      <c r="Q143" t="inlineStr">
        <is>
          <t>20241023</t>
        </is>
      </c>
    </row>
    <row r="144">
      <c r="A144" t="inlineStr">
        <is>
          <t>900005465DW75D06310147933</t>
        </is>
      </c>
      <c r="B144" t="inlineStr">
        <is>
          <t>900005465</t>
        </is>
      </c>
      <c r="C144" t="inlineStr">
        <is>
          <t>DW75</t>
        </is>
      </c>
      <c r="D144" t="inlineStr">
        <is>
          <t>D063</t>
        </is>
      </c>
      <c r="E144" t="inlineStr">
        <is>
          <t>1</t>
        </is>
      </c>
      <c r="F144" t="inlineStr">
        <is>
          <t>10147933</t>
        </is>
      </c>
      <c r="H144" t="inlineStr"/>
      <c r="J144" t="n">
        <v>89.03</v>
      </c>
      <c r="K144" t="inlineStr"/>
      <c r="M144" t="inlineStr">
        <is>
          <t>TN</t>
        </is>
      </c>
      <c r="N144" t="inlineStr"/>
      <c r="P144" t="inlineStr">
        <is>
          <t>20240726</t>
        </is>
      </c>
      <c r="Q144" t="inlineStr">
        <is>
          <t>20241023</t>
        </is>
      </c>
    </row>
    <row r="145">
      <c r="A145" t="inlineStr">
        <is>
          <t>900005465DW75D06310149958</t>
        </is>
      </c>
      <c r="B145" t="inlineStr">
        <is>
          <t>900005465</t>
        </is>
      </c>
      <c r="C145" t="inlineStr">
        <is>
          <t>DW75</t>
        </is>
      </c>
      <c r="D145" t="inlineStr">
        <is>
          <t>D063</t>
        </is>
      </c>
      <c r="E145" t="inlineStr">
        <is>
          <t>1</t>
        </is>
      </c>
      <c r="F145" t="inlineStr">
        <is>
          <t>10149958</t>
        </is>
      </c>
      <c r="H145" t="inlineStr"/>
      <c r="J145" t="n">
        <v>89.09</v>
      </c>
      <c r="K145" t="inlineStr"/>
      <c r="M145" t="inlineStr">
        <is>
          <t>TN</t>
        </is>
      </c>
      <c r="N145" t="inlineStr"/>
      <c r="P145" t="inlineStr">
        <is>
          <t>20240726</t>
        </is>
      </c>
      <c r="Q145" t="inlineStr">
        <is>
          <t>20241023</t>
        </is>
      </c>
    </row>
    <row r="146">
      <c r="A146" t="inlineStr">
        <is>
          <t>900005465DW75D06310150617</t>
        </is>
      </c>
      <c r="B146" t="inlineStr">
        <is>
          <t>900005465</t>
        </is>
      </c>
      <c r="C146" t="inlineStr">
        <is>
          <t>DW75</t>
        </is>
      </c>
      <c r="D146" t="inlineStr">
        <is>
          <t>D063</t>
        </is>
      </c>
      <c r="E146" t="inlineStr">
        <is>
          <t>1</t>
        </is>
      </c>
      <c r="F146" t="inlineStr">
        <is>
          <t>10150617</t>
        </is>
      </c>
      <c r="H146" t="inlineStr"/>
      <c r="J146" t="n">
        <v>110.16</v>
      </c>
      <c r="K146" t="inlineStr"/>
      <c r="M146" t="inlineStr">
        <is>
          <t>TN</t>
        </is>
      </c>
      <c r="N146" t="inlineStr"/>
      <c r="P146" t="inlineStr">
        <is>
          <t>20240726</t>
        </is>
      </c>
      <c r="Q146" t="inlineStr">
        <is>
          <t>20241023</t>
        </is>
      </c>
    </row>
    <row r="147">
      <c r="A147" t="inlineStr">
        <is>
          <t>900005465DW75D06310151192</t>
        </is>
      </c>
      <c r="B147" t="inlineStr">
        <is>
          <t>900005465</t>
        </is>
      </c>
      <c r="C147" t="inlineStr">
        <is>
          <t>DW75</t>
        </is>
      </c>
      <c r="D147" t="inlineStr">
        <is>
          <t>D063</t>
        </is>
      </c>
      <c r="E147" t="inlineStr">
        <is>
          <t>1</t>
        </is>
      </c>
      <c r="F147" t="inlineStr">
        <is>
          <t>10151192</t>
        </is>
      </c>
      <c r="H147" t="inlineStr"/>
      <c r="J147" t="n">
        <v>104.79</v>
      </c>
      <c r="K147" t="inlineStr"/>
      <c r="M147" t="inlineStr">
        <is>
          <t>TN</t>
        </is>
      </c>
      <c r="N147" t="inlineStr"/>
      <c r="P147" t="inlineStr">
        <is>
          <t>20240726</t>
        </is>
      </c>
      <c r="Q147" t="inlineStr">
        <is>
          <t>20241023</t>
        </is>
      </c>
    </row>
    <row r="148">
      <c r="A148" t="inlineStr">
        <is>
          <t>900005465DW75D11210000716</t>
        </is>
      </c>
      <c r="B148" t="inlineStr">
        <is>
          <t>900005465</t>
        </is>
      </c>
      <c r="C148" t="inlineStr">
        <is>
          <t>DW75</t>
        </is>
      </c>
      <c r="D148" t="inlineStr">
        <is>
          <t>D112</t>
        </is>
      </c>
      <c r="E148" t="inlineStr">
        <is>
          <t>1</t>
        </is>
      </c>
      <c r="F148" t="inlineStr">
        <is>
          <t>10000716</t>
        </is>
      </c>
      <c r="H148" t="inlineStr"/>
      <c r="J148" t="n">
        <v>103.64</v>
      </c>
      <c r="K148" t="inlineStr"/>
      <c r="M148" t="inlineStr">
        <is>
          <t>TN</t>
        </is>
      </c>
      <c r="N148" t="inlineStr"/>
      <c r="P148" t="inlineStr">
        <is>
          <t>20240726</t>
        </is>
      </c>
      <c r="Q148" t="inlineStr">
        <is>
          <t>20241023</t>
        </is>
      </c>
    </row>
    <row r="149">
      <c r="A149" t="inlineStr">
        <is>
          <t>900005465DW75D11210147933</t>
        </is>
      </c>
      <c r="B149" t="inlineStr">
        <is>
          <t>900005465</t>
        </is>
      </c>
      <c r="C149" t="inlineStr">
        <is>
          <t>DW75</t>
        </is>
      </c>
      <c r="D149" t="inlineStr">
        <is>
          <t>D112</t>
        </is>
      </c>
      <c r="E149" t="inlineStr">
        <is>
          <t>1</t>
        </is>
      </c>
      <c r="F149" t="inlineStr">
        <is>
          <t>10147933</t>
        </is>
      </c>
      <c r="H149" t="inlineStr"/>
      <c r="J149" t="n">
        <v>89.03</v>
      </c>
      <c r="K149" t="inlineStr"/>
      <c r="M149" t="inlineStr">
        <is>
          <t>TN</t>
        </is>
      </c>
      <c r="N149" t="inlineStr"/>
      <c r="P149" t="inlineStr">
        <is>
          <t>20240726</t>
        </is>
      </c>
      <c r="Q149" t="inlineStr">
        <is>
          <t>20241023</t>
        </is>
      </c>
    </row>
    <row r="150">
      <c r="A150" t="inlineStr">
        <is>
          <t>900005465DW75D11210149958</t>
        </is>
      </c>
      <c r="B150" t="inlineStr">
        <is>
          <t>900005465</t>
        </is>
      </c>
      <c r="C150" t="inlineStr">
        <is>
          <t>DW75</t>
        </is>
      </c>
      <c r="D150" t="inlineStr">
        <is>
          <t>D112</t>
        </is>
      </c>
      <c r="E150" t="inlineStr">
        <is>
          <t>1</t>
        </is>
      </c>
      <c r="F150" t="inlineStr">
        <is>
          <t>10149958</t>
        </is>
      </c>
      <c r="H150" t="inlineStr"/>
      <c r="J150" t="n">
        <v>89.09</v>
      </c>
      <c r="K150" t="inlineStr"/>
      <c r="M150" t="inlineStr">
        <is>
          <t>TN</t>
        </is>
      </c>
      <c r="N150" t="inlineStr"/>
      <c r="P150" t="inlineStr">
        <is>
          <t>20240726</t>
        </is>
      </c>
      <c r="Q150" t="inlineStr">
        <is>
          <t>20241023</t>
        </is>
      </c>
    </row>
    <row r="151">
      <c r="A151" t="inlineStr">
        <is>
          <t>900005465DW75D11210150617</t>
        </is>
      </c>
      <c r="B151" t="inlineStr">
        <is>
          <t>900005465</t>
        </is>
      </c>
      <c r="C151" t="inlineStr">
        <is>
          <t>DW75</t>
        </is>
      </c>
      <c r="D151" t="inlineStr">
        <is>
          <t>D112</t>
        </is>
      </c>
      <c r="E151" t="inlineStr">
        <is>
          <t>1</t>
        </is>
      </c>
      <c r="F151" t="inlineStr">
        <is>
          <t>10150617</t>
        </is>
      </c>
      <c r="H151" t="inlineStr"/>
      <c r="J151" t="n">
        <v>110.16</v>
      </c>
      <c r="K151" t="inlineStr"/>
      <c r="M151" t="inlineStr">
        <is>
          <t>TN</t>
        </is>
      </c>
      <c r="N151" t="inlineStr"/>
      <c r="P151" t="inlineStr">
        <is>
          <t>20240726</t>
        </is>
      </c>
      <c r="Q151" t="inlineStr">
        <is>
          <t>20241023</t>
        </is>
      </c>
    </row>
    <row r="152">
      <c r="A152" t="inlineStr">
        <is>
          <t>900005465DW75D11210151192</t>
        </is>
      </c>
      <c r="B152" t="inlineStr">
        <is>
          <t>900005465</t>
        </is>
      </c>
      <c r="C152" t="inlineStr">
        <is>
          <t>DW75</t>
        </is>
      </c>
      <c r="D152" t="inlineStr">
        <is>
          <t>D112</t>
        </is>
      </c>
      <c r="E152" t="inlineStr">
        <is>
          <t>1</t>
        </is>
      </c>
      <c r="F152" t="inlineStr">
        <is>
          <t>10151192</t>
        </is>
      </c>
      <c r="H152" t="inlineStr"/>
      <c r="J152" t="n">
        <v>104.79</v>
      </c>
      <c r="K152" t="inlineStr"/>
      <c r="M152" t="inlineStr">
        <is>
          <t>TN</t>
        </is>
      </c>
      <c r="N152" t="inlineStr"/>
      <c r="P152" t="inlineStr">
        <is>
          <t>20240726</t>
        </is>
      </c>
      <c r="Q152" t="inlineStr">
        <is>
          <t>20241023</t>
        </is>
      </c>
    </row>
    <row r="153">
      <c r="A153" t="inlineStr">
        <is>
          <t>900005465DW75D27810000716</t>
        </is>
      </c>
      <c r="B153" t="inlineStr">
        <is>
          <t>900005465</t>
        </is>
      </c>
      <c r="C153" t="inlineStr">
        <is>
          <t>DW75</t>
        </is>
      </c>
      <c r="D153" t="inlineStr">
        <is>
          <t>D278</t>
        </is>
      </c>
      <c r="E153" t="inlineStr">
        <is>
          <t>1</t>
        </is>
      </c>
      <c r="F153" t="inlineStr">
        <is>
          <t>10000716</t>
        </is>
      </c>
      <c r="H153" t="inlineStr"/>
      <c r="J153" t="n">
        <v>72.13</v>
      </c>
      <c r="K153" t="inlineStr"/>
      <c r="M153" t="inlineStr">
        <is>
          <t>TN</t>
        </is>
      </c>
      <c r="N153" t="inlineStr"/>
      <c r="P153" t="inlineStr">
        <is>
          <t>20240726</t>
        </is>
      </c>
      <c r="Q153" t="inlineStr">
        <is>
          <t>20241023</t>
        </is>
      </c>
    </row>
    <row r="154">
      <c r="A154" t="inlineStr">
        <is>
          <t>900005465DW75D27810147933</t>
        </is>
      </c>
      <c r="B154" t="inlineStr">
        <is>
          <t>900005465</t>
        </is>
      </c>
      <c r="C154" t="inlineStr">
        <is>
          <t>DW75</t>
        </is>
      </c>
      <c r="D154" t="inlineStr">
        <is>
          <t>D278</t>
        </is>
      </c>
      <c r="E154" t="inlineStr">
        <is>
          <t>1</t>
        </is>
      </c>
      <c r="F154" t="inlineStr">
        <is>
          <t>10147933</t>
        </is>
      </c>
      <c r="H154" t="inlineStr"/>
      <c r="J154" t="n">
        <v>61.96</v>
      </c>
      <c r="K154" t="inlineStr"/>
      <c r="M154" t="inlineStr">
        <is>
          <t>TN</t>
        </is>
      </c>
      <c r="N154" t="inlineStr"/>
      <c r="P154" t="inlineStr">
        <is>
          <t>20240726</t>
        </is>
      </c>
      <c r="Q154" t="inlineStr">
        <is>
          <t>20241023</t>
        </is>
      </c>
    </row>
    <row r="155">
      <c r="A155" t="inlineStr">
        <is>
          <t>900005465DW75D27810149958</t>
        </is>
      </c>
      <c r="B155" t="inlineStr">
        <is>
          <t>900005465</t>
        </is>
      </c>
      <c r="C155" t="inlineStr">
        <is>
          <t>DW75</t>
        </is>
      </c>
      <c r="D155" t="inlineStr">
        <is>
          <t>D278</t>
        </is>
      </c>
      <c r="E155" t="inlineStr">
        <is>
          <t>1</t>
        </is>
      </c>
      <c r="F155" t="inlineStr">
        <is>
          <t>10149958</t>
        </is>
      </c>
      <c r="H155" t="inlineStr"/>
      <c r="J155" t="n">
        <v>62.01</v>
      </c>
      <c r="K155" t="inlineStr"/>
      <c r="M155" t="inlineStr">
        <is>
          <t>TN</t>
        </is>
      </c>
      <c r="N155" t="inlineStr"/>
      <c r="P155" t="inlineStr">
        <is>
          <t>20240726</t>
        </is>
      </c>
      <c r="Q155" t="inlineStr">
        <is>
          <t>20241023</t>
        </is>
      </c>
    </row>
    <row r="156">
      <c r="A156" t="inlineStr">
        <is>
          <t>900005465DW75D27810150617</t>
        </is>
      </c>
      <c r="B156" t="inlineStr">
        <is>
          <t>900005465</t>
        </is>
      </c>
      <c r="C156" t="inlineStr">
        <is>
          <t>DW75</t>
        </is>
      </c>
      <c r="D156" t="inlineStr">
        <is>
          <t>D278</t>
        </is>
      </c>
      <c r="E156" t="inlineStr">
        <is>
          <t>1</t>
        </is>
      </c>
      <c r="F156" t="inlineStr">
        <is>
          <t>10150617</t>
        </is>
      </c>
      <c r="H156" t="inlineStr"/>
      <c r="J156" t="n">
        <v>76.67</v>
      </c>
      <c r="K156" t="inlineStr"/>
      <c r="M156" t="inlineStr">
        <is>
          <t>TN</t>
        </is>
      </c>
      <c r="N156" t="inlineStr"/>
      <c r="P156" t="inlineStr">
        <is>
          <t>20240726</t>
        </is>
      </c>
      <c r="Q156" t="inlineStr">
        <is>
          <t>20241023</t>
        </is>
      </c>
    </row>
    <row r="157">
      <c r="A157" t="inlineStr">
        <is>
          <t>900005465DW75D27810151192</t>
        </is>
      </c>
      <c r="B157" t="inlineStr">
        <is>
          <t>900005465</t>
        </is>
      </c>
      <c r="C157" t="inlineStr">
        <is>
          <t>DW75</t>
        </is>
      </c>
      <c r="D157" t="inlineStr">
        <is>
          <t>D278</t>
        </is>
      </c>
      <c r="E157" t="inlineStr">
        <is>
          <t>1</t>
        </is>
      </c>
      <c r="F157" t="inlineStr">
        <is>
          <t>10151192</t>
        </is>
      </c>
      <c r="H157" t="inlineStr"/>
      <c r="J157" t="n">
        <v>72.93000000000001</v>
      </c>
      <c r="K157" t="inlineStr"/>
      <c r="M157" t="inlineStr">
        <is>
          <t>TN</t>
        </is>
      </c>
      <c r="N157" t="inlineStr"/>
      <c r="P157" t="inlineStr">
        <is>
          <t>20240726</t>
        </is>
      </c>
      <c r="Q157" t="inlineStr">
        <is>
          <t>20241023</t>
        </is>
      </c>
    </row>
    <row r="158">
      <c r="A158" t="inlineStr">
        <is>
          <t>900005465DW75D31210000716</t>
        </is>
      </c>
      <c r="B158" t="inlineStr">
        <is>
          <t>900005465</t>
        </is>
      </c>
      <c r="C158" t="inlineStr">
        <is>
          <t>DW75</t>
        </is>
      </c>
      <c r="D158" t="inlineStr">
        <is>
          <t>D312</t>
        </is>
      </c>
      <c r="E158" t="inlineStr">
        <is>
          <t>1</t>
        </is>
      </c>
      <c r="F158" t="inlineStr">
        <is>
          <t>10000716</t>
        </is>
      </c>
      <c r="H158" t="inlineStr"/>
      <c r="J158" t="n">
        <v>87.06</v>
      </c>
      <c r="K158" t="inlineStr"/>
      <c r="M158" t="inlineStr">
        <is>
          <t>TN</t>
        </is>
      </c>
      <c r="N158" t="inlineStr"/>
      <c r="P158" t="inlineStr">
        <is>
          <t>20240726</t>
        </is>
      </c>
      <c r="Q158" t="inlineStr">
        <is>
          <t>20241023</t>
        </is>
      </c>
    </row>
    <row r="159">
      <c r="A159" t="inlineStr">
        <is>
          <t>900005465DW75D31210147933</t>
        </is>
      </c>
      <c r="B159" t="inlineStr">
        <is>
          <t>900005465</t>
        </is>
      </c>
      <c r="C159" t="inlineStr">
        <is>
          <t>DW75</t>
        </is>
      </c>
      <c r="D159" t="inlineStr">
        <is>
          <t>D312</t>
        </is>
      </c>
      <c r="E159" t="inlineStr">
        <is>
          <t>1</t>
        </is>
      </c>
      <c r="F159" t="inlineStr">
        <is>
          <t>10147933</t>
        </is>
      </c>
      <c r="H159" t="inlineStr"/>
      <c r="J159" t="n">
        <v>74.78</v>
      </c>
      <c r="K159" t="inlineStr"/>
      <c r="M159" t="inlineStr">
        <is>
          <t>TN</t>
        </is>
      </c>
      <c r="N159" t="inlineStr"/>
      <c r="P159" t="inlineStr">
        <is>
          <t>20240726</t>
        </is>
      </c>
      <c r="Q159" t="inlineStr">
        <is>
          <t>20241023</t>
        </is>
      </c>
    </row>
    <row r="160">
      <c r="A160" t="inlineStr">
        <is>
          <t>900005465DW75D31210149958</t>
        </is>
      </c>
      <c r="B160" t="inlineStr">
        <is>
          <t>900005465</t>
        </is>
      </c>
      <c r="C160" t="inlineStr">
        <is>
          <t>DW75</t>
        </is>
      </c>
      <c r="D160" t="inlineStr">
        <is>
          <t>D312</t>
        </is>
      </c>
      <c r="E160" t="inlineStr">
        <is>
          <t>1</t>
        </is>
      </c>
      <c r="F160" t="inlineStr">
        <is>
          <t>10149958</t>
        </is>
      </c>
      <c r="H160" t="inlineStr"/>
      <c r="J160" t="n">
        <v>74.84</v>
      </c>
      <c r="K160" t="inlineStr"/>
      <c r="M160" t="inlineStr">
        <is>
          <t>TN</t>
        </is>
      </c>
      <c r="N160" t="inlineStr"/>
      <c r="P160" t="inlineStr">
        <is>
          <t>20240726</t>
        </is>
      </c>
      <c r="Q160" t="inlineStr">
        <is>
          <t>20241023</t>
        </is>
      </c>
    </row>
    <row r="161">
      <c r="A161" t="inlineStr">
        <is>
          <t>900005465DW75D31210150617</t>
        </is>
      </c>
      <c r="B161" t="inlineStr">
        <is>
          <t>900005465</t>
        </is>
      </c>
      <c r="C161" t="inlineStr">
        <is>
          <t>DW75</t>
        </is>
      </c>
      <c r="D161" t="inlineStr">
        <is>
          <t>D312</t>
        </is>
      </c>
      <c r="E161" t="inlineStr">
        <is>
          <t>1</t>
        </is>
      </c>
      <c r="F161" t="inlineStr">
        <is>
          <t>10150617</t>
        </is>
      </c>
      <c r="H161" t="inlineStr"/>
      <c r="J161" t="n">
        <v>92.54000000000001</v>
      </c>
      <c r="K161" t="inlineStr"/>
      <c r="M161" t="inlineStr">
        <is>
          <t>TN</t>
        </is>
      </c>
      <c r="N161" t="inlineStr"/>
      <c r="P161" t="inlineStr">
        <is>
          <t>20240726</t>
        </is>
      </c>
      <c r="Q161" t="inlineStr">
        <is>
          <t>20241023</t>
        </is>
      </c>
    </row>
    <row r="162">
      <c r="A162" t="inlineStr">
        <is>
          <t>900005465DW75D31210151192</t>
        </is>
      </c>
      <c r="B162" t="inlineStr">
        <is>
          <t>900005465</t>
        </is>
      </c>
      <c r="C162" t="inlineStr">
        <is>
          <t>DW75</t>
        </is>
      </c>
      <c r="D162" t="inlineStr">
        <is>
          <t>D312</t>
        </is>
      </c>
      <c r="E162" t="inlineStr">
        <is>
          <t>1</t>
        </is>
      </c>
      <c r="F162" t="inlineStr">
        <is>
          <t>10151192</t>
        </is>
      </c>
      <c r="H162" t="inlineStr"/>
      <c r="J162" t="n">
        <v>88.02</v>
      </c>
      <c r="K162" t="inlineStr"/>
      <c r="M162" t="inlineStr">
        <is>
          <t>TN</t>
        </is>
      </c>
      <c r="N162" t="inlineStr"/>
      <c r="P162" t="inlineStr">
        <is>
          <t>20240726</t>
        </is>
      </c>
      <c r="Q162" t="inlineStr">
        <is>
          <t>20241023</t>
        </is>
      </c>
    </row>
    <row r="163">
      <c r="A163" t="inlineStr">
        <is>
          <t>900005465DW75D31510000716</t>
        </is>
      </c>
      <c r="B163" t="inlineStr">
        <is>
          <t>900005465</t>
        </is>
      </c>
      <c r="C163" t="inlineStr">
        <is>
          <t>DW75</t>
        </is>
      </c>
      <c r="D163" t="inlineStr">
        <is>
          <t>D315</t>
        </is>
      </c>
      <c r="E163" t="inlineStr">
        <is>
          <t>1</t>
        </is>
      </c>
      <c r="F163" t="inlineStr">
        <is>
          <t>10000716</t>
        </is>
      </c>
      <c r="H163" t="inlineStr"/>
      <c r="J163" t="n">
        <v>39.81</v>
      </c>
      <c r="K163" t="inlineStr"/>
      <c r="M163" t="inlineStr">
        <is>
          <t>TN</t>
        </is>
      </c>
      <c r="N163" t="inlineStr"/>
      <c r="P163" t="inlineStr">
        <is>
          <t>20240726</t>
        </is>
      </c>
      <c r="Q163" t="inlineStr">
        <is>
          <t>20241023</t>
        </is>
      </c>
    </row>
    <row r="164">
      <c r="A164" t="inlineStr">
        <is>
          <t>900005465DW75D31510149958</t>
        </is>
      </c>
      <c r="B164" t="inlineStr">
        <is>
          <t>900005465</t>
        </is>
      </c>
      <c r="C164" t="inlineStr">
        <is>
          <t>DW75</t>
        </is>
      </c>
      <c r="D164" t="inlineStr">
        <is>
          <t>D315</t>
        </is>
      </c>
      <c r="E164" t="inlineStr">
        <is>
          <t>1</t>
        </is>
      </c>
      <c r="F164" t="inlineStr">
        <is>
          <t>10149958</t>
        </is>
      </c>
      <c r="H164" t="inlineStr"/>
      <c r="J164" t="n">
        <v>34.22</v>
      </c>
      <c r="K164" t="inlineStr"/>
      <c r="M164" t="inlineStr">
        <is>
          <t>TN</t>
        </is>
      </c>
      <c r="N164" t="inlineStr"/>
      <c r="P164" t="inlineStr">
        <is>
          <t>20240726</t>
        </is>
      </c>
      <c r="Q164" t="inlineStr">
        <is>
          <t>20241023</t>
        </is>
      </c>
    </row>
    <row r="165">
      <c r="A165" t="inlineStr">
        <is>
          <t>900005465DW75D31510150617</t>
        </is>
      </c>
      <c r="B165" t="inlineStr">
        <is>
          <t>900005465</t>
        </is>
      </c>
      <c r="C165" t="inlineStr">
        <is>
          <t>DW75</t>
        </is>
      </c>
      <c r="D165" t="inlineStr">
        <is>
          <t>D315</t>
        </is>
      </c>
      <c r="E165" t="inlineStr">
        <is>
          <t>1</t>
        </is>
      </c>
      <c r="F165" t="inlineStr">
        <is>
          <t>10150617</t>
        </is>
      </c>
      <c r="H165" t="inlineStr"/>
      <c r="J165" t="n">
        <v>42.32</v>
      </c>
      <c r="K165" t="inlineStr"/>
      <c r="M165" t="inlineStr">
        <is>
          <t>TN</t>
        </is>
      </c>
      <c r="N165" t="inlineStr"/>
      <c r="P165" t="inlineStr">
        <is>
          <t>20240726</t>
        </is>
      </c>
      <c r="Q165" t="inlineStr">
        <is>
          <t>20241023</t>
        </is>
      </c>
    </row>
    <row r="166">
      <c r="A166" t="inlineStr">
        <is>
          <t>900005465DW75D31510151192</t>
        </is>
      </c>
      <c r="B166" t="inlineStr">
        <is>
          <t>900005465</t>
        </is>
      </c>
      <c r="C166" t="inlineStr">
        <is>
          <t>DW75</t>
        </is>
      </c>
      <c r="D166" t="inlineStr">
        <is>
          <t>D315</t>
        </is>
      </c>
      <c r="E166" t="inlineStr">
        <is>
          <t>1</t>
        </is>
      </c>
      <c r="F166" t="inlineStr">
        <is>
          <t>10151192</t>
        </is>
      </c>
      <c r="H166" t="inlineStr"/>
      <c r="J166" t="n">
        <v>40.25</v>
      </c>
      <c r="K166" t="inlineStr"/>
      <c r="M166" t="inlineStr">
        <is>
          <t>TN</t>
        </is>
      </c>
      <c r="N166" t="inlineStr"/>
      <c r="P166" t="inlineStr">
        <is>
          <t>20240726</t>
        </is>
      </c>
      <c r="Q166" t="inlineStr">
        <is>
          <t>20241023</t>
        </is>
      </c>
    </row>
    <row r="167">
      <c r="A167" t="inlineStr">
        <is>
          <t>900005465DW75D32710000716</t>
        </is>
      </c>
      <c r="B167" t="inlineStr">
        <is>
          <t>900005465</t>
        </is>
      </c>
      <c r="C167" t="inlineStr">
        <is>
          <t>DW75</t>
        </is>
      </c>
      <c r="D167" t="inlineStr">
        <is>
          <t>D327</t>
        </is>
      </c>
      <c r="E167" t="inlineStr">
        <is>
          <t>1</t>
        </is>
      </c>
      <c r="F167" t="inlineStr">
        <is>
          <t>10000716</t>
        </is>
      </c>
      <c r="H167" t="inlineStr"/>
      <c r="J167" t="n">
        <v>87.47</v>
      </c>
      <c r="K167" t="inlineStr"/>
      <c r="M167" t="inlineStr">
        <is>
          <t>TN</t>
        </is>
      </c>
      <c r="N167" t="inlineStr"/>
      <c r="P167" t="inlineStr">
        <is>
          <t>20240726</t>
        </is>
      </c>
      <c r="Q167" t="inlineStr">
        <is>
          <t>20241023</t>
        </is>
      </c>
    </row>
    <row r="168">
      <c r="A168" t="inlineStr">
        <is>
          <t>900005465DW75D32710147933</t>
        </is>
      </c>
      <c r="B168" t="inlineStr">
        <is>
          <t>900005465</t>
        </is>
      </c>
      <c r="C168" t="inlineStr">
        <is>
          <t>DW75</t>
        </is>
      </c>
      <c r="D168" t="inlineStr">
        <is>
          <t>D327</t>
        </is>
      </c>
      <c r="E168" t="inlineStr">
        <is>
          <t>1</t>
        </is>
      </c>
      <c r="F168" t="inlineStr">
        <is>
          <t>10147933</t>
        </is>
      </c>
      <c r="H168" t="inlineStr"/>
      <c r="J168" t="n">
        <v>75.14</v>
      </c>
      <c r="K168" t="inlineStr"/>
      <c r="M168" t="inlineStr">
        <is>
          <t>TN</t>
        </is>
      </c>
      <c r="N168" t="inlineStr"/>
      <c r="P168" t="inlineStr">
        <is>
          <t>20240726</t>
        </is>
      </c>
      <c r="Q168" t="inlineStr">
        <is>
          <t>20241023</t>
        </is>
      </c>
    </row>
    <row r="169">
      <c r="A169" t="inlineStr">
        <is>
          <t>900005465DW75D32710149958</t>
        </is>
      </c>
      <c r="B169" t="inlineStr">
        <is>
          <t>900005465</t>
        </is>
      </c>
      <c r="C169" t="inlineStr">
        <is>
          <t>DW75</t>
        </is>
      </c>
      <c r="D169" t="inlineStr">
        <is>
          <t>D327</t>
        </is>
      </c>
      <c r="E169" t="inlineStr">
        <is>
          <t>1</t>
        </is>
      </c>
      <c r="F169" t="inlineStr">
        <is>
          <t>10149958</t>
        </is>
      </c>
      <c r="H169" t="inlineStr"/>
      <c r="J169" t="n">
        <v>75.19</v>
      </c>
      <c r="K169" t="inlineStr"/>
      <c r="M169" t="inlineStr">
        <is>
          <t>TN</t>
        </is>
      </c>
      <c r="N169" t="inlineStr"/>
      <c r="P169" t="inlineStr">
        <is>
          <t>20240726</t>
        </is>
      </c>
      <c r="Q169" t="inlineStr">
        <is>
          <t>20241023</t>
        </is>
      </c>
    </row>
    <row r="170">
      <c r="A170" t="inlineStr">
        <is>
          <t>900005465DW75D32710150617</t>
        </is>
      </c>
      <c r="B170" t="inlineStr">
        <is>
          <t>900005465</t>
        </is>
      </c>
      <c r="C170" t="inlineStr">
        <is>
          <t>DW75</t>
        </is>
      </c>
      <c r="D170" t="inlineStr">
        <is>
          <t>D327</t>
        </is>
      </c>
      <c r="E170" t="inlineStr">
        <is>
          <t>1</t>
        </is>
      </c>
      <c r="F170" t="inlineStr">
        <is>
          <t>10150617</t>
        </is>
      </c>
      <c r="H170" t="inlineStr"/>
      <c r="J170" t="n">
        <v>92.98</v>
      </c>
      <c r="K170" t="inlineStr"/>
      <c r="M170" t="inlineStr">
        <is>
          <t>TN</t>
        </is>
      </c>
      <c r="N170" t="inlineStr"/>
      <c r="P170" t="inlineStr">
        <is>
          <t>20240726</t>
        </is>
      </c>
      <c r="Q170" t="inlineStr">
        <is>
          <t>20241023</t>
        </is>
      </c>
    </row>
    <row r="171">
      <c r="A171" t="inlineStr">
        <is>
          <t>900005465DW75D32710151192</t>
        </is>
      </c>
      <c r="B171" t="inlineStr">
        <is>
          <t>900005465</t>
        </is>
      </c>
      <c r="C171" t="inlineStr">
        <is>
          <t>DW75</t>
        </is>
      </c>
      <c r="D171" t="inlineStr">
        <is>
          <t>D327</t>
        </is>
      </c>
      <c r="E171" t="inlineStr">
        <is>
          <t>1</t>
        </is>
      </c>
      <c r="F171" t="inlineStr">
        <is>
          <t>10151192</t>
        </is>
      </c>
      <c r="H171" t="inlineStr"/>
      <c r="J171" t="n">
        <v>88.44</v>
      </c>
      <c r="K171" t="inlineStr"/>
      <c r="M171" t="inlineStr">
        <is>
          <t>TN</t>
        </is>
      </c>
      <c r="N171" t="inlineStr"/>
      <c r="P171" t="inlineStr">
        <is>
          <t>20240726</t>
        </is>
      </c>
      <c r="Q171" t="inlineStr">
        <is>
          <t>20241023</t>
        </is>
      </c>
    </row>
    <row r="172">
      <c r="A172" t="inlineStr">
        <is>
          <t>900005465DW75D33110000716</t>
        </is>
      </c>
      <c r="B172" t="inlineStr">
        <is>
          <t>900005465</t>
        </is>
      </c>
      <c r="C172" t="inlineStr">
        <is>
          <t>DW75</t>
        </is>
      </c>
      <c r="D172" t="inlineStr">
        <is>
          <t>D331</t>
        </is>
      </c>
      <c r="E172" t="inlineStr">
        <is>
          <t>1</t>
        </is>
      </c>
      <c r="F172" t="inlineStr">
        <is>
          <t>10000716</t>
        </is>
      </c>
      <c r="H172" t="inlineStr"/>
      <c r="J172" t="n">
        <v>39.81</v>
      </c>
      <c r="K172" t="inlineStr"/>
      <c r="M172" t="inlineStr">
        <is>
          <t>TN</t>
        </is>
      </c>
      <c r="N172" t="inlineStr"/>
      <c r="P172" t="inlineStr">
        <is>
          <t>20210620</t>
        </is>
      </c>
      <c r="Q172" t="inlineStr">
        <is>
          <t>20241216</t>
        </is>
      </c>
    </row>
    <row r="173">
      <c r="A173" t="inlineStr">
        <is>
          <t>900005465DW75D33110147933</t>
        </is>
      </c>
      <c r="B173" t="inlineStr">
        <is>
          <t>900005465</t>
        </is>
      </c>
      <c r="C173" t="inlineStr">
        <is>
          <t>DW75</t>
        </is>
      </c>
      <c r="D173" t="inlineStr">
        <is>
          <t>D331</t>
        </is>
      </c>
      <c r="E173" t="inlineStr">
        <is>
          <t>1</t>
        </is>
      </c>
      <c r="F173" t="inlineStr">
        <is>
          <t>10147933</t>
        </is>
      </c>
      <c r="H173" t="inlineStr"/>
      <c r="J173" t="n">
        <v>34.19</v>
      </c>
      <c r="K173" t="inlineStr"/>
      <c r="M173" t="inlineStr">
        <is>
          <t>TN</t>
        </is>
      </c>
      <c r="N173" t="inlineStr"/>
      <c r="P173" t="inlineStr">
        <is>
          <t>20210620</t>
        </is>
      </c>
      <c r="Q173" t="inlineStr">
        <is>
          <t>20241216</t>
        </is>
      </c>
    </row>
    <row r="174">
      <c r="A174" t="inlineStr">
        <is>
          <t>900005465DW75D33110149958</t>
        </is>
      </c>
      <c r="B174" t="inlineStr">
        <is>
          <t>900005465</t>
        </is>
      </c>
      <c r="C174" t="inlineStr">
        <is>
          <t>DW75</t>
        </is>
      </c>
      <c r="D174" t="inlineStr">
        <is>
          <t>D331</t>
        </is>
      </c>
      <c r="E174" t="inlineStr">
        <is>
          <t>1</t>
        </is>
      </c>
      <c r="F174" t="inlineStr">
        <is>
          <t>10149958</t>
        </is>
      </c>
      <c r="H174" t="inlineStr"/>
      <c r="J174" t="n">
        <v>34.22</v>
      </c>
      <c r="K174" t="inlineStr"/>
      <c r="M174" t="inlineStr">
        <is>
          <t>TN</t>
        </is>
      </c>
      <c r="N174" t="inlineStr"/>
      <c r="P174" t="inlineStr">
        <is>
          <t>20210620</t>
        </is>
      </c>
      <c r="Q174" t="inlineStr">
        <is>
          <t>20241216</t>
        </is>
      </c>
    </row>
    <row r="175">
      <c r="A175" t="inlineStr">
        <is>
          <t>900005465DW75D33110150617</t>
        </is>
      </c>
      <c r="B175" t="inlineStr">
        <is>
          <t>900005465</t>
        </is>
      </c>
      <c r="C175" t="inlineStr">
        <is>
          <t>DW75</t>
        </is>
      </c>
      <c r="D175" t="inlineStr">
        <is>
          <t>D331</t>
        </is>
      </c>
      <c r="E175" t="inlineStr">
        <is>
          <t>1</t>
        </is>
      </c>
      <c r="F175" t="inlineStr">
        <is>
          <t>10150617</t>
        </is>
      </c>
      <c r="H175" t="inlineStr"/>
      <c r="J175" t="n">
        <v>42.31</v>
      </c>
      <c r="K175" t="inlineStr"/>
      <c r="M175" t="inlineStr">
        <is>
          <t>TN</t>
        </is>
      </c>
      <c r="N175" t="inlineStr"/>
      <c r="P175" t="inlineStr">
        <is>
          <t>20210620</t>
        </is>
      </c>
      <c r="Q175" t="inlineStr">
        <is>
          <t>20241216</t>
        </is>
      </c>
    </row>
    <row r="176">
      <c r="A176" t="inlineStr">
        <is>
          <t>900005465DW75D33110151192</t>
        </is>
      </c>
      <c r="B176" t="inlineStr">
        <is>
          <t>900005465</t>
        </is>
      </c>
      <c r="C176" t="inlineStr">
        <is>
          <t>DW75</t>
        </is>
      </c>
      <c r="D176" t="inlineStr">
        <is>
          <t>D331</t>
        </is>
      </c>
      <c r="E176" t="inlineStr">
        <is>
          <t>1</t>
        </is>
      </c>
      <c r="F176" t="inlineStr">
        <is>
          <t>10151192</t>
        </is>
      </c>
      <c r="H176" t="inlineStr"/>
      <c r="J176" t="n">
        <v>40.25</v>
      </c>
      <c r="K176" t="inlineStr"/>
      <c r="M176" t="inlineStr">
        <is>
          <t>TN</t>
        </is>
      </c>
      <c r="N176" t="inlineStr"/>
      <c r="P176" t="inlineStr">
        <is>
          <t>20210620</t>
        </is>
      </c>
      <c r="Q176" t="inlineStr">
        <is>
          <t>20241216</t>
        </is>
      </c>
    </row>
    <row r="177">
      <c r="A177" t="inlineStr">
        <is>
          <t>900005465DW75D34310000716</t>
        </is>
      </c>
      <c r="B177" t="inlineStr">
        <is>
          <t>900005465</t>
        </is>
      </c>
      <c r="C177" t="inlineStr">
        <is>
          <t>DW75</t>
        </is>
      </c>
      <c r="D177" t="inlineStr">
        <is>
          <t>D343</t>
        </is>
      </c>
      <c r="E177" t="inlineStr">
        <is>
          <t>1</t>
        </is>
      </c>
      <c r="F177" t="inlineStr">
        <is>
          <t>10000716</t>
        </is>
      </c>
      <c r="H177" t="inlineStr"/>
      <c r="J177" t="n">
        <v>25.72</v>
      </c>
      <c r="K177" t="inlineStr"/>
      <c r="M177" t="inlineStr">
        <is>
          <t>TN</t>
        </is>
      </c>
      <c r="N177" t="inlineStr"/>
      <c r="P177" t="inlineStr">
        <is>
          <t>20240726</t>
        </is>
      </c>
      <c r="Q177" t="inlineStr">
        <is>
          <t>20241023</t>
        </is>
      </c>
    </row>
    <row r="178">
      <c r="A178" t="inlineStr">
        <is>
          <t>900005465DW75D34310147933</t>
        </is>
      </c>
      <c r="B178" t="inlineStr">
        <is>
          <t>900005465</t>
        </is>
      </c>
      <c r="C178" t="inlineStr">
        <is>
          <t>DW75</t>
        </is>
      </c>
      <c r="D178" t="inlineStr">
        <is>
          <t>D343</t>
        </is>
      </c>
      <c r="E178" t="inlineStr">
        <is>
          <t>1</t>
        </is>
      </c>
      <c r="F178" t="inlineStr">
        <is>
          <t>10147933</t>
        </is>
      </c>
      <c r="H178" t="inlineStr"/>
      <c r="J178" t="n">
        <v>22.09</v>
      </c>
      <c r="K178" t="inlineStr"/>
      <c r="M178" t="inlineStr">
        <is>
          <t>TN</t>
        </is>
      </c>
      <c r="N178" t="inlineStr"/>
      <c r="P178" t="inlineStr">
        <is>
          <t>20240726</t>
        </is>
      </c>
      <c r="Q178" t="inlineStr">
        <is>
          <t>20241023</t>
        </is>
      </c>
    </row>
    <row r="179">
      <c r="A179" t="inlineStr">
        <is>
          <t>900005465DW75D34310149958</t>
        </is>
      </c>
      <c r="B179" t="inlineStr">
        <is>
          <t>900005465</t>
        </is>
      </c>
      <c r="C179" t="inlineStr">
        <is>
          <t>DW75</t>
        </is>
      </c>
      <c r="D179" t="inlineStr">
        <is>
          <t>D343</t>
        </is>
      </c>
      <c r="E179" t="inlineStr">
        <is>
          <t>1</t>
        </is>
      </c>
      <c r="F179" t="inlineStr">
        <is>
          <t>10149958</t>
        </is>
      </c>
      <c r="H179" t="inlineStr"/>
      <c r="J179" t="n">
        <v>22.11</v>
      </c>
      <c r="K179" t="inlineStr"/>
      <c r="M179" t="inlineStr">
        <is>
          <t>TN</t>
        </is>
      </c>
      <c r="N179" t="inlineStr"/>
      <c r="P179" t="inlineStr">
        <is>
          <t>20240726</t>
        </is>
      </c>
      <c r="Q179" t="inlineStr">
        <is>
          <t>20241023</t>
        </is>
      </c>
    </row>
    <row r="180">
      <c r="A180" t="inlineStr">
        <is>
          <t>900005465DW75D34310150617</t>
        </is>
      </c>
      <c r="B180" t="inlineStr">
        <is>
          <t>900005465</t>
        </is>
      </c>
      <c r="C180" t="inlineStr">
        <is>
          <t>DW75</t>
        </is>
      </c>
      <c r="D180" t="inlineStr">
        <is>
          <t>D343</t>
        </is>
      </c>
      <c r="E180" t="inlineStr">
        <is>
          <t>1</t>
        </is>
      </c>
      <c r="F180" t="inlineStr">
        <is>
          <t>10150617</t>
        </is>
      </c>
      <c r="H180" t="inlineStr"/>
      <c r="J180" t="n">
        <v>27.34</v>
      </c>
      <c r="K180" t="inlineStr"/>
      <c r="M180" t="inlineStr">
        <is>
          <t>TN</t>
        </is>
      </c>
      <c r="N180" t="inlineStr"/>
      <c r="P180" t="inlineStr">
        <is>
          <t>20240726</t>
        </is>
      </c>
      <c r="Q180" t="inlineStr">
        <is>
          <t>20241023</t>
        </is>
      </c>
    </row>
    <row r="181">
      <c r="A181" t="inlineStr">
        <is>
          <t>900005465DW75D34310151192</t>
        </is>
      </c>
      <c r="B181" t="inlineStr">
        <is>
          <t>900005465</t>
        </is>
      </c>
      <c r="C181" t="inlineStr">
        <is>
          <t>DW75</t>
        </is>
      </c>
      <c r="D181" t="inlineStr">
        <is>
          <t>D343</t>
        </is>
      </c>
      <c r="E181" t="inlineStr">
        <is>
          <t>1</t>
        </is>
      </c>
      <c r="F181" t="inlineStr">
        <is>
          <t>10151192</t>
        </is>
      </c>
      <c r="H181" t="inlineStr"/>
      <c r="J181" t="n">
        <v>26.01</v>
      </c>
      <c r="K181" t="inlineStr"/>
      <c r="M181" t="inlineStr">
        <is>
          <t>TN</t>
        </is>
      </c>
      <c r="N181" t="inlineStr"/>
      <c r="P181" t="inlineStr">
        <is>
          <t>20240726</t>
        </is>
      </c>
      <c r="Q181" t="inlineStr">
        <is>
          <t>20241023</t>
        </is>
      </c>
    </row>
    <row r="182">
      <c r="A182" t="inlineStr">
        <is>
          <t>900005465DW75D34910000716</t>
        </is>
      </c>
      <c r="B182" t="inlineStr">
        <is>
          <t>900005465</t>
        </is>
      </c>
      <c r="C182" t="inlineStr">
        <is>
          <t>DW75</t>
        </is>
      </c>
      <c r="D182" t="inlineStr">
        <is>
          <t>D349</t>
        </is>
      </c>
      <c r="E182" t="inlineStr">
        <is>
          <t>1</t>
        </is>
      </c>
      <c r="F182" t="inlineStr">
        <is>
          <t>10000716</t>
        </is>
      </c>
      <c r="H182" t="inlineStr"/>
      <c r="J182" t="n">
        <v>118.98</v>
      </c>
      <c r="K182" t="inlineStr"/>
      <c r="M182" t="inlineStr">
        <is>
          <t>TN</t>
        </is>
      </c>
      <c r="N182" t="inlineStr"/>
      <c r="P182" t="inlineStr">
        <is>
          <t>20240726</t>
        </is>
      </c>
      <c r="Q182" t="inlineStr">
        <is>
          <t>20241023</t>
        </is>
      </c>
    </row>
    <row r="183">
      <c r="A183" t="inlineStr">
        <is>
          <t>900005465DW75D34910147933</t>
        </is>
      </c>
      <c r="B183" t="inlineStr">
        <is>
          <t>900005465</t>
        </is>
      </c>
      <c r="C183" t="inlineStr">
        <is>
          <t>DW75</t>
        </is>
      </c>
      <c r="D183" t="inlineStr">
        <is>
          <t>D349</t>
        </is>
      </c>
      <c r="E183" t="inlineStr">
        <is>
          <t>1</t>
        </is>
      </c>
      <c r="F183" t="inlineStr">
        <is>
          <t>10147933</t>
        </is>
      </c>
      <c r="H183" t="inlineStr"/>
      <c r="J183" t="n">
        <v>102.2</v>
      </c>
      <c r="K183" t="inlineStr"/>
      <c r="M183" t="inlineStr">
        <is>
          <t>TN</t>
        </is>
      </c>
      <c r="N183" t="inlineStr"/>
      <c r="P183" t="inlineStr">
        <is>
          <t>20240726</t>
        </is>
      </c>
      <c r="Q183" t="inlineStr">
        <is>
          <t>20241023</t>
        </is>
      </c>
    </row>
    <row r="184">
      <c r="A184" t="inlineStr">
        <is>
          <t>900005465DW75D34910149958</t>
        </is>
      </c>
      <c r="B184" t="inlineStr">
        <is>
          <t>900005465</t>
        </is>
      </c>
      <c r="C184" t="inlineStr">
        <is>
          <t>DW75</t>
        </is>
      </c>
      <c r="D184" t="inlineStr">
        <is>
          <t>D349</t>
        </is>
      </c>
      <c r="E184" t="inlineStr">
        <is>
          <t>1</t>
        </is>
      </c>
      <c r="F184" t="inlineStr">
        <is>
          <t>10149958</t>
        </is>
      </c>
      <c r="H184" t="inlineStr"/>
      <c r="J184" t="n">
        <v>102.28</v>
      </c>
      <c r="K184" t="inlineStr"/>
      <c r="M184" t="inlineStr">
        <is>
          <t>TN</t>
        </is>
      </c>
      <c r="N184" t="inlineStr"/>
      <c r="P184" t="inlineStr">
        <is>
          <t>20240726</t>
        </is>
      </c>
      <c r="Q184" t="inlineStr">
        <is>
          <t>20241023</t>
        </is>
      </c>
    </row>
    <row r="185">
      <c r="A185" t="inlineStr">
        <is>
          <t>900005465DW75D34910150617</t>
        </is>
      </c>
      <c r="B185" t="inlineStr">
        <is>
          <t>900005465</t>
        </is>
      </c>
      <c r="C185" t="inlineStr">
        <is>
          <t>DW75</t>
        </is>
      </c>
      <c r="D185" t="inlineStr">
        <is>
          <t>D349</t>
        </is>
      </c>
      <c r="E185" t="inlineStr">
        <is>
          <t>1</t>
        </is>
      </c>
      <c r="F185" t="inlineStr">
        <is>
          <t>10150617</t>
        </is>
      </c>
      <c r="H185" t="inlineStr"/>
      <c r="J185" t="n">
        <v>126.47</v>
      </c>
      <c r="K185" t="inlineStr"/>
      <c r="M185" t="inlineStr">
        <is>
          <t>TN</t>
        </is>
      </c>
      <c r="N185" t="inlineStr"/>
      <c r="P185" t="inlineStr">
        <is>
          <t>20240726</t>
        </is>
      </c>
      <c r="Q185" t="inlineStr">
        <is>
          <t>20241023</t>
        </is>
      </c>
    </row>
    <row r="186">
      <c r="A186" t="inlineStr">
        <is>
          <t>900005465DW75D34910151192</t>
        </is>
      </c>
      <c r="B186" t="inlineStr">
        <is>
          <t>900005465</t>
        </is>
      </c>
      <c r="C186" t="inlineStr">
        <is>
          <t>DW75</t>
        </is>
      </c>
      <c r="D186" t="inlineStr">
        <is>
          <t>D349</t>
        </is>
      </c>
      <c r="E186" t="inlineStr">
        <is>
          <t>1</t>
        </is>
      </c>
      <c r="F186" t="inlineStr">
        <is>
          <t>10151192</t>
        </is>
      </c>
      <c r="H186" t="inlineStr"/>
      <c r="J186" t="n">
        <v>120.3</v>
      </c>
      <c r="K186" t="inlineStr"/>
      <c r="M186" t="inlineStr">
        <is>
          <t>TN</t>
        </is>
      </c>
      <c r="N186" t="inlineStr"/>
      <c r="P186" t="inlineStr">
        <is>
          <t>20240726</t>
        </is>
      </c>
      <c r="Q186" t="inlineStr">
        <is>
          <t>20241023</t>
        </is>
      </c>
    </row>
    <row r="187">
      <c r="A187" t="inlineStr">
        <is>
          <t>900005465DW75D67810000716</t>
        </is>
      </c>
      <c r="B187" t="inlineStr">
        <is>
          <t>900005465</t>
        </is>
      </c>
      <c r="C187" t="inlineStr">
        <is>
          <t>DW75</t>
        </is>
      </c>
      <c r="D187" t="inlineStr">
        <is>
          <t>D678</t>
        </is>
      </c>
      <c r="E187" t="inlineStr">
        <is>
          <t>1</t>
        </is>
      </c>
      <c r="F187" t="inlineStr">
        <is>
          <t>10000716</t>
        </is>
      </c>
      <c r="H187" t="inlineStr"/>
      <c r="J187" t="n">
        <v>85.45999999999999</v>
      </c>
      <c r="K187" t="inlineStr"/>
      <c r="M187" t="inlineStr">
        <is>
          <t>TN</t>
        </is>
      </c>
      <c r="N187" t="inlineStr"/>
      <c r="P187" t="inlineStr">
        <is>
          <t>20240726</t>
        </is>
      </c>
      <c r="Q187" t="inlineStr">
        <is>
          <t>20241023</t>
        </is>
      </c>
    </row>
    <row r="188">
      <c r="A188" t="inlineStr">
        <is>
          <t>900005465DW75D67810149958</t>
        </is>
      </c>
      <c r="B188" t="inlineStr">
        <is>
          <t>900005465</t>
        </is>
      </c>
      <c r="C188" t="inlineStr">
        <is>
          <t>DW75</t>
        </is>
      </c>
      <c r="D188" t="inlineStr">
        <is>
          <t>D678</t>
        </is>
      </c>
      <c r="E188" t="inlineStr">
        <is>
          <t>1</t>
        </is>
      </c>
      <c r="F188" t="inlineStr">
        <is>
          <t>10149958</t>
        </is>
      </c>
      <c r="H188" t="inlineStr"/>
      <c r="J188" t="n">
        <v>73.45999999999999</v>
      </c>
      <c r="K188" t="inlineStr"/>
      <c r="M188" t="inlineStr">
        <is>
          <t>TN</t>
        </is>
      </c>
      <c r="N188" t="inlineStr"/>
      <c r="P188" t="inlineStr">
        <is>
          <t>20240726</t>
        </is>
      </c>
      <c r="Q188" t="inlineStr">
        <is>
          <t>20241023</t>
        </is>
      </c>
    </row>
    <row r="189">
      <c r="A189" t="inlineStr">
        <is>
          <t>900005465DW75D67810150617</t>
        </is>
      </c>
      <c r="B189" t="inlineStr">
        <is>
          <t>900005465</t>
        </is>
      </c>
      <c r="C189" t="inlineStr">
        <is>
          <t>DW75</t>
        </is>
      </c>
      <c r="D189" t="inlineStr">
        <is>
          <t>D678</t>
        </is>
      </c>
      <c r="E189" t="inlineStr">
        <is>
          <t>1</t>
        </is>
      </c>
      <c r="F189" t="inlineStr">
        <is>
          <t>10150617</t>
        </is>
      </c>
      <c r="H189" t="inlineStr"/>
      <c r="J189" t="n">
        <v>90.84</v>
      </c>
      <c r="K189" t="inlineStr"/>
      <c r="M189" t="inlineStr">
        <is>
          <t>TN</t>
        </is>
      </c>
      <c r="N189" t="inlineStr"/>
      <c r="P189" t="inlineStr">
        <is>
          <t>20240726</t>
        </is>
      </c>
      <c r="Q189" t="inlineStr">
        <is>
          <t>20241023</t>
        </is>
      </c>
    </row>
    <row r="190">
      <c r="A190" t="inlineStr">
        <is>
          <t>900005465DW75D67810151192</t>
        </is>
      </c>
      <c r="B190" t="inlineStr">
        <is>
          <t>900005465</t>
        </is>
      </c>
      <c r="C190" t="inlineStr">
        <is>
          <t>DW75</t>
        </is>
      </c>
      <c r="D190" t="inlineStr">
        <is>
          <t>D678</t>
        </is>
      </c>
      <c r="E190" t="inlineStr">
        <is>
          <t>1</t>
        </is>
      </c>
      <c r="F190" t="inlineStr">
        <is>
          <t>10151192</t>
        </is>
      </c>
      <c r="H190" t="inlineStr"/>
      <c r="J190" t="n">
        <v>86.41</v>
      </c>
      <c r="K190" t="inlineStr"/>
      <c r="M190" t="inlineStr">
        <is>
          <t>TN</t>
        </is>
      </c>
      <c r="N190" t="inlineStr"/>
      <c r="P190" t="inlineStr">
        <is>
          <t>20240726</t>
        </is>
      </c>
      <c r="Q190" t="inlineStr">
        <is>
          <t>20241023</t>
        </is>
      </c>
    </row>
    <row r="191">
      <c r="A191" t="inlineStr">
        <is>
          <t>900005465DW75E67410000716</t>
        </is>
      </c>
      <c r="B191" t="inlineStr">
        <is>
          <t>900005465</t>
        </is>
      </c>
      <c r="C191" t="inlineStr">
        <is>
          <t>DW75</t>
        </is>
      </c>
      <c r="D191" t="inlineStr">
        <is>
          <t>E674</t>
        </is>
      </c>
      <c r="E191" t="inlineStr">
        <is>
          <t>1</t>
        </is>
      </c>
      <c r="F191" t="inlineStr">
        <is>
          <t>10000716</t>
        </is>
      </c>
      <c r="H191" t="inlineStr"/>
      <c r="J191" t="n">
        <v>103.72</v>
      </c>
      <c r="K191" t="inlineStr"/>
      <c r="M191" t="inlineStr">
        <is>
          <t>TN</t>
        </is>
      </c>
      <c r="N191" t="inlineStr"/>
      <c r="P191" t="inlineStr">
        <is>
          <t>20240726</t>
        </is>
      </c>
      <c r="Q191" t="inlineStr">
        <is>
          <t>20241023</t>
        </is>
      </c>
    </row>
    <row r="192">
      <c r="A192" t="inlineStr">
        <is>
          <t>900005465DW75E67410147933</t>
        </is>
      </c>
      <c r="B192" t="inlineStr">
        <is>
          <t>900005465</t>
        </is>
      </c>
      <c r="C192" t="inlineStr">
        <is>
          <t>DW75</t>
        </is>
      </c>
      <c r="D192" t="inlineStr">
        <is>
          <t>E674</t>
        </is>
      </c>
      <c r="E192" t="inlineStr">
        <is>
          <t>1</t>
        </is>
      </c>
      <c r="F192" t="inlineStr">
        <is>
          <t>10147933</t>
        </is>
      </c>
      <c r="H192" t="inlineStr"/>
      <c r="J192" t="n">
        <v>89.09999999999999</v>
      </c>
      <c r="K192" t="inlineStr"/>
      <c r="M192" t="inlineStr">
        <is>
          <t>TN</t>
        </is>
      </c>
      <c r="N192" t="inlineStr"/>
      <c r="P192" t="inlineStr">
        <is>
          <t>20240726</t>
        </is>
      </c>
      <c r="Q192" t="inlineStr">
        <is>
          <t>20241023</t>
        </is>
      </c>
    </row>
    <row r="193">
      <c r="A193" t="inlineStr">
        <is>
          <t>900005465DW75E67410149958</t>
        </is>
      </c>
      <c r="B193" t="inlineStr">
        <is>
          <t>900005465</t>
        </is>
      </c>
      <c r="C193" t="inlineStr">
        <is>
          <t>DW75</t>
        </is>
      </c>
      <c r="D193" t="inlineStr">
        <is>
          <t>E674</t>
        </is>
      </c>
      <c r="E193" t="inlineStr">
        <is>
          <t>1</t>
        </is>
      </c>
      <c r="F193" t="inlineStr">
        <is>
          <t>10149958</t>
        </is>
      </c>
      <c r="H193" t="inlineStr"/>
      <c r="J193" t="n">
        <v>89.16</v>
      </c>
      <c r="K193" t="inlineStr"/>
      <c r="M193" t="inlineStr">
        <is>
          <t>TN</t>
        </is>
      </c>
      <c r="N193" t="inlineStr"/>
      <c r="P193" t="inlineStr">
        <is>
          <t>20240726</t>
        </is>
      </c>
      <c r="Q193" t="inlineStr">
        <is>
          <t>20241023</t>
        </is>
      </c>
    </row>
    <row r="194">
      <c r="A194" t="inlineStr">
        <is>
          <t>900005465DW75E67410150617</t>
        </is>
      </c>
      <c r="B194" t="inlineStr">
        <is>
          <t>900005465</t>
        </is>
      </c>
      <c r="C194" t="inlineStr">
        <is>
          <t>DW75</t>
        </is>
      </c>
      <c r="D194" t="inlineStr">
        <is>
          <t>E674</t>
        </is>
      </c>
      <c r="E194" t="inlineStr">
        <is>
          <t>1</t>
        </is>
      </c>
      <c r="F194" t="inlineStr">
        <is>
          <t>10150617</t>
        </is>
      </c>
      <c r="H194" t="inlineStr"/>
      <c r="J194" t="n">
        <v>110.25</v>
      </c>
      <c r="K194" t="inlineStr"/>
      <c r="M194" t="inlineStr">
        <is>
          <t>TN</t>
        </is>
      </c>
      <c r="N194" t="inlineStr"/>
      <c r="P194" t="inlineStr">
        <is>
          <t>20240726</t>
        </is>
      </c>
      <c r="Q194" t="inlineStr">
        <is>
          <t>20241023</t>
        </is>
      </c>
    </row>
    <row r="195">
      <c r="A195" t="inlineStr">
        <is>
          <t>900005465DW75E67410151192</t>
        </is>
      </c>
      <c r="B195" t="inlineStr">
        <is>
          <t>900005465</t>
        </is>
      </c>
      <c r="C195" t="inlineStr">
        <is>
          <t>DW75</t>
        </is>
      </c>
      <c r="D195" t="inlineStr">
        <is>
          <t>E674</t>
        </is>
      </c>
      <c r="E195" t="inlineStr">
        <is>
          <t>1</t>
        </is>
      </c>
      <c r="F195" t="inlineStr">
        <is>
          <t>10151192</t>
        </is>
      </c>
      <c r="H195" t="inlineStr"/>
      <c r="J195" t="n">
        <v>104.88</v>
      </c>
      <c r="K195" t="inlineStr"/>
      <c r="M195" t="inlineStr">
        <is>
          <t>TN</t>
        </is>
      </c>
      <c r="N195" t="inlineStr"/>
      <c r="P195" t="inlineStr">
        <is>
          <t>20240726</t>
        </is>
      </c>
      <c r="Q195" t="inlineStr">
        <is>
          <t>20241023</t>
        </is>
      </c>
    </row>
    <row r="196">
      <c r="A196" t="inlineStr">
        <is>
          <t>900005467DW75D27810000716</t>
        </is>
      </c>
      <c r="B196" t="inlineStr">
        <is>
          <t>900005467</t>
        </is>
      </c>
      <c r="C196" t="inlineStr">
        <is>
          <t>DW75</t>
        </is>
      </c>
      <c r="D196" t="inlineStr">
        <is>
          <t>D278</t>
        </is>
      </c>
      <c r="E196" t="inlineStr">
        <is>
          <t>4</t>
        </is>
      </c>
      <c r="F196" t="inlineStr">
        <is>
          <t>10000716</t>
        </is>
      </c>
      <c r="H196" t="inlineStr"/>
      <c r="J196" t="n">
        <v>57.45</v>
      </c>
      <c r="K196" t="inlineStr"/>
      <c r="M196" t="inlineStr">
        <is>
          <t>TN</t>
        </is>
      </c>
      <c r="N196" t="inlineStr"/>
      <c r="P196" t="inlineStr">
        <is>
          <t>20240726</t>
        </is>
      </c>
      <c r="Q196" t="inlineStr">
        <is>
          <t>20241023</t>
        </is>
      </c>
    </row>
    <row r="197">
      <c r="A197" t="inlineStr">
        <is>
          <t>900005467DW75D27810147933</t>
        </is>
      </c>
      <c r="B197" t="inlineStr">
        <is>
          <t>900005467</t>
        </is>
      </c>
      <c r="C197" t="inlineStr">
        <is>
          <t>DW75</t>
        </is>
      </c>
      <c r="D197" t="inlineStr">
        <is>
          <t>D278</t>
        </is>
      </c>
      <c r="E197" t="inlineStr">
        <is>
          <t>4</t>
        </is>
      </c>
      <c r="F197" t="inlineStr">
        <is>
          <t>10147933</t>
        </is>
      </c>
      <c r="H197" t="inlineStr"/>
      <c r="J197" t="n">
        <v>49.35</v>
      </c>
      <c r="K197" t="inlineStr"/>
      <c r="M197" t="inlineStr">
        <is>
          <t>TN</t>
        </is>
      </c>
      <c r="N197" t="inlineStr"/>
      <c r="P197" t="inlineStr">
        <is>
          <t>20240726</t>
        </is>
      </c>
      <c r="Q197" t="inlineStr">
        <is>
          <t>20241023</t>
        </is>
      </c>
    </row>
    <row r="198">
      <c r="A198" t="inlineStr">
        <is>
          <t>900005467DW75D27810149958</t>
        </is>
      </c>
      <c r="B198" t="inlineStr">
        <is>
          <t>900005467</t>
        </is>
      </c>
      <c r="C198" t="inlineStr">
        <is>
          <t>DW75</t>
        </is>
      </c>
      <c r="D198" t="inlineStr">
        <is>
          <t>D278</t>
        </is>
      </c>
      <c r="E198" t="inlineStr">
        <is>
          <t>4</t>
        </is>
      </c>
      <c r="F198" t="inlineStr">
        <is>
          <t>10149958</t>
        </is>
      </c>
      <c r="H198" t="inlineStr"/>
      <c r="J198" t="n">
        <v>49.39</v>
      </c>
      <c r="K198" t="inlineStr"/>
      <c r="M198" t="inlineStr">
        <is>
          <t>TN</t>
        </is>
      </c>
      <c r="N198" t="inlineStr"/>
      <c r="P198" t="inlineStr">
        <is>
          <t>20240726</t>
        </is>
      </c>
      <c r="Q198" t="inlineStr">
        <is>
          <t>20241023</t>
        </is>
      </c>
    </row>
    <row r="199">
      <c r="A199" t="inlineStr">
        <is>
          <t>900005467DW75D27810150617</t>
        </is>
      </c>
      <c r="B199" t="inlineStr">
        <is>
          <t>900005467</t>
        </is>
      </c>
      <c r="C199" t="inlineStr">
        <is>
          <t>DW75</t>
        </is>
      </c>
      <c r="D199" t="inlineStr">
        <is>
          <t>D278</t>
        </is>
      </c>
      <c r="E199" t="inlineStr">
        <is>
          <t>4</t>
        </is>
      </c>
      <c r="F199" t="inlineStr">
        <is>
          <t>10150617</t>
        </is>
      </c>
      <c r="H199" t="inlineStr"/>
      <c r="J199" t="n">
        <v>61.07</v>
      </c>
      <c r="K199" t="inlineStr"/>
      <c r="M199" t="inlineStr">
        <is>
          <t>TN</t>
        </is>
      </c>
      <c r="N199" t="inlineStr"/>
      <c r="P199" t="inlineStr">
        <is>
          <t>20240726</t>
        </is>
      </c>
      <c r="Q199" t="inlineStr">
        <is>
          <t>20241023</t>
        </is>
      </c>
    </row>
    <row r="200">
      <c r="A200" t="inlineStr">
        <is>
          <t>900005467DW75D27810151192</t>
        </is>
      </c>
      <c r="B200" t="inlineStr">
        <is>
          <t>900005467</t>
        </is>
      </c>
      <c r="C200" t="inlineStr">
        <is>
          <t>DW75</t>
        </is>
      </c>
      <c r="D200" t="inlineStr">
        <is>
          <t>D278</t>
        </is>
      </c>
      <c r="E200" t="inlineStr">
        <is>
          <t>4</t>
        </is>
      </c>
      <c r="F200" t="inlineStr">
        <is>
          <t>10151192</t>
        </is>
      </c>
      <c r="H200" t="inlineStr"/>
      <c r="J200" t="n">
        <v>58.09</v>
      </c>
      <c r="K200" t="inlineStr"/>
      <c r="M200" t="inlineStr">
        <is>
          <t>TN</t>
        </is>
      </c>
      <c r="N200" t="inlineStr"/>
      <c r="P200" t="inlineStr">
        <is>
          <t>20240726</t>
        </is>
      </c>
      <c r="Q200" t="inlineStr">
        <is>
          <t>20241023</t>
        </is>
      </c>
    </row>
    <row r="201">
      <c r="A201" t="inlineStr">
        <is>
          <t>900005467DW75D31210000716</t>
        </is>
      </c>
      <c r="B201" t="inlineStr">
        <is>
          <t>900005467</t>
        </is>
      </c>
      <c r="C201" t="inlineStr">
        <is>
          <t>DW75</t>
        </is>
      </c>
      <c r="D201" t="inlineStr">
        <is>
          <t>D312</t>
        </is>
      </c>
      <c r="E201" t="inlineStr">
        <is>
          <t>4</t>
        </is>
      </c>
      <c r="F201" t="inlineStr">
        <is>
          <t>10000716</t>
        </is>
      </c>
      <c r="H201" t="inlineStr"/>
      <c r="J201" t="n">
        <v>63.2</v>
      </c>
      <c r="K201" t="inlineStr"/>
      <c r="M201" t="inlineStr">
        <is>
          <t>TN</t>
        </is>
      </c>
      <c r="N201" t="inlineStr"/>
      <c r="P201" t="inlineStr">
        <is>
          <t>20240726</t>
        </is>
      </c>
      <c r="Q201" t="inlineStr">
        <is>
          <t>20241023</t>
        </is>
      </c>
    </row>
    <row r="202">
      <c r="A202" t="inlineStr">
        <is>
          <t>900005467DW75D31210147933</t>
        </is>
      </c>
      <c r="B202" t="inlineStr">
        <is>
          <t>900005467</t>
        </is>
      </c>
      <c r="C202" t="inlineStr">
        <is>
          <t>DW75</t>
        </is>
      </c>
      <c r="D202" t="inlineStr">
        <is>
          <t>D312</t>
        </is>
      </c>
      <c r="E202" t="inlineStr">
        <is>
          <t>4</t>
        </is>
      </c>
      <c r="F202" t="inlineStr">
        <is>
          <t>10147933</t>
        </is>
      </c>
      <c r="H202" t="inlineStr"/>
      <c r="J202" t="n">
        <v>54.29</v>
      </c>
      <c r="K202" t="inlineStr"/>
      <c r="M202" t="inlineStr">
        <is>
          <t>TN</t>
        </is>
      </c>
      <c r="N202" t="inlineStr"/>
      <c r="P202" t="inlineStr">
        <is>
          <t>20240726</t>
        </is>
      </c>
      <c r="Q202" t="inlineStr">
        <is>
          <t>20241023</t>
        </is>
      </c>
    </row>
    <row r="203">
      <c r="A203" t="inlineStr">
        <is>
          <t>900005467DW75D31210149958</t>
        </is>
      </c>
      <c r="B203" t="inlineStr">
        <is>
          <t>900005467</t>
        </is>
      </c>
      <c r="C203" t="inlineStr">
        <is>
          <t>DW75</t>
        </is>
      </c>
      <c r="D203" t="inlineStr">
        <is>
          <t>D312</t>
        </is>
      </c>
      <c r="E203" t="inlineStr">
        <is>
          <t>4</t>
        </is>
      </c>
      <c r="F203" t="inlineStr">
        <is>
          <t>10149958</t>
        </is>
      </c>
      <c r="H203" t="inlineStr"/>
      <c r="J203" t="n">
        <v>54.33</v>
      </c>
      <c r="K203" t="inlineStr"/>
      <c r="M203" t="inlineStr">
        <is>
          <t>TN</t>
        </is>
      </c>
      <c r="N203" t="inlineStr"/>
      <c r="P203" t="inlineStr">
        <is>
          <t>20240726</t>
        </is>
      </c>
      <c r="Q203" t="inlineStr">
        <is>
          <t>20241023</t>
        </is>
      </c>
    </row>
    <row r="204">
      <c r="A204" t="inlineStr">
        <is>
          <t>900005467DW75D31210150617</t>
        </is>
      </c>
      <c r="B204" t="inlineStr">
        <is>
          <t>900005467</t>
        </is>
      </c>
      <c r="C204" t="inlineStr">
        <is>
          <t>DW75</t>
        </is>
      </c>
      <c r="D204" t="inlineStr">
        <is>
          <t>D312</t>
        </is>
      </c>
      <c r="E204" t="inlineStr">
        <is>
          <t>4</t>
        </is>
      </c>
      <c r="F204" t="inlineStr">
        <is>
          <t>10150617</t>
        </is>
      </c>
      <c r="H204" t="inlineStr"/>
      <c r="J204" t="n">
        <v>67.18000000000001</v>
      </c>
      <c r="K204" t="inlineStr"/>
      <c r="M204" t="inlineStr">
        <is>
          <t>TN</t>
        </is>
      </c>
      <c r="N204" t="inlineStr"/>
      <c r="P204" t="inlineStr">
        <is>
          <t>20240726</t>
        </is>
      </c>
      <c r="Q204" t="inlineStr">
        <is>
          <t>20241023</t>
        </is>
      </c>
    </row>
    <row r="205">
      <c r="A205" t="inlineStr">
        <is>
          <t>900005467DW75D31210151192</t>
        </is>
      </c>
      <c r="B205" t="inlineStr">
        <is>
          <t>900005467</t>
        </is>
      </c>
      <c r="C205" t="inlineStr">
        <is>
          <t>DW75</t>
        </is>
      </c>
      <c r="D205" t="inlineStr">
        <is>
          <t>D312</t>
        </is>
      </c>
      <c r="E205" t="inlineStr">
        <is>
          <t>4</t>
        </is>
      </c>
      <c r="F205" t="inlineStr">
        <is>
          <t>10151192</t>
        </is>
      </c>
      <c r="H205" t="inlineStr"/>
      <c r="J205" t="n">
        <v>63.9</v>
      </c>
      <c r="K205" t="inlineStr"/>
      <c r="M205" t="inlineStr">
        <is>
          <t>TN</t>
        </is>
      </c>
      <c r="N205" t="inlineStr"/>
      <c r="P205" t="inlineStr">
        <is>
          <t>20240726</t>
        </is>
      </c>
      <c r="Q205" t="inlineStr">
        <is>
          <t>20241023</t>
        </is>
      </c>
    </row>
    <row r="206">
      <c r="A206" t="inlineStr">
        <is>
          <t>900005467DW75D31510000716</t>
        </is>
      </c>
      <c r="B206" t="inlineStr">
        <is>
          <t>900005467</t>
        </is>
      </c>
      <c r="C206" t="inlineStr">
        <is>
          <t>DW75</t>
        </is>
      </c>
      <c r="D206" t="inlineStr">
        <is>
          <t>D315</t>
        </is>
      </c>
      <c r="E206" t="inlineStr">
        <is>
          <t>4</t>
        </is>
      </c>
      <c r="F206" t="inlineStr">
        <is>
          <t>10000716</t>
        </is>
      </c>
      <c r="H206" t="inlineStr"/>
      <c r="J206" t="n">
        <v>41.79</v>
      </c>
      <c r="K206" t="inlineStr"/>
      <c r="M206" t="inlineStr">
        <is>
          <t>TN</t>
        </is>
      </c>
      <c r="N206" t="inlineStr"/>
      <c r="P206" t="inlineStr">
        <is>
          <t>20240726</t>
        </is>
      </c>
      <c r="Q206" t="inlineStr">
        <is>
          <t>20241023</t>
        </is>
      </c>
    </row>
    <row r="207">
      <c r="A207" t="inlineStr">
        <is>
          <t>900005467DW75D31510147933</t>
        </is>
      </c>
      <c r="B207" t="inlineStr">
        <is>
          <t>900005467</t>
        </is>
      </c>
      <c r="C207" t="inlineStr">
        <is>
          <t>DW75</t>
        </is>
      </c>
      <c r="D207" t="inlineStr">
        <is>
          <t>D315</t>
        </is>
      </c>
      <c r="E207" t="inlineStr">
        <is>
          <t>4</t>
        </is>
      </c>
      <c r="F207" t="inlineStr">
        <is>
          <t>10147933</t>
        </is>
      </c>
      <c r="H207" t="inlineStr"/>
      <c r="J207" t="n">
        <v>35.89</v>
      </c>
      <c r="K207" t="inlineStr"/>
      <c r="M207" t="inlineStr">
        <is>
          <t>TN</t>
        </is>
      </c>
      <c r="N207" t="inlineStr"/>
      <c r="P207" t="inlineStr">
        <is>
          <t>20240726</t>
        </is>
      </c>
      <c r="Q207" t="inlineStr">
        <is>
          <t>20241023</t>
        </is>
      </c>
    </row>
    <row r="208">
      <c r="A208" t="inlineStr">
        <is>
          <t>900005467DW75D31510149958</t>
        </is>
      </c>
      <c r="B208" t="inlineStr">
        <is>
          <t>900005467</t>
        </is>
      </c>
      <c r="C208" t="inlineStr">
        <is>
          <t>DW75</t>
        </is>
      </c>
      <c r="D208" t="inlineStr">
        <is>
          <t>D315</t>
        </is>
      </c>
      <c r="E208" t="inlineStr">
        <is>
          <t>4</t>
        </is>
      </c>
      <c r="F208" t="inlineStr">
        <is>
          <t>10149958</t>
        </is>
      </c>
      <c r="H208" t="inlineStr"/>
      <c r="J208" t="n">
        <v>35.92</v>
      </c>
      <c r="K208" t="inlineStr"/>
      <c r="M208" t="inlineStr">
        <is>
          <t>TN</t>
        </is>
      </c>
      <c r="N208" t="inlineStr"/>
      <c r="P208" t="inlineStr">
        <is>
          <t>20240726</t>
        </is>
      </c>
      <c r="Q208" t="inlineStr">
        <is>
          <t>20241023</t>
        </is>
      </c>
    </row>
    <row r="209">
      <c r="A209" t="inlineStr">
        <is>
          <t>900005467DW75D31510150617</t>
        </is>
      </c>
      <c r="B209" t="inlineStr">
        <is>
          <t>900005467</t>
        </is>
      </c>
      <c r="C209" t="inlineStr">
        <is>
          <t>DW75</t>
        </is>
      </c>
      <c r="D209" t="inlineStr">
        <is>
          <t>D315</t>
        </is>
      </c>
      <c r="E209" t="inlineStr">
        <is>
          <t>4</t>
        </is>
      </c>
      <c r="F209" t="inlineStr">
        <is>
          <t>10150617</t>
        </is>
      </c>
      <c r="H209" t="inlineStr"/>
      <c r="J209" t="n">
        <v>44.42</v>
      </c>
      <c r="K209" t="inlineStr"/>
      <c r="M209" t="inlineStr">
        <is>
          <t>TN</t>
        </is>
      </c>
      <c r="N209" t="inlineStr"/>
      <c r="P209" t="inlineStr">
        <is>
          <t>20240726</t>
        </is>
      </c>
      <c r="Q209" t="inlineStr">
        <is>
          <t>20241023</t>
        </is>
      </c>
    </row>
    <row r="210">
      <c r="A210" t="inlineStr">
        <is>
          <t>900005467DW75D31510151192</t>
        </is>
      </c>
      <c r="B210" t="inlineStr">
        <is>
          <t>900005467</t>
        </is>
      </c>
      <c r="C210" t="inlineStr">
        <is>
          <t>DW75</t>
        </is>
      </c>
      <c r="D210" t="inlineStr">
        <is>
          <t>D315</t>
        </is>
      </c>
      <c r="E210" t="inlineStr">
        <is>
          <t>4</t>
        </is>
      </c>
      <c r="F210" t="inlineStr">
        <is>
          <t>10151192</t>
        </is>
      </c>
      <c r="H210" t="inlineStr"/>
      <c r="J210" t="n">
        <v>42.25</v>
      </c>
      <c r="K210" t="inlineStr"/>
      <c r="M210" t="inlineStr">
        <is>
          <t>TN</t>
        </is>
      </c>
      <c r="N210" t="inlineStr"/>
      <c r="P210" t="inlineStr">
        <is>
          <t>20240726</t>
        </is>
      </c>
      <c r="Q210" t="inlineStr">
        <is>
          <t>20241023</t>
        </is>
      </c>
    </row>
    <row r="211">
      <c r="A211" t="inlineStr">
        <is>
          <t>900005467DW75D32710000716</t>
        </is>
      </c>
      <c r="B211" t="inlineStr">
        <is>
          <t>900005467</t>
        </is>
      </c>
      <c r="C211" t="inlineStr">
        <is>
          <t>DW75</t>
        </is>
      </c>
      <c r="D211" t="inlineStr">
        <is>
          <t>D327</t>
        </is>
      </c>
      <c r="E211" t="inlineStr">
        <is>
          <t>4</t>
        </is>
      </c>
      <c r="F211" t="inlineStr">
        <is>
          <t>10000716</t>
        </is>
      </c>
      <c r="H211" t="inlineStr"/>
      <c r="J211" t="n">
        <v>63.2</v>
      </c>
      <c r="K211" t="inlineStr"/>
      <c r="M211" t="inlineStr">
        <is>
          <t>TN</t>
        </is>
      </c>
      <c r="N211" t="inlineStr"/>
      <c r="P211" t="inlineStr">
        <is>
          <t>20240726</t>
        </is>
      </c>
      <c r="Q211" t="inlineStr">
        <is>
          <t>20241023</t>
        </is>
      </c>
    </row>
    <row r="212">
      <c r="A212" t="inlineStr">
        <is>
          <t>900005467DW75D32710147933</t>
        </is>
      </c>
      <c r="B212" t="inlineStr">
        <is>
          <t>900005467</t>
        </is>
      </c>
      <c r="C212" t="inlineStr">
        <is>
          <t>DW75</t>
        </is>
      </c>
      <c r="D212" t="inlineStr">
        <is>
          <t>D327</t>
        </is>
      </c>
      <c r="E212" t="inlineStr">
        <is>
          <t>4</t>
        </is>
      </c>
      <c r="F212" t="inlineStr">
        <is>
          <t>10147933</t>
        </is>
      </c>
      <c r="H212" t="inlineStr"/>
      <c r="J212" t="n">
        <v>54.29</v>
      </c>
      <c r="K212" t="inlineStr"/>
      <c r="M212" t="inlineStr">
        <is>
          <t>TN</t>
        </is>
      </c>
      <c r="N212" t="inlineStr"/>
      <c r="P212" t="inlineStr">
        <is>
          <t>20240726</t>
        </is>
      </c>
      <c r="Q212" t="inlineStr">
        <is>
          <t>20241023</t>
        </is>
      </c>
    </row>
    <row r="213">
      <c r="A213" t="inlineStr">
        <is>
          <t>900005467DW75D32710149958</t>
        </is>
      </c>
      <c r="B213" t="inlineStr">
        <is>
          <t>900005467</t>
        </is>
      </c>
      <c r="C213" t="inlineStr">
        <is>
          <t>DW75</t>
        </is>
      </c>
      <c r="D213" t="inlineStr">
        <is>
          <t>D327</t>
        </is>
      </c>
      <c r="E213" t="inlineStr">
        <is>
          <t>4</t>
        </is>
      </c>
      <c r="F213" t="inlineStr">
        <is>
          <t>10149958</t>
        </is>
      </c>
      <c r="H213" t="inlineStr"/>
      <c r="J213" t="n">
        <v>54.33</v>
      </c>
      <c r="K213" t="inlineStr"/>
      <c r="M213" t="inlineStr">
        <is>
          <t>TN</t>
        </is>
      </c>
      <c r="N213" t="inlineStr"/>
      <c r="P213" t="inlineStr">
        <is>
          <t>20240726</t>
        </is>
      </c>
      <c r="Q213" t="inlineStr">
        <is>
          <t>20241023</t>
        </is>
      </c>
    </row>
    <row r="214">
      <c r="A214" t="inlineStr">
        <is>
          <t>900005467DW75D32710150617</t>
        </is>
      </c>
      <c r="B214" t="inlineStr">
        <is>
          <t>900005467</t>
        </is>
      </c>
      <c r="C214" t="inlineStr">
        <is>
          <t>DW75</t>
        </is>
      </c>
      <c r="D214" t="inlineStr">
        <is>
          <t>D327</t>
        </is>
      </c>
      <c r="E214" t="inlineStr">
        <is>
          <t>4</t>
        </is>
      </c>
      <c r="F214" t="inlineStr">
        <is>
          <t>10150617</t>
        </is>
      </c>
      <c r="H214" t="inlineStr"/>
      <c r="J214" t="n">
        <v>67.18000000000001</v>
      </c>
      <c r="K214" t="inlineStr"/>
      <c r="M214" t="inlineStr">
        <is>
          <t>TN</t>
        </is>
      </c>
      <c r="N214" t="inlineStr"/>
      <c r="P214" t="inlineStr">
        <is>
          <t>20240726</t>
        </is>
      </c>
      <c r="Q214" t="inlineStr">
        <is>
          <t>20241023</t>
        </is>
      </c>
    </row>
    <row r="215">
      <c r="A215" t="inlineStr">
        <is>
          <t>900005467DW75D32710151192</t>
        </is>
      </c>
      <c r="B215" t="inlineStr">
        <is>
          <t>900005467</t>
        </is>
      </c>
      <c r="C215" t="inlineStr">
        <is>
          <t>DW75</t>
        </is>
      </c>
      <c r="D215" t="inlineStr">
        <is>
          <t>D327</t>
        </is>
      </c>
      <c r="E215" t="inlineStr">
        <is>
          <t>4</t>
        </is>
      </c>
      <c r="F215" t="inlineStr">
        <is>
          <t>10151192</t>
        </is>
      </c>
      <c r="H215" t="inlineStr"/>
      <c r="J215" t="n">
        <v>63.9</v>
      </c>
      <c r="K215" t="inlineStr"/>
      <c r="M215" t="inlineStr">
        <is>
          <t>TN</t>
        </is>
      </c>
      <c r="N215" t="inlineStr"/>
      <c r="P215" t="inlineStr">
        <is>
          <t>20240726</t>
        </is>
      </c>
      <c r="Q215" t="inlineStr">
        <is>
          <t>20241023</t>
        </is>
      </c>
    </row>
    <row r="216">
      <c r="A216" t="inlineStr">
        <is>
          <t>900005467DW75D33110000587</t>
        </is>
      </c>
      <c r="B216" t="inlineStr">
        <is>
          <t>900005467</t>
        </is>
      </c>
      <c r="C216" t="inlineStr">
        <is>
          <t>DW75</t>
        </is>
      </c>
      <c r="D216" t="inlineStr">
        <is>
          <t>D331</t>
        </is>
      </c>
      <c r="E216" t="inlineStr">
        <is>
          <t>4</t>
        </is>
      </c>
      <c r="F216" t="inlineStr">
        <is>
          <t>10000587</t>
        </is>
      </c>
      <c r="H216" t="inlineStr"/>
      <c r="J216" t="n">
        <v>26.67</v>
      </c>
      <c r="K216" t="inlineStr"/>
      <c r="M216" t="inlineStr">
        <is>
          <t>TN</t>
        </is>
      </c>
      <c r="N216" t="inlineStr"/>
      <c r="P216" t="inlineStr">
        <is>
          <t>20240726</t>
        </is>
      </c>
      <c r="Q216" t="inlineStr">
        <is>
          <t>20241023</t>
        </is>
      </c>
    </row>
    <row r="217">
      <c r="A217" t="inlineStr">
        <is>
          <t>900005467DW75D33110000716</t>
        </is>
      </c>
      <c r="B217" t="inlineStr">
        <is>
          <t>900005467</t>
        </is>
      </c>
      <c r="C217" t="inlineStr">
        <is>
          <t>DW75</t>
        </is>
      </c>
      <c r="D217" t="inlineStr">
        <is>
          <t>D331</t>
        </is>
      </c>
      <c r="E217" t="inlineStr">
        <is>
          <t>4</t>
        </is>
      </c>
      <c r="F217" t="inlineStr">
        <is>
          <t>10000716</t>
        </is>
      </c>
      <c r="H217" t="inlineStr"/>
      <c r="J217" t="n">
        <v>39.27</v>
      </c>
      <c r="K217" t="inlineStr"/>
      <c r="M217" t="inlineStr">
        <is>
          <t>TN</t>
        </is>
      </c>
      <c r="N217" t="inlineStr"/>
      <c r="P217" t="inlineStr">
        <is>
          <t>20210620</t>
        </is>
      </c>
      <c r="Q217" t="inlineStr">
        <is>
          <t>20241216</t>
        </is>
      </c>
    </row>
    <row r="218">
      <c r="A218" t="inlineStr">
        <is>
          <t>900005467DW75D33110147933</t>
        </is>
      </c>
      <c r="B218" t="inlineStr">
        <is>
          <t>900005467</t>
        </is>
      </c>
      <c r="C218" t="inlineStr">
        <is>
          <t>DW75</t>
        </is>
      </c>
      <c r="D218" t="inlineStr">
        <is>
          <t>D331</t>
        </is>
      </c>
      <c r="E218" t="inlineStr">
        <is>
          <t>4</t>
        </is>
      </c>
      <c r="F218" t="inlineStr">
        <is>
          <t>10147933</t>
        </is>
      </c>
      <c r="H218" t="inlineStr"/>
      <c r="J218" t="n">
        <v>33.74</v>
      </c>
      <c r="K218" t="inlineStr"/>
      <c r="M218" t="inlineStr">
        <is>
          <t>TN</t>
        </is>
      </c>
      <c r="N218" t="inlineStr"/>
      <c r="P218" t="inlineStr">
        <is>
          <t>20210620</t>
        </is>
      </c>
      <c r="Q218" t="inlineStr">
        <is>
          <t>20241216</t>
        </is>
      </c>
    </row>
    <row r="219">
      <c r="A219" t="inlineStr">
        <is>
          <t>900005467DW75D33110149958</t>
        </is>
      </c>
      <c r="B219" t="inlineStr">
        <is>
          <t>900005467</t>
        </is>
      </c>
      <c r="C219" t="inlineStr">
        <is>
          <t>DW75</t>
        </is>
      </c>
      <c r="D219" t="inlineStr">
        <is>
          <t>D331</t>
        </is>
      </c>
      <c r="E219" t="inlineStr">
        <is>
          <t>4</t>
        </is>
      </c>
      <c r="F219" t="inlineStr">
        <is>
          <t>10149958</t>
        </is>
      </c>
      <c r="H219" t="inlineStr"/>
      <c r="J219" t="n">
        <v>33.76</v>
      </c>
      <c r="K219" t="inlineStr"/>
      <c r="M219" t="inlineStr">
        <is>
          <t>TN</t>
        </is>
      </c>
      <c r="N219" t="inlineStr"/>
      <c r="P219" t="inlineStr">
        <is>
          <t>20210620</t>
        </is>
      </c>
      <c r="Q219" t="inlineStr">
        <is>
          <t>20241216</t>
        </is>
      </c>
    </row>
    <row r="220">
      <c r="A220" t="inlineStr">
        <is>
          <t>900005467DW75D33110150617</t>
        </is>
      </c>
      <c r="B220" t="inlineStr">
        <is>
          <t>900005467</t>
        </is>
      </c>
      <c r="C220" t="inlineStr">
        <is>
          <t>DW75</t>
        </is>
      </c>
      <c r="D220" t="inlineStr">
        <is>
          <t>D331</t>
        </is>
      </c>
      <c r="E220" t="inlineStr">
        <is>
          <t>4</t>
        </is>
      </c>
      <c r="F220" t="inlineStr">
        <is>
          <t>10150617</t>
        </is>
      </c>
      <c r="H220" t="inlineStr"/>
      <c r="J220" t="n">
        <v>41.75</v>
      </c>
      <c r="K220" t="inlineStr"/>
      <c r="M220" t="inlineStr">
        <is>
          <t>TN</t>
        </is>
      </c>
      <c r="N220" t="inlineStr"/>
      <c r="P220" t="inlineStr">
        <is>
          <t>20210620</t>
        </is>
      </c>
      <c r="Q220" t="inlineStr">
        <is>
          <t>20241216</t>
        </is>
      </c>
    </row>
    <row r="221">
      <c r="A221" t="inlineStr">
        <is>
          <t>900005467DW75D33110151192</t>
        </is>
      </c>
      <c r="B221" t="inlineStr">
        <is>
          <t>900005467</t>
        </is>
      </c>
      <c r="C221" t="inlineStr">
        <is>
          <t>DW75</t>
        </is>
      </c>
      <c r="D221" t="inlineStr">
        <is>
          <t>D331</t>
        </is>
      </c>
      <c r="E221" t="inlineStr">
        <is>
          <t>4</t>
        </is>
      </c>
      <c r="F221" t="inlineStr">
        <is>
          <t>10151192</t>
        </is>
      </c>
      <c r="H221" t="inlineStr"/>
      <c r="J221" t="n">
        <v>39.71</v>
      </c>
      <c r="K221" t="inlineStr"/>
      <c r="M221" t="inlineStr">
        <is>
          <t>TN</t>
        </is>
      </c>
      <c r="N221" t="inlineStr"/>
      <c r="P221" t="inlineStr">
        <is>
          <t>20210620</t>
        </is>
      </c>
      <c r="Q221" t="inlineStr">
        <is>
          <t>20241216</t>
        </is>
      </c>
    </row>
    <row r="222">
      <c r="A222" t="inlineStr">
        <is>
          <t>900005467DW75D34310000716</t>
        </is>
      </c>
      <c r="B222" t="inlineStr">
        <is>
          <t>900005467</t>
        </is>
      </c>
      <c r="C222" t="inlineStr">
        <is>
          <t>DW75</t>
        </is>
      </c>
      <c r="D222" t="inlineStr">
        <is>
          <t>D343</t>
        </is>
      </c>
      <c r="E222" t="inlineStr">
        <is>
          <t>4</t>
        </is>
      </c>
      <c r="F222" t="inlineStr">
        <is>
          <t>10000716</t>
        </is>
      </c>
      <c r="H222" t="inlineStr"/>
      <c r="J222" t="n">
        <v>45.96</v>
      </c>
      <c r="K222" t="inlineStr"/>
      <c r="M222" t="inlineStr">
        <is>
          <t>TN</t>
        </is>
      </c>
      <c r="N222" t="inlineStr"/>
      <c r="P222" t="inlineStr">
        <is>
          <t>20240726</t>
        </is>
      </c>
      <c r="Q222" t="inlineStr">
        <is>
          <t>20241023</t>
        </is>
      </c>
    </row>
    <row r="223">
      <c r="A223" t="inlineStr">
        <is>
          <t>900005467DW75D34310147933</t>
        </is>
      </c>
      <c r="B223" t="inlineStr">
        <is>
          <t>900005467</t>
        </is>
      </c>
      <c r="C223" t="inlineStr">
        <is>
          <t>DW75</t>
        </is>
      </c>
      <c r="D223" t="inlineStr">
        <is>
          <t>D343</t>
        </is>
      </c>
      <c r="E223" t="inlineStr">
        <is>
          <t>4</t>
        </is>
      </c>
      <c r="F223" t="inlineStr">
        <is>
          <t>10147933</t>
        </is>
      </c>
      <c r="H223" t="inlineStr"/>
      <c r="J223" t="n">
        <v>39.48</v>
      </c>
      <c r="K223" t="inlineStr"/>
      <c r="M223" t="inlineStr">
        <is>
          <t>TN</t>
        </is>
      </c>
      <c r="N223" t="inlineStr"/>
      <c r="P223" t="inlineStr">
        <is>
          <t>20240726</t>
        </is>
      </c>
      <c r="Q223" t="inlineStr">
        <is>
          <t>20241023</t>
        </is>
      </c>
    </row>
    <row r="224">
      <c r="A224" t="inlineStr">
        <is>
          <t>900005467DW75D34310149958</t>
        </is>
      </c>
      <c r="B224" t="inlineStr">
        <is>
          <t>900005467</t>
        </is>
      </c>
      <c r="C224" t="inlineStr">
        <is>
          <t>DW75</t>
        </is>
      </c>
      <c r="D224" t="inlineStr">
        <is>
          <t>D343</t>
        </is>
      </c>
      <c r="E224" t="inlineStr">
        <is>
          <t>4</t>
        </is>
      </c>
      <c r="F224" t="inlineStr">
        <is>
          <t>10149958</t>
        </is>
      </c>
      <c r="H224" t="inlineStr"/>
      <c r="J224" t="n">
        <v>39.51</v>
      </c>
      <c r="K224" t="inlineStr"/>
      <c r="M224" t="inlineStr">
        <is>
          <t>TN</t>
        </is>
      </c>
      <c r="N224" t="inlineStr"/>
      <c r="P224" t="inlineStr">
        <is>
          <t>20240726</t>
        </is>
      </c>
      <c r="Q224" t="inlineStr">
        <is>
          <t>20241023</t>
        </is>
      </c>
    </row>
    <row r="225">
      <c r="A225" t="inlineStr">
        <is>
          <t>900005467DW75D34310150617</t>
        </is>
      </c>
      <c r="B225" t="inlineStr">
        <is>
          <t>900005467</t>
        </is>
      </c>
      <c r="C225" t="inlineStr">
        <is>
          <t>DW75</t>
        </is>
      </c>
      <c r="D225" t="inlineStr">
        <is>
          <t>D343</t>
        </is>
      </c>
      <c r="E225" t="inlineStr">
        <is>
          <t>4</t>
        </is>
      </c>
      <c r="F225" t="inlineStr">
        <is>
          <t>10150617</t>
        </is>
      </c>
      <c r="H225" t="inlineStr"/>
      <c r="J225" t="n">
        <v>48.86</v>
      </c>
      <c r="K225" t="inlineStr"/>
      <c r="M225" t="inlineStr">
        <is>
          <t>TN</t>
        </is>
      </c>
      <c r="N225" t="inlineStr"/>
      <c r="P225" t="inlineStr">
        <is>
          <t>20240726</t>
        </is>
      </c>
      <c r="Q225" t="inlineStr">
        <is>
          <t>20241023</t>
        </is>
      </c>
    </row>
    <row r="226">
      <c r="A226" t="inlineStr">
        <is>
          <t>900005467DW75D34310151192</t>
        </is>
      </c>
      <c r="B226" t="inlineStr">
        <is>
          <t>900005467</t>
        </is>
      </c>
      <c r="C226" t="inlineStr">
        <is>
          <t>DW75</t>
        </is>
      </c>
      <c r="D226" t="inlineStr">
        <is>
          <t>D343</t>
        </is>
      </c>
      <c r="E226" t="inlineStr">
        <is>
          <t>4</t>
        </is>
      </c>
      <c r="F226" t="inlineStr">
        <is>
          <t>10151192</t>
        </is>
      </c>
      <c r="H226" t="inlineStr"/>
      <c r="J226" t="n">
        <v>46.48</v>
      </c>
      <c r="K226" t="inlineStr"/>
      <c r="M226" t="inlineStr">
        <is>
          <t>TN</t>
        </is>
      </c>
      <c r="N226" t="inlineStr"/>
      <c r="P226" t="inlineStr">
        <is>
          <t>20240726</t>
        </is>
      </c>
      <c r="Q226" t="inlineStr">
        <is>
          <t>20241023</t>
        </is>
      </c>
    </row>
    <row r="227">
      <c r="A227" t="inlineStr">
        <is>
          <t>900005467DW75D34910000716</t>
        </is>
      </c>
      <c r="B227" t="inlineStr">
        <is>
          <t>900005467</t>
        </is>
      </c>
      <c r="C227" t="inlineStr">
        <is>
          <t>DW75</t>
        </is>
      </c>
      <c r="D227" t="inlineStr">
        <is>
          <t>D349</t>
        </is>
      </c>
      <c r="E227" t="inlineStr">
        <is>
          <t>4</t>
        </is>
      </c>
      <c r="F227" t="inlineStr">
        <is>
          <t>10000716</t>
        </is>
      </c>
      <c r="H227" t="inlineStr"/>
      <c r="J227" t="n">
        <v>68.95</v>
      </c>
      <c r="K227" t="inlineStr"/>
      <c r="M227" t="inlineStr">
        <is>
          <t>TN</t>
        </is>
      </c>
      <c r="N227" t="inlineStr"/>
      <c r="P227" t="inlineStr">
        <is>
          <t>20240726</t>
        </is>
      </c>
      <c r="Q227" t="inlineStr">
        <is>
          <t>20241023</t>
        </is>
      </c>
    </row>
    <row r="228">
      <c r="A228" t="inlineStr">
        <is>
          <t>900005467DW75D34910147933</t>
        </is>
      </c>
      <c r="B228" t="inlineStr">
        <is>
          <t>900005467</t>
        </is>
      </c>
      <c r="C228" t="inlineStr">
        <is>
          <t>DW75</t>
        </is>
      </c>
      <c r="D228" t="inlineStr">
        <is>
          <t>D349</t>
        </is>
      </c>
      <c r="E228" t="inlineStr">
        <is>
          <t>4</t>
        </is>
      </c>
      <c r="F228" t="inlineStr">
        <is>
          <t>10147933</t>
        </is>
      </c>
      <c r="H228" t="inlineStr"/>
      <c r="J228" t="n">
        <v>59.23</v>
      </c>
      <c r="K228" t="inlineStr"/>
      <c r="M228" t="inlineStr">
        <is>
          <t>TN</t>
        </is>
      </c>
      <c r="N228" t="inlineStr"/>
      <c r="P228" t="inlineStr">
        <is>
          <t>20240726</t>
        </is>
      </c>
      <c r="Q228" t="inlineStr">
        <is>
          <t>20241023</t>
        </is>
      </c>
    </row>
    <row r="229">
      <c r="A229" t="inlineStr">
        <is>
          <t>900005467DW75D34910149958</t>
        </is>
      </c>
      <c r="B229" t="inlineStr">
        <is>
          <t>900005467</t>
        </is>
      </c>
      <c r="C229" t="inlineStr">
        <is>
          <t>DW75</t>
        </is>
      </c>
      <c r="D229" t="inlineStr">
        <is>
          <t>D349</t>
        </is>
      </c>
      <c r="E229" t="inlineStr">
        <is>
          <t>4</t>
        </is>
      </c>
      <c r="F229" t="inlineStr">
        <is>
          <t>10149958</t>
        </is>
      </c>
      <c r="H229" t="inlineStr"/>
      <c r="J229" t="n">
        <v>59.27</v>
      </c>
      <c r="K229" t="inlineStr"/>
      <c r="M229" t="inlineStr">
        <is>
          <t>TN</t>
        </is>
      </c>
      <c r="N229" t="inlineStr"/>
      <c r="P229" t="inlineStr">
        <is>
          <t>20240726</t>
        </is>
      </c>
      <c r="Q229" t="inlineStr">
        <is>
          <t>20241023</t>
        </is>
      </c>
    </row>
    <row r="230">
      <c r="A230" t="inlineStr">
        <is>
          <t>900005467DW75D34910150617</t>
        </is>
      </c>
      <c r="B230" t="inlineStr">
        <is>
          <t>900005467</t>
        </is>
      </c>
      <c r="C230" t="inlineStr">
        <is>
          <t>DW75</t>
        </is>
      </c>
      <c r="D230" t="inlineStr">
        <is>
          <t>D349</t>
        </is>
      </c>
      <c r="E230" t="inlineStr">
        <is>
          <t>4</t>
        </is>
      </c>
      <c r="F230" t="inlineStr">
        <is>
          <t>10150617</t>
        </is>
      </c>
      <c r="H230" t="inlineStr"/>
      <c r="J230" t="n">
        <v>73.29000000000001</v>
      </c>
      <c r="K230" t="inlineStr"/>
      <c r="M230" t="inlineStr">
        <is>
          <t>TN</t>
        </is>
      </c>
      <c r="N230" t="inlineStr"/>
      <c r="P230" t="inlineStr">
        <is>
          <t>20240726</t>
        </is>
      </c>
      <c r="Q230" t="inlineStr">
        <is>
          <t>20241023</t>
        </is>
      </c>
    </row>
    <row r="231">
      <c r="A231" t="inlineStr">
        <is>
          <t>900005467DW75D34910151192</t>
        </is>
      </c>
      <c r="B231" t="inlineStr">
        <is>
          <t>900005467</t>
        </is>
      </c>
      <c r="C231" t="inlineStr">
        <is>
          <t>DW75</t>
        </is>
      </c>
      <c r="D231" t="inlineStr">
        <is>
          <t>D349</t>
        </is>
      </c>
      <c r="E231" t="inlineStr">
        <is>
          <t>4</t>
        </is>
      </c>
      <c r="F231" t="inlineStr">
        <is>
          <t>10151192</t>
        </is>
      </c>
      <c r="H231" t="inlineStr"/>
      <c r="J231" t="n">
        <v>69.72</v>
      </c>
      <c r="K231" t="inlineStr"/>
      <c r="M231" t="inlineStr">
        <is>
          <t>TN</t>
        </is>
      </c>
      <c r="N231" t="inlineStr"/>
      <c r="P231" t="inlineStr">
        <is>
          <t>20240726</t>
        </is>
      </c>
      <c r="Q231" t="inlineStr">
        <is>
          <t>20241023</t>
        </is>
      </c>
    </row>
    <row r="232">
      <c r="A232" t="inlineStr">
        <is>
          <t>900005822DW75D27810159865</t>
        </is>
      </c>
      <c r="B232" t="inlineStr">
        <is>
          <t>900005822</t>
        </is>
      </c>
      <c r="C232" t="inlineStr">
        <is>
          <t>DW75</t>
        </is>
      </c>
      <c r="D232" t="inlineStr">
        <is>
          <t>D278</t>
        </is>
      </c>
      <c r="E232" t="inlineStr">
        <is>
          <t>1</t>
        </is>
      </c>
      <c r="F232" t="inlineStr">
        <is>
          <t>10159865</t>
        </is>
      </c>
      <c r="H232" t="inlineStr"/>
      <c r="J232" t="n">
        <v>111.94</v>
      </c>
      <c r="K232" t="inlineStr"/>
      <c r="M232" t="inlineStr">
        <is>
          <t>TN</t>
        </is>
      </c>
      <c r="N232" t="inlineStr"/>
      <c r="P232" t="inlineStr">
        <is>
          <t>20240726</t>
        </is>
      </c>
      <c r="Q232" t="inlineStr">
        <is>
          <t>20241023</t>
        </is>
      </c>
    </row>
    <row r="233">
      <c r="A233" t="inlineStr">
        <is>
          <t>900005822DW75D31210159865</t>
        </is>
      </c>
      <c r="B233" t="inlineStr">
        <is>
          <t>900005822</t>
        </is>
      </c>
      <c r="C233" t="inlineStr">
        <is>
          <t>DW75</t>
        </is>
      </c>
      <c r="D233" t="inlineStr">
        <is>
          <t>D312</t>
        </is>
      </c>
      <c r="E233" t="inlineStr">
        <is>
          <t>1</t>
        </is>
      </c>
      <c r="F233" t="inlineStr">
        <is>
          <t>10159865</t>
        </is>
      </c>
      <c r="H233" t="inlineStr"/>
      <c r="J233" t="n">
        <v>115.97</v>
      </c>
      <c r="K233" t="inlineStr"/>
      <c r="M233" t="inlineStr">
        <is>
          <t>TN</t>
        </is>
      </c>
      <c r="N233" t="inlineStr"/>
      <c r="P233" t="inlineStr">
        <is>
          <t>20240726</t>
        </is>
      </c>
      <c r="Q233" t="inlineStr">
        <is>
          <t>20241023</t>
        </is>
      </c>
    </row>
    <row r="234">
      <c r="A234" t="inlineStr">
        <is>
          <t>900005822DW75D32710159865</t>
        </is>
      </c>
      <c r="B234" t="inlineStr">
        <is>
          <t>900005822</t>
        </is>
      </c>
      <c r="C234" t="inlineStr">
        <is>
          <t>DW75</t>
        </is>
      </c>
      <c r="D234" t="inlineStr">
        <is>
          <t>D327</t>
        </is>
      </c>
      <c r="E234" t="inlineStr">
        <is>
          <t>1</t>
        </is>
      </c>
      <c r="F234" t="inlineStr">
        <is>
          <t>10159865</t>
        </is>
      </c>
      <c r="H234" t="inlineStr"/>
      <c r="J234" t="n">
        <v>128.37</v>
      </c>
      <c r="K234" t="inlineStr"/>
      <c r="M234" t="inlineStr">
        <is>
          <t>TN</t>
        </is>
      </c>
      <c r="N234" t="inlineStr"/>
      <c r="P234" t="inlineStr">
        <is>
          <t>20240726</t>
        </is>
      </c>
      <c r="Q234" t="inlineStr">
        <is>
          <t>20241023</t>
        </is>
      </c>
    </row>
    <row r="235">
      <c r="A235" t="inlineStr">
        <is>
          <t>900005822DW75D34310159865</t>
        </is>
      </c>
      <c r="B235" t="inlineStr">
        <is>
          <t>900005822</t>
        </is>
      </c>
      <c r="C235" t="inlineStr">
        <is>
          <t>DW75</t>
        </is>
      </c>
      <c r="D235" t="inlineStr">
        <is>
          <t>D343</t>
        </is>
      </c>
      <c r="E235" t="inlineStr">
        <is>
          <t>1</t>
        </is>
      </c>
      <c r="F235" t="inlineStr">
        <is>
          <t>10159865</t>
        </is>
      </c>
      <c r="H235" t="inlineStr"/>
      <c r="J235" t="n">
        <v>68.53</v>
      </c>
      <c r="K235" t="inlineStr"/>
      <c r="M235" t="inlineStr">
        <is>
          <t>TN</t>
        </is>
      </c>
      <c r="N235" t="inlineStr"/>
      <c r="P235" t="inlineStr">
        <is>
          <t>20240726</t>
        </is>
      </c>
      <c r="Q235" t="inlineStr">
        <is>
          <t>20241023</t>
        </is>
      </c>
    </row>
    <row r="236">
      <c r="A236" t="inlineStr">
        <is>
          <t>900005822DW75D34910043601</t>
        </is>
      </c>
      <c r="B236" t="inlineStr">
        <is>
          <t>900005822</t>
        </is>
      </c>
      <c r="C236" t="inlineStr">
        <is>
          <t>DW75</t>
        </is>
      </c>
      <c r="D236" t="inlineStr">
        <is>
          <t>D349</t>
        </is>
      </c>
      <c r="E236" t="inlineStr">
        <is>
          <t>1</t>
        </is>
      </c>
      <c r="F236" t="inlineStr">
        <is>
          <t>10043601</t>
        </is>
      </c>
      <c r="H236" t="inlineStr"/>
      <c r="J236" t="n">
        <v>68.7</v>
      </c>
      <c r="K236" t="inlineStr"/>
      <c r="M236" t="inlineStr">
        <is>
          <t>TN</t>
        </is>
      </c>
      <c r="N236" t="inlineStr"/>
      <c r="P236" t="inlineStr">
        <is>
          <t>20260603</t>
        </is>
      </c>
      <c r="Q236" t="inlineStr">
        <is>
          <t>99991231</t>
        </is>
      </c>
    </row>
    <row r="237">
      <c r="A237" t="inlineStr">
        <is>
          <t>900005845DW75EQ8610266819</t>
        </is>
      </c>
      <c r="B237" t="inlineStr">
        <is>
          <t>900005845</t>
        </is>
      </c>
      <c r="C237" t="inlineStr">
        <is>
          <t>DW75</t>
        </is>
      </c>
      <c r="D237" t="inlineStr">
        <is>
          <t>EQ86</t>
        </is>
      </c>
      <c r="E237" t="inlineStr">
        <is>
          <t>1</t>
        </is>
      </c>
      <c r="F237" t="inlineStr">
        <is>
          <t>10266819</t>
        </is>
      </c>
      <c r="H237" t="inlineStr"/>
      <c r="J237" t="n">
        <v>193.66</v>
      </c>
      <c r="K237" t="inlineStr"/>
      <c r="M237" t="inlineStr">
        <is>
          <t>TN</t>
        </is>
      </c>
      <c r="N237" t="inlineStr"/>
      <c r="P237" t="inlineStr">
        <is>
          <t>20251009</t>
        </is>
      </c>
      <c r="Q237" t="inlineStr">
        <is>
          <t>99991231</t>
        </is>
      </c>
    </row>
    <row r="238">
      <c r="A238" t="inlineStr">
        <is>
          <t>900006058DW75D31510032115</t>
        </is>
      </c>
      <c r="B238" t="inlineStr">
        <is>
          <t>900006058</t>
        </is>
      </c>
      <c r="C238" t="inlineStr">
        <is>
          <t>DW75</t>
        </is>
      </c>
      <c r="D238" t="inlineStr">
        <is>
          <t>D315</t>
        </is>
      </c>
      <c r="E238" t="inlineStr">
        <is>
          <t>1</t>
        </is>
      </c>
      <c r="F238" t="inlineStr">
        <is>
          <t>10032115</t>
        </is>
      </c>
      <c r="H238" t="inlineStr"/>
      <c r="J238" t="n">
        <v>66.94</v>
      </c>
      <c r="K238" t="inlineStr"/>
      <c r="M238" t="inlineStr">
        <is>
          <t>TN</t>
        </is>
      </c>
      <c r="N238" t="inlineStr"/>
      <c r="P238" t="inlineStr">
        <is>
          <t>20240726</t>
        </is>
      </c>
      <c r="Q238" t="inlineStr">
        <is>
          <t>20241023</t>
        </is>
      </c>
    </row>
    <row r="239">
      <c r="A239" t="inlineStr">
        <is>
          <t>900006058DW75D32710032115</t>
        </is>
      </c>
      <c r="B239" t="inlineStr">
        <is>
          <t>900006058</t>
        </is>
      </c>
      <c r="C239" t="inlineStr">
        <is>
          <t>DW75</t>
        </is>
      </c>
      <c r="D239" t="inlineStr">
        <is>
          <t>D327</t>
        </is>
      </c>
      <c r="E239" t="inlineStr">
        <is>
          <t>1</t>
        </is>
      </c>
      <c r="F239" t="inlineStr">
        <is>
          <t>10032115</t>
        </is>
      </c>
      <c r="H239" t="inlineStr"/>
      <c r="J239" t="n">
        <v>75.93000000000001</v>
      </c>
      <c r="K239" t="inlineStr"/>
      <c r="M239" t="inlineStr">
        <is>
          <t>TN</t>
        </is>
      </c>
      <c r="N239" t="inlineStr"/>
      <c r="P239" t="inlineStr">
        <is>
          <t>20240726</t>
        </is>
      </c>
      <c r="Q239" t="inlineStr">
        <is>
          <t>20241023</t>
        </is>
      </c>
    </row>
    <row r="240">
      <c r="A240" t="inlineStr">
        <is>
          <t>900006058DW75D34910000742</t>
        </is>
      </c>
      <c r="B240" t="inlineStr">
        <is>
          <t>900006058</t>
        </is>
      </c>
      <c r="C240" t="inlineStr">
        <is>
          <t>DW75</t>
        </is>
      </c>
      <c r="D240" t="inlineStr">
        <is>
          <t>D349</t>
        </is>
      </c>
      <c r="E240" t="inlineStr">
        <is>
          <t>1</t>
        </is>
      </c>
      <c r="F240" t="inlineStr">
        <is>
          <t>10000742</t>
        </is>
      </c>
      <c r="H240" t="inlineStr"/>
      <c r="J240" t="n">
        <v>58.18</v>
      </c>
      <c r="K240" t="inlineStr"/>
      <c r="M240" t="inlineStr">
        <is>
          <t>TN</t>
        </is>
      </c>
      <c r="N240" t="inlineStr"/>
      <c r="P240" t="inlineStr">
        <is>
          <t>20240726</t>
        </is>
      </c>
      <c r="Q240" t="inlineStr">
        <is>
          <t>20241023</t>
        </is>
      </c>
    </row>
    <row r="241">
      <c r="A241" t="inlineStr">
        <is>
          <t>900006058DW75D34910009436</t>
        </is>
      </c>
      <c r="B241" t="inlineStr">
        <is>
          <t>900006058</t>
        </is>
      </c>
      <c r="C241" t="inlineStr">
        <is>
          <t>DW75</t>
        </is>
      </c>
      <c r="D241" t="inlineStr">
        <is>
          <t>D349</t>
        </is>
      </c>
      <c r="E241" t="inlineStr">
        <is>
          <t>1</t>
        </is>
      </c>
      <c r="F241" t="inlineStr">
        <is>
          <t>10009436</t>
        </is>
      </c>
      <c r="H241" t="inlineStr"/>
      <c r="J241" t="n">
        <v>62.21</v>
      </c>
      <c r="K241" t="inlineStr"/>
      <c r="M241" t="inlineStr">
        <is>
          <t>TN</t>
        </is>
      </c>
      <c r="N241" t="inlineStr"/>
      <c r="P241" t="inlineStr">
        <is>
          <t>20240726</t>
        </is>
      </c>
      <c r="Q241" t="inlineStr">
        <is>
          <t>20241023</t>
        </is>
      </c>
    </row>
    <row r="242">
      <c r="A242" t="inlineStr">
        <is>
          <t>900006058DW75D34910032115</t>
        </is>
      </c>
      <c r="B242" t="inlineStr">
        <is>
          <t>900006058</t>
        </is>
      </c>
      <c r="C242" t="inlineStr">
        <is>
          <t>DW75</t>
        </is>
      </c>
      <c r="D242" t="inlineStr">
        <is>
          <t>D349</t>
        </is>
      </c>
      <c r="E242" t="inlineStr">
        <is>
          <t>1</t>
        </is>
      </c>
      <c r="F242" t="inlineStr">
        <is>
          <t>10032115</t>
        </is>
      </c>
      <c r="H242" t="inlineStr"/>
      <c r="J242" t="n">
        <v>68.67</v>
      </c>
      <c r="K242" t="inlineStr"/>
      <c r="M242" t="inlineStr">
        <is>
          <t>TN</t>
        </is>
      </c>
      <c r="N242" t="inlineStr"/>
      <c r="P242" t="inlineStr">
        <is>
          <t>20240726</t>
        </is>
      </c>
      <c r="Q242" t="inlineStr">
        <is>
          <t>20241023</t>
        </is>
      </c>
    </row>
    <row r="243">
      <c r="A243" t="inlineStr">
        <is>
          <t>900006058DW75D34910161246</t>
        </is>
      </c>
      <c r="B243" t="inlineStr">
        <is>
          <t>900006058</t>
        </is>
      </c>
      <c r="C243" t="inlineStr">
        <is>
          <t>DW75</t>
        </is>
      </c>
      <c r="D243" t="inlineStr">
        <is>
          <t>D349</t>
        </is>
      </c>
      <c r="E243" t="inlineStr">
        <is>
          <t>1</t>
        </is>
      </c>
      <c r="F243" t="inlineStr">
        <is>
          <t>10161246</t>
        </is>
      </c>
      <c r="H243" t="inlineStr"/>
      <c r="J243" t="n">
        <v>69.03</v>
      </c>
      <c r="K243" t="inlineStr"/>
      <c r="M243" t="inlineStr">
        <is>
          <t>TN</t>
        </is>
      </c>
      <c r="N243" t="inlineStr"/>
      <c r="P243" t="inlineStr">
        <is>
          <t>20240726</t>
        </is>
      </c>
      <c r="Q243" t="inlineStr">
        <is>
          <t>20241023</t>
        </is>
      </c>
    </row>
    <row r="244">
      <c r="A244" t="inlineStr">
        <is>
          <t>900006554DW75D27810000364</t>
        </is>
      </c>
      <c r="B244" t="inlineStr">
        <is>
          <t>900006554</t>
        </is>
      </c>
      <c r="C244" t="inlineStr">
        <is>
          <t>DW75</t>
        </is>
      </c>
      <c r="D244" t="inlineStr">
        <is>
          <t>D278</t>
        </is>
      </c>
      <c r="E244" t="inlineStr">
        <is>
          <t>4</t>
        </is>
      </c>
      <c r="F244" t="inlineStr">
        <is>
          <t>10000364</t>
        </is>
      </c>
      <c r="H244" t="inlineStr"/>
      <c r="J244" t="n">
        <v>38.9</v>
      </c>
      <c r="K244" t="inlineStr"/>
      <c r="M244" t="inlineStr">
        <is>
          <t>TN</t>
        </is>
      </c>
      <c r="N244" t="inlineStr"/>
      <c r="P244" t="inlineStr">
        <is>
          <t>20210620</t>
        </is>
      </c>
      <c r="Q244" t="inlineStr">
        <is>
          <t>20241216</t>
        </is>
      </c>
    </row>
    <row r="245">
      <c r="A245" t="inlineStr">
        <is>
          <t>900006554DW75D27810043600</t>
        </is>
      </c>
      <c r="B245" t="inlineStr">
        <is>
          <t>900006554</t>
        </is>
      </c>
      <c r="C245" t="inlineStr">
        <is>
          <t>DW75</t>
        </is>
      </c>
      <c r="D245" t="inlineStr">
        <is>
          <t>D278</t>
        </is>
      </c>
      <c r="E245" t="inlineStr">
        <is>
          <t>4</t>
        </is>
      </c>
      <c r="F245" t="inlineStr">
        <is>
          <t>10043600</t>
        </is>
      </c>
      <c r="H245" t="inlineStr"/>
      <c r="J245" t="n">
        <v>66.53</v>
      </c>
      <c r="K245" t="inlineStr"/>
      <c r="M245" t="inlineStr">
        <is>
          <t>TN</t>
        </is>
      </c>
      <c r="N245" t="inlineStr"/>
      <c r="P245" t="inlineStr">
        <is>
          <t>20250301</t>
        </is>
      </c>
      <c r="Q245" t="inlineStr">
        <is>
          <t>99991231</t>
        </is>
      </c>
    </row>
    <row r="246">
      <c r="A246" t="inlineStr">
        <is>
          <t>900006554DW75D27810043601</t>
        </is>
      </c>
      <c r="B246" t="inlineStr">
        <is>
          <t>900006554</t>
        </is>
      </c>
      <c r="C246" t="inlineStr">
        <is>
          <t>DW75</t>
        </is>
      </c>
      <c r="D246" t="inlineStr">
        <is>
          <t>D278</t>
        </is>
      </c>
      <c r="E246" t="inlineStr">
        <is>
          <t>4</t>
        </is>
      </c>
      <c r="F246" t="inlineStr">
        <is>
          <t>10043601</t>
        </is>
      </c>
      <c r="H246" t="inlineStr"/>
      <c r="J246" t="n">
        <v>66.64</v>
      </c>
      <c r="K246" t="inlineStr"/>
      <c r="M246" t="inlineStr">
        <is>
          <t>TN</t>
        </is>
      </c>
      <c r="N246" t="inlineStr"/>
      <c r="P246" t="inlineStr">
        <is>
          <t>20250301</t>
        </is>
      </c>
      <c r="Q246" t="inlineStr">
        <is>
          <t>99991231</t>
        </is>
      </c>
    </row>
    <row r="247">
      <c r="A247" t="inlineStr">
        <is>
          <t>900006554DW75D27810045642</t>
        </is>
      </c>
      <c r="B247" t="inlineStr">
        <is>
          <t>900006554</t>
        </is>
      </c>
      <c r="C247" t="inlineStr">
        <is>
          <t>DW75</t>
        </is>
      </c>
      <c r="D247" t="inlineStr">
        <is>
          <t>D278</t>
        </is>
      </c>
      <c r="E247" t="inlineStr">
        <is>
          <t>4</t>
        </is>
      </c>
      <c r="F247" t="inlineStr">
        <is>
          <t>10045642</t>
        </is>
      </c>
      <c r="H247" t="inlineStr"/>
      <c r="J247" t="n">
        <v>53.23</v>
      </c>
      <c r="K247" t="inlineStr"/>
      <c r="M247" t="inlineStr">
        <is>
          <t>TN</t>
        </is>
      </c>
      <c r="N247" t="inlineStr"/>
      <c r="P247" t="inlineStr">
        <is>
          <t>20250301</t>
        </is>
      </c>
      <c r="Q247" t="inlineStr">
        <is>
          <t>99991231</t>
        </is>
      </c>
    </row>
    <row r="248">
      <c r="A248" t="inlineStr">
        <is>
          <t>900006554DW75D27810147933</t>
        </is>
      </c>
      <c r="B248" t="inlineStr">
        <is>
          <t>900006554</t>
        </is>
      </c>
      <c r="C248" t="inlineStr">
        <is>
          <t>DW75</t>
        </is>
      </c>
      <c r="D248" t="inlineStr">
        <is>
          <t>D278</t>
        </is>
      </c>
      <c r="E248" t="inlineStr">
        <is>
          <t>4</t>
        </is>
      </c>
      <c r="F248" t="inlineStr">
        <is>
          <t>10147933</t>
        </is>
      </c>
      <c r="H248" t="inlineStr"/>
      <c r="J248" t="n">
        <v>56.9</v>
      </c>
      <c r="K248" t="inlineStr"/>
      <c r="M248" t="inlineStr">
        <is>
          <t>TN</t>
        </is>
      </c>
      <c r="N248" t="inlineStr"/>
      <c r="P248" t="inlineStr">
        <is>
          <t>20250301</t>
        </is>
      </c>
      <c r="Q248" t="inlineStr">
        <is>
          <t>20260215</t>
        </is>
      </c>
    </row>
    <row r="249">
      <c r="A249" t="inlineStr">
        <is>
          <t>900006554DW75D27810151191</t>
        </is>
      </c>
      <c r="B249" t="inlineStr">
        <is>
          <t>900006554</t>
        </is>
      </c>
      <c r="C249" t="inlineStr">
        <is>
          <t>DW75</t>
        </is>
      </c>
      <c r="D249" t="inlineStr">
        <is>
          <t>D278</t>
        </is>
      </c>
      <c r="E249" t="inlineStr">
        <is>
          <t>4</t>
        </is>
      </c>
      <c r="F249" t="inlineStr">
        <is>
          <t>10151191</t>
        </is>
      </c>
      <c r="H249" t="inlineStr"/>
      <c r="J249" t="n">
        <v>60.84</v>
      </c>
      <c r="K249" t="inlineStr"/>
      <c r="M249" t="inlineStr">
        <is>
          <t>TN</t>
        </is>
      </c>
      <c r="N249" t="inlineStr"/>
      <c r="P249" t="inlineStr">
        <is>
          <t>20250301</t>
        </is>
      </c>
      <c r="Q249" t="inlineStr">
        <is>
          <t>20260215</t>
        </is>
      </c>
    </row>
    <row r="250">
      <c r="A250" t="inlineStr">
        <is>
          <t>900006554DW75D27810189747</t>
        </is>
      </c>
      <c r="B250" t="inlineStr">
        <is>
          <t>900006554</t>
        </is>
      </c>
      <c r="C250" t="inlineStr">
        <is>
          <t>DW75</t>
        </is>
      </c>
      <c r="D250" t="inlineStr">
        <is>
          <t>D278</t>
        </is>
      </c>
      <c r="E250" t="inlineStr">
        <is>
          <t>4</t>
        </is>
      </c>
      <c r="F250" t="inlineStr">
        <is>
          <t>10189747</t>
        </is>
      </c>
      <c r="H250" t="inlineStr"/>
      <c r="J250" t="n">
        <v>66.23999999999999</v>
      </c>
      <c r="K250" t="inlineStr"/>
      <c r="M250" t="inlineStr">
        <is>
          <t>TN</t>
        </is>
      </c>
      <c r="N250" t="inlineStr"/>
      <c r="P250" t="inlineStr">
        <is>
          <t>20250301</t>
        </is>
      </c>
      <c r="Q250" t="inlineStr">
        <is>
          <t>20260215</t>
        </is>
      </c>
    </row>
    <row r="251">
      <c r="A251" t="inlineStr">
        <is>
          <t>900006554DW75D31210000364</t>
        </is>
      </c>
      <c r="B251" t="inlineStr">
        <is>
          <t>900006554</t>
        </is>
      </c>
      <c r="C251" t="inlineStr">
        <is>
          <t>DW75</t>
        </is>
      </c>
      <c r="D251" t="inlineStr">
        <is>
          <t>D312</t>
        </is>
      </c>
      <c r="E251" t="inlineStr">
        <is>
          <t>4</t>
        </is>
      </c>
      <c r="F251" t="inlineStr">
        <is>
          <t>10000364</t>
        </is>
      </c>
      <c r="H251" t="inlineStr"/>
      <c r="J251" t="n">
        <v>41.11</v>
      </c>
      <c r="K251" t="inlineStr"/>
      <c r="M251" t="inlineStr">
        <is>
          <t>TN</t>
        </is>
      </c>
      <c r="N251" t="inlineStr"/>
      <c r="P251" t="inlineStr">
        <is>
          <t>20210620</t>
        </is>
      </c>
      <c r="Q251" t="inlineStr">
        <is>
          <t>20241216</t>
        </is>
      </c>
    </row>
    <row r="252">
      <c r="A252" t="inlineStr">
        <is>
          <t>900006554DW75D31210043600</t>
        </is>
      </c>
      <c r="B252" t="inlineStr">
        <is>
          <t>900006554</t>
        </is>
      </c>
      <c r="C252" t="inlineStr">
        <is>
          <t>DW75</t>
        </is>
      </c>
      <c r="D252" t="inlineStr">
        <is>
          <t>D312</t>
        </is>
      </c>
      <c r="E252" t="inlineStr">
        <is>
          <t>4</t>
        </is>
      </c>
      <c r="F252" t="inlineStr">
        <is>
          <t>10043600</t>
        </is>
      </c>
      <c r="H252" t="inlineStr"/>
      <c r="J252" t="n">
        <v>64.06</v>
      </c>
      <c r="K252" t="inlineStr"/>
      <c r="M252" t="inlineStr">
        <is>
          <t>TN</t>
        </is>
      </c>
      <c r="N252" t="inlineStr"/>
      <c r="P252" t="inlineStr">
        <is>
          <t>20210620</t>
        </is>
      </c>
      <c r="Q252" t="inlineStr">
        <is>
          <t>20241216</t>
        </is>
      </c>
    </row>
    <row r="253">
      <c r="A253" t="inlineStr">
        <is>
          <t>900006554DW75D31210043601</t>
        </is>
      </c>
      <c r="B253" t="inlineStr">
        <is>
          <t>900006554</t>
        </is>
      </c>
      <c r="C253" t="inlineStr">
        <is>
          <t>DW75</t>
        </is>
      </c>
      <c r="D253" t="inlineStr">
        <is>
          <t>D312</t>
        </is>
      </c>
      <c r="E253" t="inlineStr">
        <is>
          <t>4</t>
        </is>
      </c>
      <c r="F253" t="inlineStr">
        <is>
          <t>10043601</t>
        </is>
      </c>
      <c r="H253" t="inlineStr"/>
      <c r="J253" t="n">
        <v>64.17</v>
      </c>
      <c r="K253" t="inlineStr"/>
      <c r="M253" t="inlineStr">
        <is>
          <t>TN</t>
        </is>
      </c>
      <c r="N253" t="inlineStr"/>
      <c r="P253" t="inlineStr">
        <is>
          <t>20210620</t>
        </is>
      </c>
      <c r="Q253" t="inlineStr">
        <is>
          <t>20241216</t>
        </is>
      </c>
    </row>
    <row r="254">
      <c r="A254" t="inlineStr">
        <is>
          <t>900006554DW75D31210045642</t>
        </is>
      </c>
      <c r="B254" t="inlineStr">
        <is>
          <t>900006554</t>
        </is>
      </c>
      <c r="C254" t="inlineStr">
        <is>
          <t>DW75</t>
        </is>
      </c>
      <c r="D254" t="inlineStr">
        <is>
          <t>D312</t>
        </is>
      </c>
      <c r="E254" t="inlineStr">
        <is>
          <t>4</t>
        </is>
      </c>
      <c r="F254" t="inlineStr">
        <is>
          <t>10045642</t>
        </is>
      </c>
      <c r="H254" t="inlineStr"/>
      <c r="J254" t="n">
        <v>51.26</v>
      </c>
      <c r="K254" t="inlineStr"/>
      <c r="M254" t="inlineStr">
        <is>
          <t>TN</t>
        </is>
      </c>
      <c r="N254" t="inlineStr"/>
      <c r="P254" t="inlineStr">
        <is>
          <t>20210620</t>
        </is>
      </c>
      <c r="Q254" t="inlineStr">
        <is>
          <t>20241216</t>
        </is>
      </c>
    </row>
    <row r="255">
      <c r="A255" t="inlineStr">
        <is>
          <t>900006554DW75D31210147933</t>
        </is>
      </c>
      <c r="B255" t="inlineStr">
        <is>
          <t>900006554</t>
        </is>
      </c>
      <c r="C255" t="inlineStr">
        <is>
          <t>DW75</t>
        </is>
      </c>
      <c r="D255" t="inlineStr">
        <is>
          <t>D312</t>
        </is>
      </c>
      <c r="E255" t="inlineStr">
        <is>
          <t>4</t>
        </is>
      </c>
      <c r="F255" t="inlineStr">
        <is>
          <t>10147933</t>
        </is>
      </c>
      <c r="H255" t="inlineStr"/>
      <c r="J255" t="n">
        <v>54.8</v>
      </c>
      <c r="K255" t="inlineStr"/>
      <c r="M255" t="inlineStr">
        <is>
          <t>TN</t>
        </is>
      </c>
      <c r="N255" t="inlineStr"/>
      <c r="P255" t="inlineStr">
        <is>
          <t>20210620</t>
        </is>
      </c>
      <c r="Q255" t="inlineStr">
        <is>
          <t>20241216</t>
        </is>
      </c>
    </row>
    <row r="256">
      <c r="A256" t="inlineStr">
        <is>
          <t>900006554DW75D31210151191</t>
        </is>
      </c>
      <c r="B256" t="inlineStr">
        <is>
          <t>900006554</t>
        </is>
      </c>
      <c r="C256" t="inlineStr">
        <is>
          <t>DW75</t>
        </is>
      </c>
      <c r="D256" t="inlineStr">
        <is>
          <t>D312</t>
        </is>
      </c>
      <c r="E256" t="inlineStr">
        <is>
          <t>4</t>
        </is>
      </c>
      <c r="F256" t="inlineStr">
        <is>
          <t>10151191</t>
        </is>
      </c>
      <c r="H256" t="inlineStr"/>
      <c r="J256" t="n">
        <v>58.59</v>
      </c>
      <c r="K256" t="inlineStr"/>
      <c r="M256" t="inlineStr">
        <is>
          <t>TN</t>
        </is>
      </c>
      <c r="N256" t="inlineStr"/>
      <c r="P256" t="inlineStr">
        <is>
          <t>20210620</t>
        </is>
      </c>
      <c r="Q256" t="inlineStr">
        <is>
          <t>20241216</t>
        </is>
      </c>
    </row>
    <row r="257">
      <c r="A257" t="inlineStr">
        <is>
          <t>900006554DW75D31210189747</t>
        </is>
      </c>
      <c r="B257" t="inlineStr">
        <is>
          <t>900006554</t>
        </is>
      </c>
      <c r="C257" t="inlineStr">
        <is>
          <t>DW75</t>
        </is>
      </c>
      <c r="D257" t="inlineStr">
        <is>
          <t>D312</t>
        </is>
      </c>
      <c r="E257" t="inlineStr">
        <is>
          <t>4</t>
        </is>
      </c>
      <c r="F257" t="inlineStr">
        <is>
          <t>10189747</t>
        </is>
      </c>
      <c r="H257" t="inlineStr"/>
      <c r="J257" t="n">
        <v>63.79</v>
      </c>
      <c r="K257" t="inlineStr"/>
      <c r="M257" t="inlineStr">
        <is>
          <t>TN</t>
        </is>
      </c>
      <c r="N257" t="inlineStr"/>
      <c r="P257" t="inlineStr">
        <is>
          <t>20210620</t>
        </is>
      </c>
      <c r="Q257" t="inlineStr">
        <is>
          <t>20241216</t>
        </is>
      </c>
    </row>
    <row r="258">
      <c r="A258" t="inlineStr">
        <is>
          <t>900006554DW75D31510043600</t>
        </is>
      </c>
      <c r="B258" t="inlineStr">
        <is>
          <t>900006554</t>
        </is>
      </c>
      <c r="C258" t="inlineStr">
        <is>
          <t>DW75</t>
        </is>
      </c>
      <c r="D258" t="inlineStr">
        <is>
          <t>D315</t>
        </is>
      </c>
      <c r="E258" t="inlineStr">
        <is>
          <t>4</t>
        </is>
      </c>
      <c r="F258" t="inlineStr">
        <is>
          <t>10043600</t>
        </is>
      </c>
      <c r="H258" t="inlineStr"/>
      <c r="J258" t="n">
        <v>46.81</v>
      </c>
      <c r="K258" t="inlineStr"/>
      <c r="M258" t="inlineStr">
        <is>
          <t>TN</t>
        </is>
      </c>
      <c r="N258" t="inlineStr"/>
      <c r="P258" t="inlineStr">
        <is>
          <t>20210620</t>
        </is>
      </c>
      <c r="Q258" t="inlineStr">
        <is>
          <t>20241216</t>
        </is>
      </c>
    </row>
    <row r="259">
      <c r="A259" t="inlineStr">
        <is>
          <t>900006554DW75D31510043601</t>
        </is>
      </c>
      <c r="B259" t="inlineStr">
        <is>
          <t>900006554</t>
        </is>
      </c>
      <c r="C259" t="inlineStr">
        <is>
          <t>DW75</t>
        </is>
      </c>
      <c r="D259" t="inlineStr">
        <is>
          <t>D315</t>
        </is>
      </c>
      <c r="E259" t="inlineStr">
        <is>
          <t>4</t>
        </is>
      </c>
      <c r="F259" t="inlineStr">
        <is>
          <t>10043601</t>
        </is>
      </c>
      <c r="H259" t="inlineStr"/>
      <c r="J259" t="n">
        <v>46.89</v>
      </c>
      <c r="K259" t="inlineStr"/>
      <c r="M259" t="inlineStr">
        <is>
          <t>TN</t>
        </is>
      </c>
      <c r="N259" t="inlineStr"/>
      <c r="P259" t="inlineStr">
        <is>
          <t>20210620</t>
        </is>
      </c>
      <c r="Q259" t="inlineStr">
        <is>
          <t>20241216</t>
        </is>
      </c>
    </row>
    <row r="260">
      <c r="A260" t="inlineStr">
        <is>
          <t>900006554DW75D31510045642</t>
        </is>
      </c>
      <c r="B260" t="inlineStr">
        <is>
          <t>900006554</t>
        </is>
      </c>
      <c r="C260" t="inlineStr">
        <is>
          <t>DW75</t>
        </is>
      </c>
      <c r="D260" t="inlineStr">
        <is>
          <t>D315</t>
        </is>
      </c>
      <c r="E260" t="inlineStr">
        <is>
          <t>4</t>
        </is>
      </c>
      <c r="F260" t="inlineStr">
        <is>
          <t>10045642</t>
        </is>
      </c>
      <c r="H260" t="inlineStr"/>
      <c r="J260" t="n">
        <v>37.46</v>
      </c>
      <c r="K260" t="inlineStr"/>
      <c r="M260" t="inlineStr">
        <is>
          <t>TN</t>
        </is>
      </c>
      <c r="N260" t="inlineStr"/>
      <c r="P260" t="inlineStr">
        <is>
          <t>20210620</t>
        </is>
      </c>
      <c r="Q260" t="inlineStr">
        <is>
          <t>20241216</t>
        </is>
      </c>
    </row>
    <row r="261">
      <c r="A261" t="inlineStr">
        <is>
          <t>900006554DW75D31510147933</t>
        </is>
      </c>
      <c r="B261" t="inlineStr">
        <is>
          <t>900006554</t>
        </is>
      </c>
      <c r="C261" t="inlineStr">
        <is>
          <t>DW75</t>
        </is>
      </c>
      <c r="D261" t="inlineStr">
        <is>
          <t>D315</t>
        </is>
      </c>
      <c r="E261" t="inlineStr">
        <is>
          <t>4</t>
        </is>
      </c>
      <c r="F261" t="inlineStr">
        <is>
          <t>10147933</t>
        </is>
      </c>
      <c r="H261" t="inlineStr"/>
      <c r="J261" t="n">
        <v>40.04</v>
      </c>
      <c r="K261" t="inlineStr"/>
      <c r="M261" t="inlineStr">
        <is>
          <t>TN</t>
        </is>
      </c>
      <c r="N261" t="inlineStr"/>
      <c r="P261" t="inlineStr">
        <is>
          <t>20210620</t>
        </is>
      </c>
      <c r="Q261" t="inlineStr">
        <is>
          <t>20241216</t>
        </is>
      </c>
    </row>
    <row r="262">
      <c r="A262" t="inlineStr">
        <is>
          <t>900006554DW75D31510151191</t>
        </is>
      </c>
      <c r="B262" t="inlineStr">
        <is>
          <t>900006554</t>
        </is>
      </c>
      <c r="C262" t="inlineStr">
        <is>
          <t>DW75</t>
        </is>
      </c>
      <c r="D262" t="inlineStr">
        <is>
          <t>D315</t>
        </is>
      </c>
      <c r="E262" t="inlineStr">
        <is>
          <t>4</t>
        </is>
      </c>
      <c r="F262" t="inlineStr">
        <is>
          <t>10151191</t>
        </is>
      </c>
      <c r="H262" t="inlineStr"/>
      <c r="J262" t="n">
        <v>42.81</v>
      </c>
      <c r="K262" t="inlineStr"/>
      <c r="M262" t="inlineStr">
        <is>
          <t>TN</t>
        </is>
      </c>
      <c r="N262" t="inlineStr"/>
      <c r="P262" t="inlineStr">
        <is>
          <t>20210620</t>
        </is>
      </c>
      <c r="Q262" t="inlineStr">
        <is>
          <t>20241216</t>
        </is>
      </c>
    </row>
    <row r="263">
      <c r="A263" t="inlineStr">
        <is>
          <t>900006554DW75D31510189747</t>
        </is>
      </c>
      <c r="B263" t="inlineStr">
        <is>
          <t>900006554</t>
        </is>
      </c>
      <c r="C263" t="inlineStr">
        <is>
          <t>DW75</t>
        </is>
      </c>
      <c r="D263" t="inlineStr">
        <is>
          <t>D315</t>
        </is>
      </c>
      <c r="E263" t="inlineStr">
        <is>
          <t>4</t>
        </is>
      </c>
      <c r="F263" t="inlineStr">
        <is>
          <t>10189747</t>
        </is>
      </c>
      <c r="H263" t="inlineStr"/>
      <c r="J263" t="n">
        <v>46.62</v>
      </c>
      <c r="K263" t="inlineStr"/>
      <c r="M263" t="inlineStr">
        <is>
          <t>TN</t>
        </is>
      </c>
      <c r="N263" t="inlineStr"/>
      <c r="P263" t="inlineStr">
        <is>
          <t>20210620</t>
        </is>
      </c>
      <c r="Q263" t="inlineStr">
        <is>
          <t>20241216</t>
        </is>
      </c>
    </row>
    <row r="264">
      <c r="A264" t="inlineStr">
        <is>
          <t>900006554DW75D32710000364</t>
        </is>
      </c>
      <c r="B264" t="inlineStr">
        <is>
          <t>900006554</t>
        </is>
      </c>
      <c r="C264" t="inlineStr">
        <is>
          <t>DW75</t>
        </is>
      </c>
      <c r="D264" t="inlineStr">
        <is>
          <t>D327</t>
        </is>
      </c>
      <c r="E264" t="inlineStr">
        <is>
          <t>4</t>
        </is>
      </c>
      <c r="F264" t="inlineStr">
        <is>
          <t>10000364</t>
        </is>
      </c>
      <c r="H264" t="inlineStr"/>
      <c r="J264" t="n">
        <v>44.78</v>
      </c>
      <c r="K264" t="inlineStr"/>
      <c r="M264" t="inlineStr">
        <is>
          <t>TN</t>
        </is>
      </c>
      <c r="N264" t="inlineStr"/>
      <c r="P264" t="inlineStr">
        <is>
          <t>20210620</t>
        </is>
      </c>
      <c r="Q264" t="inlineStr">
        <is>
          <t>20241216</t>
        </is>
      </c>
    </row>
    <row r="265">
      <c r="A265" t="inlineStr">
        <is>
          <t>900006554DW75D32710043600</t>
        </is>
      </c>
      <c r="B265" t="inlineStr">
        <is>
          <t>900006554</t>
        </is>
      </c>
      <c r="C265" t="inlineStr">
        <is>
          <t>DW75</t>
        </is>
      </c>
      <c r="D265" t="inlineStr">
        <is>
          <t>D327</t>
        </is>
      </c>
      <c r="E265" t="inlineStr">
        <is>
          <t>4</t>
        </is>
      </c>
      <c r="F265" t="inlineStr">
        <is>
          <t>10043600</t>
        </is>
      </c>
      <c r="H265" t="inlineStr"/>
      <c r="J265" t="n">
        <v>73.92</v>
      </c>
      <c r="K265" t="inlineStr"/>
      <c r="M265" t="inlineStr">
        <is>
          <t>TN</t>
        </is>
      </c>
      <c r="N265" t="inlineStr"/>
      <c r="P265" t="inlineStr">
        <is>
          <t>20210620</t>
        </is>
      </c>
      <c r="Q265" t="inlineStr">
        <is>
          <t>20241216</t>
        </is>
      </c>
    </row>
    <row r="266">
      <c r="A266" t="inlineStr">
        <is>
          <t>900006554DW75D32710043601</t>
        </is>
      </c>
      <c r="B266" t="inlineStr">
        <is>
          <t>900006554</t>
        </is>
      </c>
      <c r="C266" t="inlineStr">
        <is>
          <t>DW75</t>
        </is>
      </c>
      <c r="D266" t="inlineStr">
        <is>
          <t>D327</t>
        </is>
      </c>
      <c r="E266" t="inlineStr">
        <is>
          <t>4</t>
        </is>
      </c>
      <c r="F266" t="inlineStr">
        <is>
          <t>10043601</t>
        </is>
      </c>
      <c r="H266" t="inlineStr"/>
      <c r="J266" t="n">
        <v>74.04000000000001</v>
      </c>
      <c r="K266" t="inlineStr"/>
      <c r="M266" t="inlineStr">
        <is>
          <t>TN</t>
        </is>
      </c>
      <c r="N266" t="inlineStr"/>
      <c r="P266" t="inlineStr">
        <is>
          <t>20210620</t>
        </is>
      </c>
      <c r="Q266" t="inlineStr">
        <is>
          <t>20241216</t>
        </is>
      </c>
    </row>
    <row r="267">
      <c r="A267" t="inlineStr">
        <is>
          <t>900006554DW75D32710045642</t>
        </is>
      </c>
      <c r="B267" t="inlineStr">
        <is>
          <t>900006554</t>
        </is>
      </c>
      <c r="C267" t="inlineStr">
        <is>
          <t>DW75</t>
        </is>
      </c>
      <c r="D267" t="inlineStr">
        <is>
          <t>D327</t>
        </is>
      </c>
      <c r="E267" t="inlineStr">
        <is>
          <t>4</t>
        </is>
      </c>
      <c r="F267" t="inlineStr">
        <is>
          <t>10045642</t>
        </is>
      </c>
      <c r="H267" t="inlineStr"/>
      <c r="J267" t="n">
        <v>59.14</v>
      </c>
      <c r="K267" t="inlineStr"/>
      <c r="M267" t="inlineStr">
        <is>
          <t>TN</t>
        </is>
      </c>
      <c r="N267" t="inlineStr"/>
      <c r="P267" t="inlineStr">
        <is>
          <t>20210620</t>
        </is>
      </c>
      <c r="Q267" t="inlineStr">
        <is>
          <t>20241216</t>
        </is>
      </c>
    </row>
    <row r="268">
      <c r="A268" t="inlineStr">
        <is>
          <t>900006554DW75D32710147933</t>
        </is>
      </c>
      <c r="B268" t="inlineStr">
        <is>
          <t>900006554</t>
        </is>
      </c>
      <c r="C268" t="inlineStr">
        <is>
          <t>DW75</t>
        </is>
      </c>
      <c r="D268" t="inlineStr">
        <is>
          <t>D327</t>
        </is>
      </c>
      <c r="E268" t="inlineStr">
        <is>
          <t>4</t>
        </is>
      </c>
      <c r="F268" t="inlineStr">
        <is>
          <t>10147933</t>
        </is>
      </c>
      <c r="H268" t="inlineStr"/>
      <c r="J268" t="n">
        <v>63.23</v>
      </c>
      <c r="K268" t="inlineStr"/>
      <c r="M268" t="inlineStr">
        <is>
          <t>TN</t>
        </is>
      </c>
      <c r="N268" t="inlineStr"/>
      <c r="P268" t="inlineStr">
        <is>
          <t>20210620</t>
        </is>
      </c>
      <c r="Q268" t="inlineStr">
        <is>
          <t>20241216</t>
        </is>
      </c>
    </row>
    <row r="269">
      <c r="A269" t="inlineStr">
        <is>
          <t>900006554DW75D32710151191</t>
        </is>
      </c>
      <c r="B269" t="inlineStr">
        <is>
          <t>900006554</t>
        </is>
      </c>
      <c r="C269" t="inlineStr">
        <is>
          <t>DW75</t>
        </is>
      </c>
      <c r="D269" t="inlineStr">
        <is>
          <t>D327</t>
        </is>
      </c>
      <c r="E269" t="inlineStr">
        <is>
          <t>4</t>
        </is>
      </c>
      <c r="F269" t="inlineStr">
        <is>
          <t>10151191</t>
        </is>
      </c>
      <c r="H269" t="inlineStr"/>
      <c r="J269" t="n">
        <v>67.59999999999999</v>
      </c>
      <c r="K269" t="inlineStr"/>
      <c r="M269" t="inlineStr">
        <is>
          <t>TN</t>
        </is>
      </c>
      <c r="N269" t="inlineStr"/>
      <c r="P269" t="inlineStr">
        <is>
          <t>20210620</t>
        </is>
      </c>
      <c r="Q269" t="inlineStr">
        <is>
          <t>20241216</t>
        </is>
      </c>
    </row>
    <row r="270">
      <c r="A270" t="inlineStr">
        <is>
          <t>900006554DW75D32710189747</t>
        </is>
      </c>
      <c r="B270" t="inlineStr">
        <is>
          <t>900006554</t>
        </is>
      </c>
      <c r="C270" t="inlineStr">
        <is>
          <t>DW75</t>
        </is>
      </c>
      <c r="D270" t="inlineStr">
        <is>
          <t>D327</t>
        </is>
      </c>
      <c r="E270" t="inlineStr">
        <is>
          <t>4</t>
        </is>
      </c>
      <c r="F270" t="inlineStr">
        <is>
          <t>10189747</t>
        </is>
      </c>
      <c r="H270" t="inlineStr"/>
      <c r="J270" t="n">
        <v>73.59999999999999</v>
      </c>
      <c r="K270" t="inlineStr"/>
      <c r="M270" t="inlineStr">
        <is>
          <t>TN</t>
        </is>
      </c>
      <c r="N270" t="inlineStr"/>
      <c r="P270" t="inlineStr">
        <is>
          <t>20210620</t>
        </is>
      </c>
      <c r="Q270" t="inlineStr">
        <is>
          <t>20241216</t>
        </is>
      </c>
    </row>
    <row r="271">
      <c r="A271" t="inlineStr">
        <is>
          <t>900006554DW75D33110043600</t>
        </is>
      </c>
      <c r="B271" t="inlineStr">
        <is>
          <t>900006554</t>
        </is>
      </c>
      <c r="C271" t="inlineStr">
        <is>
          <t>DW75</t>
        </is>
      </c>
      <c r="D271" t="inlineStr">
        <is>
          <t>D331</t>
        </is>
      </c>
      <c r="E271" t="inlineStr">
        <is>
          <t>4</t>
        </is>
      </c>
      <c r="F271" t="inlineStr">
        <is>
          <t>10043600</t>
        </is>
      </c>
      <c r="H271" t="inlineStr"/>
      <c r="J271" t="n">
        <v>40.25</v>
      </c>
      <c r="K271" t="inlineStr"/>
      <c r="M271" t="inlineStr">
        <is>
          <t>TN</t>
        </is>
      </c>
      <c r="N271" t="inlineStr"/>
      <c r="P271" t="inlineStr">
        <is>
          <t>20210620</t>
        </is>
      </c>
      <c r="Q271" t="inlineStr">
        <is>
          <t>20241216</t>
        </is>
      </c>
    </row>
    <row r="272">
      <c r="A272" t="inlineStr">
        <is>
          <t>900006554DW75D33110043601</t>
        </is>
      </c>
      <c r="B272" t="inlineStr">
        <is>
          <t>900006554</t>
        </is>
      </c>
      <c r="C272" t="inlineStr">
        <is>
          <t>DW75</t>
        </is>
      </c>
      <c r="D272" t="inlineStr">
        <is>
          <t>D331</t>
        </is>
      </c>
      <c r="E272" t="inlineStr">
        <is>
          <t>4</t>
        </is>
      </c>
      <c r="F272" t="inlineStr">
        <is>
          <t>10043601</t>
        </is>
      </c>
      <c r="H272" t="inlineStr"/>
      <c r="J272" t="n">
        <v>40.31</v>
      </c>
      <c r="K272" t="inlineStr"/>
      <c r="M272" t="inlineStr">
        <is>
          <t>TN</t>
        </is>
      </c>
      <c r="N272" t="inlineStr"/>
      <c r="P272" t="inlineStr">
        <is>
          <t>20210620</t>
        </is>
      </c>
      <c r="Q272" t="inlineStr">
        <is>
          <t>20241216</t>
        </is>
      </c>
    </row>
    <row r="273">
      <c r="A273" t="inlineStr">
        <is>
          <t>900006554DW75D33110045642</t>
        </is>
      </c>
      <c r="B273" t="inlineStr">
        <is>
          <t>900006554</t>
        </is>
      </c>
      <c r="C273" t="inlineStr">
        <is>
          <t>DW75</t>
        </is>
      </c>
      <c r="D273" t="inlineStr">
        <is>
          <t>D331</t>
        </is>
      </c>
      <c r="E273" t="inlineStr">
        <is>
          <t>4</t>
        </is>
      </c>
      <c r="F273" t="inlineStr">
        <is>
          <t>10045642</t>
        </is>
      </c>
      <c r="H273" t="inlineStr"/>
      <c r="J273" t="n">
        <v>32.2</v>
      </c>
      <c r="K273" t="inlineStr"/>
      <c r="M273" t="inlineStr">
        <is>
          <t>TN</t>
        </is>
      </c>
      <c r="N273" t="inlineStr"/>
      <c r="P273" t="inlineStr">
        <is>
          <t>20210620</t>
        </is>
      </c>
      <c r="Q273" t="inlineStr">
        <is>
          <t>20241216</t>
        </is>
      </c>
    </row>
    <row r="274">
      <c r="A274" t="inlineStr">
        <is>
          <t>900006554DW75D33110147933</t>
        </is>
      </c>
      <c r="B274" t="inlineStr">
        <is>
          <t>900006554</t>
        </is>
      </c>
      <c r="C274" t="inlineStr">
        <is>
          <t>DW75</t>
        </is>
      </c>
      <c r="D274" t="inlineStr">
        <is>
          <t>D331</t>
        </is>
      </c>
      <c r="E274" t="inlineStr">
        <is>
          <t>4</t>
        </is>
      </c>
      <c r="F274" t="inlineStr">
        <is>
          <t>10147933</t>
        </is>
      </c>
      <c r="H274" t="inlineStr"/>
      <c r="J274" t="n">
        <v>34.42</v>
      </c>
      <c r="K274" t="inlineStr"/>
      <c r="M274" t="inlineStr">
        <is>
          <t>TN</t>
        </is>
      </c>
      <c r="N274" t="inlineStr"/>
      <c r="P274" t="inlineStr">
        <is>
          <t>20210620</t>
        </is>
      </c>
      <c r="Q274" t="inlineStr">
        <is>
          <t>20241216</t>
        </is>
      </c>
    </row>
    <row r="275">
      <c r="A275" t="inlineStr">
        <is>
          <t>900006554DW75D34310000364</t>
        </is>
      </c>
      <c r="B275" t="inlineStr">
        <is>
          <t>900006554</t>
        </is>
      </c>
      <c r="C275" t="inlineStr">
        <is>
          <t>DW75</t>
        </is>
      </c>
      <c r="D275" t="inlineStr">
        <is>
          <t>D343</t>
        </is>
      </c>
      <c r="E275" t="inlineStr">
        <is>
          <t>4</t>
        </is>
      </c>
      <c r="F275" t="inlineStr">
        <is>
          <t>10000364</t>
        </is>
      </c>
      <c r="H275" t="inlineStr"/>
      <c r="J275" t="n">
        <v>35.67</v>
      </c>
      <c r="K275" t="inlineStr"/>
      <c r="M275" t="inlineStr">
        <is>
          <t>TN</t>
        </is>
      </c>
      <c r="N275" t="inlineStr"/>
      <c r="P275" t="inlineStr">
        <is>
          <t>20210620</t>
        </is>
      </c>
      <c r="Q275" t="inlineStr">
        <is>
          <t>20241216</t>
        </is>
      </c>
    </row>
    <row r="276">
      <c r="A276" t="inlineStr">
        <is>
          <t>900006554DW75D34310043600</t>
        </is>
      </c>
      <c r="B276" t="inlineStr">
        <is>
          <t>900006554</t>
        </is>
      </c>
      <c r="C276" t="inlineStr">
        <is>
          <t>DW75</t>
        </is>
      </c>
      <c r="D276" t="inlineStr">
        <is>
          <t>D343</t>
        </is>
      </c>
      <c r="E276" t="inlineStr">
        <is>
          <t>4</t>
        </is>
      </c>
      <c r="F276" t="inlineStr">
        <is>
          <t>10043600</t>
        </is>
      </c>
      <c r="H276" t="inlineStr"/>
      <c r="J276" t="n">
        <v>50.56</v>
      </c>
      <c r="K276" t="inlineStr"/>
      <c r="M276" t="inlineStr">
        <is>
          <t>TN</t>
        </is>
      </c>
      <c r="N276" t="inlineStr"/>
      <c r="P276" t="inlineStr">
        <is>
          <t>20250301</t>
        </is>
      </c>
      <c r="Q276" t="inlineStr">
        <is>
          <t>99991231</t>
        </is>
      </c>
    </row>
    <row r="277">
      <c r="A277" t="inlineStr">
        <is>
          <t>900006554DW75D34310043601</t>
        </is>
      </c>
      <c r="B277" t="inlineStr">
        <is>
          <t>900006554</t>
        </is>
      </c>
      <c r="C277" t="inlineStr">
        <is>
          <t>DW75</t>
        </is>
      </c>
      <c r="D277" t="inlineStr">
        <is>
          <t>D343</t>
        </is>
      </c>
      <c r="E277" t="inlineStr">
        <is>
          <t>4</t>
        </is>
      </c>
      <c r="F277" t="inlineStr">
        <is>
          <t>10043601</t>
        </is>
      </c>
      <c r="H277" t="inlineStr"/>
      <c r="J277" t="n">
        <v>50.65</v>
      </c>
      <c r="K277" t="inlineStr"/>
      <c r="M277" t="inlineStr">
        <is>
          <t>TN</t>
        </is>
      </c>
      <c r="N277" t="inlineStr"/>
      <c r="P277" t="inlineStr">
        <is>
          <t>20250301</t>
        </is>
      </c>
      <c r="Q277" t="inlineStr">
        <is>
          <t>99991231</t>
        </is>
      </c>
    </row>
    <row r="278">
      <c r="A278" t="inlineStr">
        <is>
          <t>900006554DW75D34310045642</t>
        </is>
      </c>
      <c r="B278" t="inlineStr">
        <is>
          <t>900006554</t>
        </is>
      </c>
      <c r="C278" t="inlineStr">
        <is>
          <t>DW75</t>
        </is>
      </c>
      <c r="D278" t="inlineStr">
        <is>
          <t>D343</t>
        </is>
      </c>
      <c r="E278" t="inlineStr">
        <is>
          <t>4</t>
        </is>
      </c>
      <c r="F278" t="inlineStr">
        <is>
          <t>10045642</t>
        </is>
      </c>
      <c r="H278" t="inlineStr"/>
      <c r="J278" t="n">
        <v>40.45</v>
      </c>
      <c r="K278" t="inlineStr"/>
      <c r="M278" t="inlineStr">
        <is>
          <t>TN</t>
        </is>
      </c>
      <c r="N278" t="inlineStr"/>
      <c r="P278" t="inlineStr">
        <is>
          <t>20250301</t>
        </is>
      </c>
      <c r="Q278" t="inlineStr">
        <is>
          <t>20260215</t>
        </is>
      </c>
    </row>
    <row r="279">
      <c r="A279" t="inlineStr">
        <is>
          <t>900006554DW75D34310147933</t>
        </is>
      </c>
      <c r="B279" t="inlineStr">
        <is>
          <t>900006554</t>
        </is>
      </c>
      <c r="C279" t="inlineStr">
        <is>
          <t>DW75</t>
        </is>
      </c>
      <c r="D279" t="inlineStr">
        <is>
          <t>D343</t>
        </is>
      </c>
      <c r="E279" t="inlineStr">
        <is>
          <t>4</t>
        </is>
      </c>
      <c r="F279" t="inlineStr">
        <is>
          <t>10147933</t>
        </is>
      </c>
      <c r="H279" t="inlineStr"/>
      <c r="J279" t="n">
        <v>43.25</v>
      </c>
      <c r="K279" t="inlineStr"/>
      <c r="M279" t="inlineStr">
        <is>
          <t>TN</t>
        </is>
      </c>
      <c r="N279" t="inlineStr"/>
      <c r="P279" t="inlineStr">
        <is>
          <t>20250301</t>
        </is>
      </c>
      <c r="Q279" t="inlineStr">
        <is>
          <t>20260215</t>
        </is>
      </c>
    </row>
    <row r="280">
      <c r="A280" t="inlineStr">
        <is>
          <t>900006554DW75D34310151191</t>
        </is>
      </c>
      <c r="B280" t="inlineStr">
        <is>
          <t>900006554</t>
        </is>
      </c>
      <c r="C280" t="inlineStr">
        <is>
          <t>DW75</t>
        </is>
      </c>
      <c r="D280" t="inlineStr">
        <is>
          <t>D343</t>
        </is>
      </c>
      <c r="E280" t="inlineStr">
        <is>
          <t>4</t>
        </is>
      </c>
      <c r="F280" t="inlineStr">
        <is>
          <t>10151191</t>
        </is>
      </c>
      <c r="H280" t="inlineStr"/>
      <c r="J280" t="n">
        <v>46.24</v>
      </c>
      <c r="K280" t="inlineStr"/>
      <c r="M280" t="inlineStr">
        <is>
          <t>TN</t>
        </is>
      </c>
      <c r="N280" t="inlineStr"/>
      <c r="P280" t="inlineStr">
        <is>
          <t>20250301</t>
        </is>
      </c>
      <c r="Q280" t="inlineStr">
        <is>
          <t>99991231</t>
        </is>
      </c>
    </row>
    <row r="281">
      <c r="A281" t="inlineStr">
        <is>
          <t>900006554DW75D34310189747</t>
        </is>
      </c>
      <c r="B281" t="inlineStr">
        <is>
          <t>900006554</t>
        </is>
      </c>
      <c r="C281" t="inlineStr">
        <is>
          <t>DW75</t>
        </is>
      </c>
      <c r="D281" t="inlineStr">
        <is>
          <t>D343</t>
        </is>
      </c>
      <c r="E281" t="inlineStr">
        <is>
          <t>4</t>
        </is>
      </c>
      <c r="F281" t="inlineStr">
        <is>
          <t>10189747</t>
        </is>
      </c>
      <c r="H281" t="inlineStr"/>
      <c r="J281" t="n">
        <v>50.35</v>
      </c>
      <c r="K281" t="inlineStr"/>
      <c r="M281" t="inlineStr">
        <is>
          <t>TN</t>
        </is>
      </c>
      <c r="N281" t="inlineStr"/>
      <c r="P281" t="inlineStr">
        <is>
          <t>20250301</t>
        </is>
      </c>
      <c r="Q281" t="inlineStr">
        <is>
          <t>20260215</t>
        </is>
      </c>
    </row>
    <row r="282">
      <c r="A282" t="inlineStr">
        <is>
          <t>900006554DW75D34910000364</t>
        </is>
      </c>
      <c r="B282" t="inlineStr">
        <is>
          <t>900006554</t>
        </is>
      </c>
      <c r="C282" t="inlineStr">
        <is>
          <t>DW75</t>
        </is>
      </c>
      <c r="D282" t="inlineStr">
        <is>
          <t>D349</t>
        </is>
      </c>
      <c r="E282" t="inlineStr">
        <is>
          <t>4</t>
        </is>
      </c>
      <c r="F282" t="inlineStr">
        <is>
          <t>10000364</t>
        </is>
      </c>
      <c r="H282" t="inlineStr"/>
      <c r="J282" t="n">
        <v>50.65</v>
      </c>
      <c r="K282" t="inlineStr"/>
      <c r="M282" t="inlineStr">
        <is>
          <t>TN</t>
        </is>
      </c>
      <c r="N282" t="inlineStr"/>
      <c r="P282" t="inlineStr">
        <is>
          <t>20210620</t>
        </is>
      </c>
      <c r="Q282" t="inlineStr">
        <is>
          <t>20241216</t>
        </is>
      </c>
    </row>
    <row r="283">
      <c r="A283" t="inlineStr">
        <is>
          <t>900006554DW75D34910043600</t>
        </is>
      </c>
      <c r="B283" t="inlineStr">
        <is>
          <t>900006554</t>
        </is>
      </c>
      <c r="C283" t="inlineStr">
        <is>
          <t>DW75</t>
        </is>
      </c>
      <c r="D283" t="inlineStr">
        <is>
          <t>D349</t>
        </is>
      </c>
      <c r="E283" t="inlineStr">
        <is>
          <t>4</t>
        </is>
      </c>
      <c r="F283" t="inlineStr">
        <is>
          <t>10043600</t>
        </is>
      </c>
      <c r="H283" t="inlineStr"/>
      <c r="J283" t="n">
        <v>106.44</v>
      </c>
      <c r="K283" t="inlineStr"/>
      <c r="M283" t="inlineStr">
        <is>
          <t>TN</t>
        </is>
      </c>
      <c r="N283" t="inlineStr"/>
      <c r="P283" t="inlineStr">
        <is>
          <t>20250301</t>
        </is>
      </c>
      <c r="Q283" t="inlineStr">
        <is>
          <t>99991231</t>
        </is>
      </c>
    </row>
    <row r="284">
      <c r="A284" t="inlineStr">
        <is>
          <t>900006554DW75D34910043601</t>
        </is>
      </c>
      <c r="B284" t="inlineStr">
        <is>
          <t>900006554</t>
        </is>
      </c>
      <c r="C284" t="inlineStr">
        <is>
          <t>DW75</t>
        </is>
      </c>
      <c r="D284" t="inlineStr">
        <is>
          <t>D349</t>
        </is>
      </c>
      <c r="E284" t="inlineStr">
        <is>
          <t>4</t>
        </is>
      </c>
      <c r="F284" t="inlineStr">
        <is>
          <t>10043601</t>
        </is>
      </c>
      <c r="H284" t="inlineStr"/>
      <c r="J284" t="n">
        <v>106.62</v>
      </c>
      <c r="K284" t="inlineStr"/>
      <c r="M284" t="inlineStr">
        <is>
          <t>TN</t>
        </is>
      </c>
      <c r="N284" t="inlineStr"/>
      <c r="P284" t="inlineStr">
        <is>
          <t>20250301</t>
        </is>
      </c>
      <c r="Q284" t="inlineStr">
        <is>
          <t>20260215</t>
        </is>
      </c>
    </row>
    <row r="285">
      <c r="A285" t="inlineStr">
        <is>
          <t>900006554DW75D34910045642</t>
        </is>
      </c>
      <c r="B285" t="inlineStr">
        <is>
          <t>900006554</t>
        </is>
      </c>
      <c r="C285" t="inlineStr">
        <is>
          <t>DW75</t>
        </is>
      </c>
      <c r="D285" t="inlineStr">
        <is>
          <t>D349</t>
        </is>
      </c>
      <c r="E285" t="inlineStr">
        <is>
          <t>4</t>
        </is>
      </c>
      <c r="F285" t="inlineStr">
        <is>
          <t>10045642</t>
        </is>
      </c>
      <c r="H285" t="inlineStr"/>
      <c r="J285" t="n">
        <v>85.17</v>
      </c>
      <c r="K285" t="inlineStr"/>
      <c r="M285" t="inlineStr">
        <is>
          <t>TN</t>
        </is>
      </c>
      <c r="N285" t="inlineStr"/>
      <c r="P285" t="inlineStr">
        <is>
          <t>20250301</t>
        </is>
      </c>
      <c r="Q285" t="inlineStr">
        <is>
          <t>20260215</t>
        </is>
      </c>
    </row>
    <row r="286">
      <c r="A286" t="inlineStr">
        <is>
          <t>900006554DW75D34910147933</t>
        </is>
      </c>
      <c r="B286" t="inlineStr">
        <is>
          <t>900006554</t>
        </is>
      </c>
      <c r="C286" t="inlineStr">
        <is>
          <t>DW75</t>
        </is>
      </c>
      <c r="D286" t="inlineStr">
        <is>
          <t>D349</t>
        </is>
      </c>
      <c r="E286" t="inlineStr">
        <is>
          <t>4</t>
        </is>
      </c>
      <c r="F286" t="inlineStr">
        <is>
          <t>10147933</t>
        </is>
      </c>
      <c r="H286" t="inlineStr"/>
      <c r="J286" t="n">
        <v>91.05</v>
      </c>
      <c r="K286" t="inlineStr"/>
      <c r="M286" t="inlineStr">
        <is>
          <t>TN</t>
        </is>
      </c>
      <c r="N286" t="inlineStr"/>
      <c r="P286" t="inlineStr">
        <is>
          <t>20250301</t>
        </is>
      </c>
      <c r="Q286" t="inlineStr">
        <is>
          <t>20260215</t>
        </is>
      </c>
    </row>
    <row r="287">
      <c r="A287" t="inlineStr">
        <is>
          <t>900006554DW75D34910151191</t>
        </is>
      </c>
      <c r="B287" t="inlineStr">
        <is>
          <t>900006554</t>
        </is>
      </c>
      <c r="C287" t="inlineStr">
        <is>
          <t>DW75</t>
        </is>
      </c>
      <c r="D287" t="inlineStr">
        <is>
          <t>D349</t>
        </is>
      </c>
      <c r="E287" t="inlineStr">
        <is>
          <t>4</t>
        </is>
      </c>
      <c r="F287" t="inlineStr">
        <is>
          <t>10151191</t>
        </is>
      </c>
      <c r="H287" t="inlineStr"/>
      <c r="J287" t="n">
        <v>97.34</v>
      </c>
      <c r="K287" t="inlineStr"/>
      <c r="M287" t="inlineStr">
        <is>
          <t>TN</t>
        </is>
      </c>
      <c r="N287" t="inlineStr"/>
      <c r="P287" t="inlineStr">
        <is>
          <t>20250301</t>
        </is>
      </c>
      <c r="Q287" t="inlineStr">
        <is>
          <t>20260215</t>
        </is>
      </c>
    </row>
    <row r="288">
      <c r="A288" t="inlineStr">
        <is>
          <t>900006554DW75D34910189747</t>
        </is>
      </c>
      <c r="B288" t="inlineStr">
        <is>
          <t>900006554</t>
        </is>
      </c>
      <c r="C288" t="inlineStr">
        <is>
          <t>DW75</t>
        </is>
      </c>
      <c r="D288" t="inlineStr">
        <is>
          <t>D349</t>
        </is>
      </c>
      <c r="E288" t="inlineStr">
        <is>
          <t>4</t>
        </is>
      </c>
      <c r="F288" t="inlineStr">
        <is>
          <t>10189747</t>
        </is>
      </c>
      <c r="H288" t="inlineStr"/>
      <c r="J288" t="n">
        <v>105.99</v>
      </c>
      <c r="K288" t="inlineStr"/>
      <c r="M288" t="inlineStr">
        <is>
          <t>TN</t>
        </is>
      </c>
      <c r="N288" t="inlineStr"/>
      <c r="P288" t="inlineStr">
        <is>
          <t>20250301</t>
        </is>
      </c>
      <c r="Q288" t="inlineStr">
        <is>
          <t>20260215</t>
        </is>
      </c>
    </row>
    <row r="289">
      <c r="A289" t="inlineStr">
        <is>
          <t>900006554DW75D35810043601</t>
        </is>
      </c>
      <c r="B289" t="inlineStr">
        <is>
          <t>900006554</t>
        </is>
      </c>
      <c r="C289" t="inlineStr">
        <is>
          <t>DW75</t>
        </is>
      </c>
      <c r="D289" t="inlineStr">
        <is>
          <t>D358</t>
        </is>
      </c>
      <c r="E289" t="inlineStr">
        <is>
          <t>4</t>
        </is>
      </c>
      <c r="F289" t="inlineStr">
        <is>
          <t>10043601</t>
        </is>
      </c>
      <c r="H289" t="inlineStr"/>
      <c r="J289" t="n">
        <v>127.66</v>
      </c>
      <c r="K289" t="inlineStr"/>
      <c r="M289" t="inlineStr">
        <is>
          <t>TN</t>
        </is>
      </c>
      <c r="N289" t="inlineStr"/>
      <c r="P289" t="inlineStr">
        <is>
          <t>20250807</t>
        </is>
      </c>
      <c r="Q289" t="inlineStr">
        <is>
          <t>99991231</t>
        </is>
      </c>
    </row>
    <row r="290">
      <c r="A290" t="inlineStr">
        <is>
          <t>900006554DW75D35810151191</t>
        </is>
      </c>
      <c r="B290" t="inlineStr">
        <is>
          <t>900006554</t>
        </is>
      </c>
      <c r="C290" t="inlineStr">
        <is>
          <t>DW75</t>
        </is>
      </c>
      <c r="D290" t="inlineStr">
        <is>
          <t>D358</t>
        </is>
      </c>
      <c r="E290" t="inlineStr">
        <is>
          <t>4</t>
        </is>
      </c>
      <c r="F290" t="inlineStr">
        <is>
          <t>10151191</t>
        </is>
      </c>
      <c r="H290" t="inlineStr"/>
      <c r="J290" t="n">
        <v>116.55</v>
      </c>
      <c r="K290" t="inlineStr"/>
      <c r="M290" t="inlineStr">
        <is>
          <t>TN</t>
        </is>
      </c>
      <c r="N290" t="inlineStr"/>
      <c r="P290" t="inlineStr">
        <is>
          <t>20260603</t>
        </is>
      </c>
      <c r="Q290" t="inlineStr">
        <is>
          <t>99991231</t>
        </is>
      </c>
    </row>
    <row r="291">
      <c r="A291" t="inlineStr">
        <is>
          <t>900007058DW75D06310000364</t>
        </is>
      </c>
      <c r="B291" t="inlineStr">
        <is>
          <t>900007058</t>
        </is>
      </c>
      <c r="C291" t="inlineStr">
        <is>
          <t>DW75</t>
        </is>
      </c>
      <c r="D291" t="inlineStr">
        <is>
          <t>D063</t>
        </is>
      </c>
      <c r="E291" t="inlineStr">
        <is>
          <t>1</t>
        </is>
      </c>
      <c r="F291" t="inlineStr">
        <is>
          <t>10000364</t>
        </is>
      </c>
      <c r="H291" t="inlineStr"/>
      <c r="J291" t="n">
        <v>92.26000000000001</v>
      </c>
      <c r="K291" t="inlineStr"/>
      <c r="M291" t="inlineStr">
        <is>
          <t>TN</t>
        </is>
      </c>
      <c r="N291" t="inlineStr"/>
      <c r="P291" t="inlineStr">
        <is>
          <t>20240206</t>
        </is>
      </c>
      <c r="Q291" t="inlineStr">
        <is>
          <t>20241105</t>
        </is>
      </c>
    </row>
    <row r="292">
      <c r="A292" t="inlineStr">
        <is>
          <t>900007058DW75D06310000365</t>
        </is>
      </c>
      <c r="B292" t="inlineStr">
        <is>
          <t>900007058</t>
        </is>
      </c>
      <c r="C292" t="inlineStr">
        <is>
          <t>DW75</t>
        </is>
      </c>
      <c r="D292" t="inlineStr">
        <is>
          <t>D063</t>
        </is>
      </c>
      <c r="E292" t="inlineStr">
        <is>
          <t>1</t>
        </is>
      </c>
      <c r="F292" t="inlineStr">
        <is>
          <t>10000365</t>
        </is>
      </c>
      <c r="H292" t="inlineStr"/>
      <c r="J292" t="n">
        <v>112.5</v>
      </c>
      <c r="K292" t="inlineStr"/>
      <c r="M292" t="inlineStr">
        <is>
          <t>TN</t>
        </is>
      </c>
      <c r="N292" t="inlineStr"/>
      <c r="P292" t="inlineStr">
        <is>
          <t>20240206</t>
        </is>
      </c>
      <c r="Q292" t="inlineStr">
        <is>
          <t>20241105</t>
        </is>
      </c>
    </row>
    <row r="293">
      <c r="A293" t="inlineStr">
        <is>
          <t>900007058DW75D06310232465</t>
        </is>
      </c>
      <c r="B293" t="inlineStr">
        <is>
          <t>900007058</t>
        </is>
      </c>
      <c r="C293" t="inlineStr">
        <is>
          <t>DW75</t>
        </is>
      </c>
      <c r="D293" t="inlineStr">
        <is>
          <t>D063</t>
        </is>
      </c>
      <c r="E293" t="inlineStr">
        <is>
          <t>1</t>
        </is>
      </c>
      <c r="F293" t="inlineStr">
        <is>
          <t>10232465</t>
        </is>
      </c>
      <c r="H293" t="inlineStr"/>
      <c r="J293" t="n">
        <v>109.79</v>
      </c>
      <c r="K293" t="inlineStr"/>
      <c r="M293" t="inlineStr">
        <is>
          <t>TN</t>
        </is>
      </c>
      <c r="N293" t="inlineStr"/>
      <c r="P293" t="inlineStr">
        <is>
          <t>20240206</t>
        </is>
      </c>
      <c r="Q293" t="inlineStr">
        <is>
          <t>20241105</t>
        </is>
      </c>
    </row>
    <row r="294">
      <c r="A294" t="inlineStr">
        <is>
          <t>900007058DW75D27810000328</t>
        </is>
      </c>
      <c r="B294" t="inlineStr">
        <is>
          <t>900007058</t>
        </is>
      </c>
      <c r="C294" t="inlineStr">
        <is>
          <t>DW75</t>
        </is>
      </c>
      <c r="D294" t="inlineStr">
        <is>
          <t>D278</t>
        </is>
      </c>
      <c r="E294" t="inlineStr">
        <is>
          <t>1</t>
        </is>
      </c>
      <c r="F294" t="inlineStr">
        <is>
          <t>10000328</t>
        </is>
      </c>
      <c r="H294" t="inlineStr"/>
      <c r="J294" t="n">
        <v>75.98</v>
      </c>
      <c r="K294" t="inlineStr"/>
      <c r="M294" t="inlineStr">
        <is>
          <t>TN</t>
        </is>
      </c>
      <c r="N294" t="inlineStr"/>
      <c r="P294" t="inlineStr">
        <is>
          <t>20210620</t>
        </is>
      </c>
      <c r="Q294" t="inlineStr">
        <is>
          <t>20241216</t>
        </is>
      </c>
    </row>
    <row r="295">
      <c r="A295" t="inlineStr">
        <is>
          <t>900007058DW75D27810000364</t>
        </is>
      </c>
      <c r="B295" t="inlineStr">
        <is>
          <t>900007058</t>
        </is>
      </c>
      <c r="C295" t="inlineStr">
        <is>
          <t>DW75</t>
        </is>
      </c>
      <c r="D295" t="inlineStr">
        <is>
          <t>D278</t>
        </is>
      </c>
      <c r="E295" t="inlineStr">
        <is>
          <t>1</t>
        </is>
      </c>
      <c r="F295" t="inlineStr">
        <is>
          <t>10000364</t>
        </is>
      </c>
      <c r="H295" t="inlineStr"/>
      <c r="J295" t="n">
        <v>52.3</v>
      </c>
      <c r="K295" t="inlineStr"/>
      <c r="M295" t="inlineStr">
        <is>
          <t>TN</t>
        </is>
      </c>
      <c r="N295" t="inlineStr"/>
      <c r="P295" t="inlineStr">
        <is>
          <t>20230831</t>
        </is>
      </c>
      <c r="Q295" t="inlineStr">
        <is>
          <t>20251031</t>
        </is>
      </c>
    </row>
    <row r="296">
      <c r="A296" t="inlineStr">
        <is>
          <t>900007058DW75D27810000365</t>
        </is>
      </c>
      <c r="B296" t="inlineStr">
        <is>
          <t>900007058</t>
        </is>
      </c>
      <c r="C296" t="inlineStr">
        <is>
          <t>DW75</t>
        </is>
      </c>
      <c r="D296" t="inlineStr">
        <is>
          <t>D278</t>
        </is>
      </c>
      <c r="E296" t="inlineStr">
        <is>
          <t>1</t>
        </is>
      </c>
      <c r="F296" t="inlineStr">
        <is>
          <t>10000365</t>
        </is>
      </c>
      <c r="H296" t="inlineStr"/>
      <c r="J296" t="n">
        <v>63.78</v>
      </c>
      <c r="K296" t="inlineStr"/>
      <c r="M296" t="inlineStr">
        <is>
          <t>TN</t>
        </is>
      </c>
      <c r="N296" t="inlineStr"/>
      <c r="P296" t="inlineStr">
        <is>
          <t>20230831</t>
        </is>
      </c>
      <c r="Q296" t="inlineStr">
        <is>
          <t>20251031</t>
        </is>
      </c>
    </row>
    <row r="297">
      <c r="A297" t="inlineStr">
        <is>
          <t>900007058DW75D27810232465</t>
        </is>
      </c>
      <c r="B297" t="inlineStr">
        <is>
          <t>900007058</t>
        </is>
      </c>
      <c r="C297" t="inlineStr">
        <is>
          <t>DW75</t>
        </is>
      </c>
      <c r="D297" t="inlineStr">
        <is>
          <t>D278</t>
        </is>
      </c>
      <c r="E297" t="inlineStr">
        <is>
          <t>1</t>
        </is>
      </c>
      <c r="F297" t="inlineStr">
        <is>
          <t>10232465</t>
        </is>
      </c>
      <c r="H297" t="inlineStr"/>
      <c r="J297" t="n">
        <v>62.24</v>
      </c>
      <c r="K297" t="inlineStr"/>
      <c r="M297" t="inlineStr">
        <is>
          <t>TN</t>
        </is>
      </c>
      <c r="N297" t="inlineStr"/>
      <c r="P297" t="inlineStr">
        <is>
          <t>20230831</t>
        </is>
      </c>
      <c r="Q297" t="inlineStr">
        <is>
          <t>20251031</t>
        </is>
      </c>
    </row>
    <row r="298">
      <c r="A298" t="inlineStr">
        <is>
          <t>900007058DW75D28510000364</t>
        </is>
      </c>
      <c r="B298" t="inlineStr">
        <is>
          <t>900007058</t>
        </is>
      </c>
      <c r="C298" t="inlineStr">
        <is>
          <t>DW75</t>
        </is>
      </c>
      <c r="D298" t="inlineStr">
        <is>
          <t>D285</t>
        </is>
      </c>
      <c r="E298" t="inlineStr">
        <is>
          <t>1</t>
        </is>
      </c>
      <c r="F298" t="inlineStr">
        <is>
          <t>10000364</t>
        </is>
      </c>
      <c r="H298" t="inlineStr"/>
      <c r="J298" t="n">
        <v>213.39</v>
      </c>
      <c r="K298" t="inlineStr"/>
      <c r="M298" t="inlineStr">
        <is>
          <t>TN</t>
        </is>
      </c>
      <c r="N298" t="inlineStr"/>
      <c r="P298" t="inlineStr">
        <is>
          <t>20230831</t>
        </is>
      </c>
      <c r="Q298" t="inlineStr">
        <is>
          <t>20251031</t>
        </is>
      </c>
    </row>
    <row r="299">
      <c r="A299" t="inlineStr">
        <is>
          <t>900007058DW75D28510000365</t>
        </is>
      </c>
      <c r="B299" t="inlineStr">
        <is>
          <t>900007058</t>
        </is>
      </c>
      <c r="C299" t="inlineStr">
        <is>
          <t>DW75</t>
        </is>
      </c>
      <c r="D299" t="inlineStr">
        <is>
          <t>D285</t>
        </is>
      </c>
      <c r="E299" t="inlineStr">
        <is>
          <t>1</t>
        </is>
      </c>
      <c r="F299" t="inlineStr">
        <is>
          <t>10000365</t>
        </is>
      </c>
      <c r="H299" t="inlineStr"/>
      <c r="J299" t="n">
        <v>260.2</v>
      </c>
      <c r="K299" t="inlineStr"/>
      <c r="M299" t="inlineStr">
        <is>
          <t>TN</t>
        </is>
      </c>
      <c r="N299" t="inlineStr"/>
      <c r="P299" t="inlineStr">
        <is>
          <t>20230831</t>
        </is>
      </c>
      <c r="Q299" t="inlineStr">
        <is>
          <t>20251031</t>
        </is>
      </c>
    </row>
    <row r="300">
      <c r="A300" t="inlineStr">
        <is>
          <t>900007058DW75D31510000328</t>
        </is>
      </c>
      <c r="B300" t="inlineStr">
        <is>
          <t>900007058</t>
        </is>
      </c>
      <c r="C300" t="inlineStr">
        <is>
          <t>DW75</t>
        </is>
      </c>
      <c r="D300" t="inlineStr">
        <is>
          <t>D315</t>
        </is>
      </c>
      <c r="E300" t="inlineStr">
        <is>
          <t>1</t>
        </is>
      </c>
      <c r="F300" t="inlineStr">
        <is>
          <t>10000328</t>
        </is>
      </c>
      <c r="H300" t="inlineStr"/>
      <c r="J300" t="n">
        <v>77.33</v>
      </c>
      <c r="K300" t="inlineStr"/>
      <c r="M300" t="inlineStr">
        <is>
          <t>TN</t>
        </is>
      </c>
      <c r="N300" t="inlineStr"/>
      <c r="P300" t="inlineStr">
        <is>
          <t>20210620</t>
        </is>
      </c>
      <c r="Q300" t="inlineStr">
        <is>
          <t>20241216</t>
        </is>
      </c>
    </row>
    <row r="301">
      <c r="A301" t="inlineStr">
        <is>
          <t>900007058DW75D32710000328</t>
        </is>
      </c>
      <c r="B301" t="inlineStr">
        <is>
          <t>900007058</t>
        </is>
      </c>
      <c r="C301" t="inlineStr">
        <is>
          <t>DW75</t>
        </is>
      </c>
      <c r="D301" t="inlineStr">
        <is>
          <t>D327</t>
        </is>
      </c>
      <c r="E301" t="inlineStr">
        <is>
          <t>1</t>
        </is>
      </c>
      <c r="F301" t="inlineStr">
        <is>
          <t>10000328</t>
        </is>
      </c>
      <c r="H301" t="inlineStr"/>
      <c r="J301" t="n">
        <v>77.33</v>
      </c>
      <c r="K301" t="inlineStr"/>
      <c r="M301" t="inlineStr">
        <is>
          <t>TN</t>
        </is>
      </c>
      <c r="N301" t="inlineStr"/>
      <c r="P301" t="inlineStr">
        <is>
          <t>20210620</t>
        </is>
      </c>
      <c r="Q301" t="inlineStr">
        <is>
          <t>20241216</t>
        </is>
      </c>
    </row>
    <row r="302">
      <c r="A302" t="inlineStr">
        <is>
          <t>900007058DW75D34310000364</t>
        </is>
      </c>
      <c r="B302" t="inlineStr">
        <is>
          <t>900007058</t>
        </is>
      </c>
      <c r="C302" t="inlineStr">
        <is>
          <t>DW75</t>
        </is>
      </c>
      <c r="D302" t="inlineStr">
        <is>
          <t>D343</t>
        </is>
      </c>
      <c r="E302" t="inlineStr">
        <is>
          <t>1</t>
        </is>
      </c>
      <c r="F302" t="inlineStr">
        <is>
          <t>10000364</t>
        </is>
      </c>
      <c r="H302" t="inlineStr"/>
      <c r="J302" t="n">
        <v>69.39</v>
      </c>
      <c r="K302" t="inlineStr"/>
      <c r="M302" t="inlineStr">
        <is>
          <t>TN</t>
        </is>
      </c>
      <c r="N302" t="inlineStr"/>
      <c r="P302" t="inlineStr">
        <is>
          <t>20230831</t>
        </is>
      </c>
      <c r="Q302" t="inlineStr">
        <is>
          <t>20251031</t>
        </is>
      </c>
    </row>
    <row r="303">
      <c r="A303" t="inlineStr">
        <is>
          <t>900007058DW75D34310000365</t>
        </is>
      </c>
      <c r="B303" t="inlineStr">
        <is>
          <t>900007058</t>
        </is>
      </c>
      <c r="C303" t="inlineStr">
        <is>
          <t>DW75</t>
        </is>
      </c>
      <c r="D303" t="inlineStr">
        <is>
          <t>D343</t>
        </is>
      </c>
      <c r="E303" t="inlineStr">
        <is>
          <t>1</t>
        </is>
      </c>
      <c r="F303" t="inlineStr">
        <is>
          <t>10000365</t>
        </is>
      </c>
      <c r="H303" t="inlineStr"/>
      <c r="J303" t="n">
        <v>84.61</v>
      </c>
      <c r="K303" t="inlineStr"/>
      <c r="M303" t="inlineStr">
        <is>
          <t>TN</t>
        </is>
      </c>
      <c r="N303" t="inlineStr"/>
      <c r="P303" t="inlineStr">
        <is>
          <t>20230831</t>
        </is>
      </c>
      <c r="Q303" t="inlineStr">
        <is>
          <t>20251031</t>
        </is>
      </c>
    </row>
    <row r="304">
      <c r="A304" t="inlineStr">
        <is>
          <t>900007058DW75D34310232465</t>
        </is>
      </c>
      <c r="B304" t="inlineStr">
        <is>
          <t>900007058</t>
        </is>
      </c>
      <c r="C304" t="inlineStr">
        <is>
          <t>DW75</t>
        </is>
      </c>
      <c r="D304" t="inlineStr">
        <is>
          <t>D343</t>
        </is>
      </c>
      <c r="E304" t="inlineStr">
        <is>
          <t>1</t>
        </is>
      </c>
      <c r="F304" t="inlineStr">
        <is>
          <t>10232465</t>
        </is>
      </c>
      <c r="H304" t="inlineStr"/>
      <c r="J304" t="n">
        <v>82.56999999999999</v>
      </c>
      <c r="K304" t="inlineStr"/>
      <c r="M304" t="inlineStr">
        <is>
          <t>TN</t>
        </is>
      </c>
      <c r="N304" t="inlineStr"/>
      <c r="P304" t="inlineStr">
        <is>
          <t>20230831</t>
        </is>
      </c>
      <c r="Q304" t="inlineStr">
        <is>
          <t>20251031</t>
        </is>
      </c>
    </row>
    <row r="305">
      <c r="A305" t="inlineStr">
        <is>
          <t>900007058DW75D34910000328</t>
        </is>
      </c>
      <c r="B305" t="inlineStr">
        <is>
          <t>900007058</t>
        </is>
      </c>
      <c r="C305" t="inlineStr">
        <is>
          <t>DW75</t>
        </is>
      </c>
      <c r="D305" t="inlineStr">
        <is>
          <t>D349</t>
        </is>
      </c>
      <c r="E305" t="inlineStr">
        <is>
          <t>1</t>
        </is>
      </c>
      <c r="F305" t="inlineStr">
        <is>
          <t>10000328</t>
        </is>
      </c>
      <c r="H305" t="inlineStr"/>
      <c r="J305" t="n">
        <v>56.98</v>
      </c>
      <c r="K305" t="inlineStr"/>
      <c r="M305" t="inlineStr">
        <is>
          <t>TN</t>
        </is>
      </c>
      <c r="N305" t="inlineStr"/>
      <c r="P305" t="inlineStr">
        <is>
          <t>20210620</t>
        </is>
      </c>
      <c r="Q305" t="inlineStr">
        <is>
          <t>20241216</t>
        </is>
      </c>
    </row>
    <row r="306">
      <c r="A306" t="inlineStr">
        <is>
          <t>900007058DW75D34910000364</t>
        </is>
      </c>
      <c r="B306" t="inlineStr">
        <is>
          <t>900007058</t>
        </is>
      </c>
      <c r="C306" t="inlineStr">
        <is>
          <t>DW75</t>
        </is>
      </c>
      <c r="D306" t="inlineStr">
        <is>
          <t>D349</t>
        </is>
      </c>
      <c r="E306" t="inlineStr">
        <is>
          <t>1</t>
        </is>
      </c>
      <c r="F306" t="inlineStr">
        <is>
          <t>10000364</t>
        </is>
      </c>
      <c r="H306" t="inlineStr"/>
      <c r="J306" t="n">
        <v>105.93</v>
      </c>
      <c r="K306" t="inlineStr"/>
      <c r="M306" t="inlineStr">
        <is>
          <t>TN</t>
        </is>
      </c>
      <c r="N306" t="inlineStr"/>
      <c r="P306" t="inlineStr">
        <is>
          <t>20230831</t>
        </is>
      </c>
      <c r="Q306" t="inlineStr">
        <is>
          <t>20251031</t>
        </is>
      </c>
    </row>
    <row r="307">
      <c r="A307" t="inlineStr">
        <is>
          <t>900007058DW75D34910000365</t>
        </is>
      </c>
      <c r="B307" t="inlineStr">
        <is>
          <t>900007058</t>
        </is>
      </c>
      <c r="C307" t="inlineStr">
        <is>
          <t>DW75</t>
        </is>
      </c>
      <c r="D307" t="inlineStr">
        <is>
          <t>D349</t>
        </is>
      </c>
      <c r="E307" t="inlineStr">
        <is>
          <t>1</t>
        </is>
      </c>
      <c r="F307" t="inlineStr">
        <is>
          <t>10000365</t>
        </is>
      </c>
      <c r="H307" t="inlineStr"/>
      <c r="J307" t="n">
        <v>129.17</v>
      </c>
      <c r="K307" t="inlineStr"/>
      <c r="M307" t="inlineStr">
        <is>
          <t>TN</t>
        </is>
      </c>
      <c r="N307" t="inlineStr"/>
      <c r="P307" t="inlineStr">
        <is>
          <t>20230831</t>
        </is>
      </c>
      <c r="Q307" t="inlineStr">
        <is>
          <t>20251031</t>
        </is>
      </c>
    </row>
    <row r="308">
      <c r="A308" t="inlineStr">
        <is>
          <t>900007058DW75D34910232465</t>
        </is>
      </c>
      <c r="B308" t="inlineStr">
        <is>
          <t>900007058</t>
        </is>
      </c>
      <c r="C308" t="inlineStr">
        <is>
          <t>DW75</t>
        </is>
      </c>
      <c r="D308" t="inlineStr">
        <is>
          <t>D349</t>
        </is>
      </c>
      <c r="E308" t="inlineStr">
        <is>
          <t>1</t>
        </is>
      </c>
      <c r="F308" t="inlineStr">
        <is>
          <t>10232465</t>
        </is>
      </c>
      <c r="H308" t="inlineStr"/>
      <c r="J308" t="n">
        <v>126.06</v>
      </c>
      <c r="K308" t="inlineStr"/>
      <c r="M308" t="inlineStr">
        <is>
          <t>TN</t>
        </is>
      </c>
      <c r="N308" t="inlineStr"/>
      <c r="P308" t="inlineStr">
        <is>
          <t>20230831</t>
        </is>
      </c>
      <c r="Q308" t="inlineStr">
        <is>
          <t>20251031</t>
        </is>
      </c>
    </row>
    <row r="309">
      <c r="A309" t="inlineStr">
        <is>
          <t>900007058DW75E67410232465</t>
        </is>
      </c>
      <c r="B309" t="inlineStr">
        <is>
          <t>900007058</t>
        </is>
      </c>
      <c r="C309" t="inlineStr">
        <is>
          <t>DW75</t>
        </is>
      </c>
      <c r="D309" t="inlineStr">
        <is>
          <t>E674</t>
        </is>
      </c>
      <c r="E309" t="inlineStr">
        <is>
          <t>1</t>
        </is>
      </c>
      <c r="F309" t="inlineStr">
        <is>
          <t>10232465</t>
        </is>
      </c>
      <c r="H309" t="inlineStr"/>
      <c r="J309" t="n">
        <v>138.26</v>
      </c>
      <c r="K309" t="inlineStr"/>
      <c r="M309" t="inlineStr">
        <is>
          <t>TN</t>
        </is>
      </c>
      <c r="N309" t="inlineStr"/>
      <c r="P309" t="inlineStr">
        <is>
          <t>20230831</t>
        </is>
      </c>
      <c r="Q309" t="inlineStr">
        <is>
          <t>20251031</t>
        </is>
      </c>
    </row>
    <row r="310">
      <c r="A310" t="inlineStr">
        <is>
          <t>900007101DW75D27810196470</t>
        </is>
      </c>
      <c r="B310" t="inlineStr">
        <is>
          <t>900007101</t>
        </is>
      </c>
      <c r="C310" t="inlineStr">
        <is>
          <t>DW75</t>
        </is>
      </c>
      <c r="D310" t="inlineStr">
        <is>
          <t>D278</t>
        </is>
      </c>
      <c r="E310" t="inlineStr">
        <is>
          <t>1</t>
        </is>
      </c>
      <c r="F310" t="inlineStr">
        <is>
          <t>10196470</t>
        </is>
      </c>
      <c r="H310" t="inlineStr"/>
      <c r="J310" t="n">
        <v>71.84</v>
      </c>
      <c r="K310" t="inlineStr"/>
      <c r="M310" t="inlineStr">
        <is>
          <t>TN</t>
        </is>
      </c>
      <c r="N310" t="inlineStr"/>
      <c r="P310" t="inlineStr">
        <is>
          <t>20220331</t>
        </is>
      </c>
      <c r="Q310" t="inlineStr">
        <is>
          <t>20240822</t>
        </is>
      </c>
    </row>
    <row r="311">
      <c r="A311" t="inlineStr">
        <is>
          <t>900007101DW75D31210196470</t>
        </is>
      </c>
      <c r="B311" t="inlineStr">
        <is>
          <t>900007101</t>
        </is>
      </c>
      <c r="C311" t="inlineStr">
        <is>
          <t>DW75</t>
        </is>
      </c>
      <c r="D311" t="inlineStr">
        <is>
          <t>D312</t>
        </is>
      </c>
      <c r="E311" t="inlineStr">
        <is>
          <t>1</t>
        </is>
      </c>
      <c r="F311" t="inlineStr">
        <is>
          <t>10196470</t>
        </is>
      </c>
      <c r="H311" t="inlineStr"/>
      <c r="J311" t="n">
        <v>74.37</v>
      </c>
      <c r="K311" t="inlineStr"/>
      <c r="M311" t="inlineStr">
        <is>
          <t>TN</t>
        </is>
      </c>
      <c r="N311" t="inlineStr"/>
      <c r="P311" t="inlineStr">
        <is>
          <t>20220331</t>
        </is>
      </c>
      <c r="Q311" t="inlineStr">
        <is>
          <t>20240822</t>
        </is>
      </c>
    </row>
    <row r="312">
      <c r="A312" t="inlineStr">
        <is>
          <t>900007101DW75D32710196470</t>
        </is>
      </c>
      <c r="B312" t="inlineStr">
        <is>
          <t>900007101</t>
        </is>
      </c>
      <c r="C312" t="inlineStr">
        <is>
          <t>DW75</t>
        </is>
      </c>
      <c r="D312" t="inlineStr">
        <is>
          <t>D327</t>
        </is>
      </c>
      <c r="E312" t="inlineStr">
        <is>
          <t>1</t>
        </is>
      </c>
      <c r="F312" t="inlineStr">
        <is>
          <t>10196470</t>
        </is>
      </c>
      <c r="H312" t="inlineStr"/>
      <c r="J312" t="n">
        <v>81.59</v>
      </c>
      <c r="K312" t="inlineStr"/>
      <c r="M312" t="inlineStr">
        <is>
          <t>TN</t>
        </is>
      </c>
      <c r="N312" t="inlineStr"/>
      <c r="P312" t="inlineStr">
        <is>
          <t>20220331</t>
        </is>
      </c>
      <c r="Q312" t="inlineStr">
        <is>
          <t>20240822</t>
        </is>
      </c>
    </row>
    <row r="313">
      <c r="A313" t="inlineStr">
        <is>
          <t>900007101DW75D33110196470</t>
        </is>
      </c>
      <c r="B313" t="inlineStr">
        <is>
          <t>900007101</t>
        </is>
      </c>
      <c r="C313" t="inlineStr">
        <is>
          <t>DW75</t>
        </is>
      </c>
      <c r="D313" t="inlineStr">
        <is>
          <t>D331</t>
        </is>
      </c>
      <c r="E313" t="inlineStr">
        <is>
          <t>1</t>
        </is>
      </c>
      <c r="F313" t="inlineStr">
        <is>
          <t>10196470</t>
        </is>
      </c>
      <c r="H313" t="inlineStr"/>
      <c r="J313" t="n">
        <v>68.31999999999999</v>
      </c>
      <c r="K313" t="inlineStr"/>
      <c r="M313" t="inlineStr">
        <is>
          <t>TN</t>
        </is>
      </c>
      <c r="N313" t="inlineStr"/>
      <c r="P313" t="inlineStr">
        <is>
          <t>20220331</t>
        </is>
      </c>
      <c r="Q313" t="inlineStr">
        <is>
          <t>20240822</t>
        </is>
      </c>
    </row>
    <row r="314">
      <c r="A314" t="inlineStr">
        <is>
          <t>900007101DW75D34310196470</t>
        </is>
      </c>
      <c r="B314" t="inlineStr">
        <is>
          <t>900007101</t>
        </is>
      </c>
      <c r="C314" t="inlineStr">
        <is>
          <t>DW75</t>
        </is>
      </c>
      <c r="D314" t="inlineStr">
        <is>
          <t>D343</t>
        </is>
      </c>
      <c r="E314" t="inlineStr">
        <is>
          <t>1</t>
        </is>
      </c>
      <c r="F314" t="inlineStr">
        <is>
          <t>10196470</t>
        </is>
      </c>
      <c r="H314" t="inlineStr"/>
      <c r="J314" t="n">
        <v>89.01000000000001</v>
      </c>
      <c r="K314" t="inlineStr"/>
      <c r="M314" t="inlineStr">
        <is>
          <t>TN</t>
        </is>
      </c>
      <c r="N314" t="inlineStr"/>
      <c r="P314" t="inlineStr">
        <is>
          <t>20220331</t>
        </is>
      </c>
      <c r="Q314" t="inlineStr">
        <is>
          <t>20240822</t>
        </is>
      </c>
    </row>
    <row r="315">
      <c r="A315" t="inlineStr">
        <is>
          <t>900007101DW75D34910196470</t>
        </is>
      </c>
      <c r="B315" t="inlineStr">
        <is>
          <t>900007101</t>
        </is>
      </c>
      <c r="C315" t="inlineStr">
        <is>
          <t>DW75</t>
        </is>
      </c>
      <c r="D315" t="inlineStr">
        <is>
          <t>D349</t>
        </is>
      </c>
      <c r="E315" t="inlineStr">
        <is>
          <t>1</t>
        </is>
      </c>
      <c r="F315" t="inlineStr">
        <is>
          <t>10196470</t>
        </is>
      </c>
      <c r="H315" t="inlineStr"/>
      <c r="J315" t="n">
        <v>71.44</v>
      </c>
      <c r="K315" t="inlineStr"/>
      <c r="M315" t="inlineStr">
        <is>
          <t>TN</t>
        </is>
      </c>
      <c r="N315" t="inlineStr"/>
      <c r="P315" t="inlineStr">
        <is>
          <t>20220331</t>
        </is>
      </c>
      <c r="Q315" t="inlineStr">
        <is>
          <t>20240822</t>
        </is>
      </c>
    </row>
    <row r="316">
      <c r="A316" t="inlineStr">
        <is>
          <t>900007121DW75D27810200686</t>
        </is>
      </c>
      <c r="B316" t="inlineStr">
        <is>
          <t>900007121</t>
        </is>
      </c>
      <c r="C316" t="inlineStr">
        <is>
          <t>DW75</t>
        </is>
      </c>
      <c r="D316" t="inlineStr">
        <is>
          <t>D278</t>
        </is>
      </c>
      <c r="E316" t="inlineStr">
        <is>
          <t>1</t>
        </is>
      </c>
      <c r="F316" t="inlineStr">
        <is>
          <t>10200686</t>
        </is>
      </c>
      <c r="H316" t="inlineStr"/>
      <c r="J316" t="n">
        <v>666.03</v>
      </c>
      <c r="K316" t="inlineStr"/>
      <c r="M316" t="inlineStr">
        <is>
          <t>TN</t>
        </is>
      </c>
      <c r="N316" t="inlineStr"/>
      <c r="P316" t="inlineStr">
        <is>
          <t>20240726</t>
        </is>
      </c>
      <c r="Q316" t="inlineStr">
        <is>
          <t>20241023</t>
        </is>
      </c>
    </row>
    <row r="317">
      <c r="A317" t="inlineStr">
        <is>
          <t>900007121DW75D32710200686</t>
        </is>
      </c>
      <c r="B317" t="inlineStr">
        <is>
          <t>900007121</t>
        </is>
      </c>
      <c r="C317" t="inlineStr">
        <is>
          <t>DW75</t>
        </is>
      </c>
      <c r="D317" t="inlineStr">
        <is>
          <t>D327</t>
        </is>
      </c>
      <c r="E317" t="inlineStr">
        <is>
          <t>1</t>
        </is>
      </c>
      <c r="F317" t="inlineStr">
        <is>
          <t>10200686</t>
        </is>
      </c>
      <c r="H317" t="inlineStr"/>
      <c r="J317" t="n">
        <v>675.17</v>
      </c>
      <c r="K317" t="inlineStr"/>
      <c r="M317" t="inlineStr">
        <is>
          <t>TN</t>
        </is>
      </c>
      <c r="N317" t="inlineStr"/>
      <c r="P317" t="inlineStr">
        <is>
          <t>20240726</t>
        </is>
      </c>
      <c r="Q317" t="inlineStr">
        <is>
          <t>20241023</t>
        </is>
      </c>
    </row>
    <row r="318">
      <c r="A318" t="inlineStr">
        <is>
          <t>900007121DW75D34310200686</t>
        </is>
      </c>
      <c r="B318" t="inlineStr">
        <is>
          <t>900007121</t>
        </is>
      </c>
      <c r="C318" t="inlineStr">
        <is>
          <t>DW75</t>
        </is>
      </c>
      <c r="D318" t="inlineStr">
        <is>
          <t>D343</t>
        </is>
      </c>
      <c r="E318" t="inlineStr">
        <is>
          <t>1</t>
        </is>
      </c>
      <c r="F318" t="inlineStr">
        <is>
          <t>10200686</t>
        </is>
      </c>
      <c r="H318" t="inlineStr"/>
      <c r="J318" t="n">
        <v>651.4299999999999</v>
      </c>
      <c r="K318" t="inlineStr"/>
      <c r="M318" t="inlineStr">
        <is>
          <t>TN</t>
        </is>
      </c>
      <c r="N318" t="inlineStr"/>
      <c r="P318" t="inlineStr">
        <is>
          <t>20240726</t>
        </is>
      </c>
      <c r="Q318" t="inlineStr">
        <is>
          <t>20241023</t>
        </is>
      </c>
    </row>
    <row r="319">
      <c r="A319" t="inlineStr">
        <is>
          <t>900007121DW75E67410200686</t>
        </is>
      </c>
      <c r="B319" t="inlineStr">
        <is>
          <t>900007121</t>
        </is>
      </c>
      <c r="C319" t="inlineStr">
        <is>
          <t>DW75</t>
        </is>
      </c>
      <c r="D319" t="inlineStr">
        <is>
          <t>E674</t>
        </is>
      </c>
      <c r="E319" t="inlineStr">
        <is>
          <t>1</t>
        </is>
      </c>
      <c r="F319" t="inlineStr">
        <is>
          <t>10200686</t>
        </is>
      </c>
      <c r="H319" t="inlineStr"/>
      <c r="J319" t="n">
        <v>687.9299999999999</v>
      </c>
      <c r="K319" t="inlineStr"/>
      <c r="M319" t="inlineStr">
        <is>
          <t>TN</t>
        </is>
      </c>
      <c r="N319" t="inlineStr"/>
      <c r="P319" t="inlineStr">
        <is>
          <t>20240726</t>
        </is>
      </c>
      <c r="Q319" t="inlineStr">
        <is>
          <t>20241023</t>
        </is>
      </c>
    </row>
    <row r="320">
      <c r="A320" t="inlineStr">
        <is>
          <t>900007598DW75D27810215847</t>
        </is>
      </c>
      <c r="B320" t="inlineStr">
        <is>
          <t>900007598</t>
        </is>
      </c>
      <c r="C320" t="inlineStr">
        <is>
          <t>DW75</t>
        </is>
      </c>
      <c r="D320" t="inlineStr">
        <is>
          <t>D278</t>
        </is>
      </c>
      <c r="E320" t="inlineStr">
        <is>
          <t>1</t>
        </is>
      </c>
      <c r="F320" t="inlineStr">
        <is>
          <t>10215847</t>
        </is>
      </c>
      <c r="H320" t="inlineStr"/>
      <c r="J320" t="n">
        <v>130.53</v>
      </c>
      <c r="K320" t="inlineStr"/>
      <c r="M320" t="inlineStr">
        <is>
          <t>TN</t>
        </is>
      </c>
      <c r="N320" t="inlineStr"/>
      <c r="P320" t="inlineStr">
        <is>
          <t>20220707</t>
        </is>
      </c>
      <c r="Q320" t="inlineStr">
        <is>
          <t>20231127</t>
        </is>
      </c>
    </row>
    <row r="321">
      <c r="A321" t="inlineStr">
        <is>
          <t>900007598DW75D27810215847</t>
        </is>
      </c>
      <c r="B321" t="inlineStr">
        <is>
          <t>900007598</t>
        </is>
      </c>
      <c r="C321" t="inlineStr">
        <is>
          <t>DW75</t>
        </is>
      </c>
      <c r="D321" t="inlineStr">
        <is>
          <t>D278</t>
        </is>
      </c>
      <c r="E321" t="inlineStr">
        <is>
          <t>4</t>
        </is>
      </c>
      <c r="F321" t="inlineStr">
        <is>
          <t>10215847</t>
        </is>
      </c>
      <c r="H321" t="inlineStr"/>
      <c r="J321" t="n">
        <v>131.84</v>
      </c>
      <c r="K321" t="inlineStr"/>
      <c r="M321" t="inlineStr">
        <is>
          <t>TN</t>
        </is>
      </c>
      <c r="N321" t="inlineStr"/>
      <c r="P321" t="inlineStr">
        <is>
          <t>20220519</t>
        </is>
      </c>
      <c r="Q321" t="inlineStr">
        <is>
          <t>20231127</t>
        </is>
      </c>
    </row>
    <row r="322">
      <c r="A322" t="inlineStr">
        <is>
          <t>900007598DW75D31210215847</t>
        </is>
      </c>
      <c r="B322" t="inlineStr">
        <is>
          <t>900007598</t>
        </is>
      </c>
      <c r="C322" t="inlineStr">
        <is>
          <t>DW75</t>
        </is>
      </c>
      <c r="D322" t="inlineStr">
        <is>
          <t>D312</t>
        </is>
      </c>
      <c r="E322" t="inlineStr">
        <is>
          <t>1</t>
        </is>
      </c>
      <c r="F322" t="inlineStr">
        <is>
          <t>10215847</t>
        </is>
      </c>
      <c r="H322" t="inlineStr"/>
      <c r="J322" t="n">
        <v>149.47</v>
      </c>
      <c r="K322" t="inlineStr"/>
      <c r="M322" t="inlineStr">
        <is>
          <t>TN</t>
        </is>
      </c>
      <c r="N322" t="inlineStr"/>
      <c r="P322" t="inlineStr">
        <is>
          <t>20220707</t>
        </is>
      </c>
      <c r="Q322" t="inlineStr">
        <is>
          <t>20231127</t>
        </is>
      </c>
    </row>
    <row r="323">
      <c r="A323" t="inlineStr">
        <is>
          <t>900007598DW75D31210215847</t>
        </is>
      </c>
      <c r="B323" t="inlineStr">
        <is>
          <t>900007598</t>
        </is>
      </c>
      <c r="C323" t="inlineStr">
        <is>
          <t>DW75</t>
        </is>
      </c>
      <c r="D323" t="inlineStr">
        <is>
          <t>D312</t>
        </is>
      </c>
      <c r="E323" t="inlineStr">
        <is>
          <t>4</t>
        </is>
      </c>
      <c r="F323" t="inlineStr">
        <is>
          <t>10215847</t>
        </is>
      </c>
      <c r="H323" t="inlineStr"/>
      <c r="J323" t="n">
        <v>150.98</v>
      </c>
      <c r="K323" t="inlineStr"/>
      <c r="M323" t="inlineStr">
        <is>
          <t>TN</t>
        </is>
      </c>
      <c r="N323" t="inlineStr"/>
      <c r="P323" t="inlineStr">
        <is>
          <t>20220519</t>
        </is>
      </c>
      <c r="Q323" t="inlineStr">
        <is>
          <t>20231127</t>
        </is>
      </c>
    </row>
    <row r="324">
      <c r="A324" t="inlineStr">
        <is>
          <t>900007598DW75D31510215847</t>
        </is>
      </c>
      <c r="B324" t="inlineStr">
        <is>
          <t>900007598</t>
        </is>
      </c>
      <c r="C324" t="inlineStr">
        <is>
          <t>DW75</t>
        </is>
      </c>
      <c r="D324" t="inlineStr">
        <is>
          <t>D315</t>
        </is>
      </c>
      <c r="E324" t="inlineStr">
        <is>
          <t>1</t>
        </is>
      </c>
      <c r="F324" t="inlineStr">
        <is>
          <t>10215847</t>
        </is>
      </c>
      <c r="H324" t="inlineStr"/>
      <c r="J324" t="n">
        <v>113.68</v>
      </c>
      <c r="K324" t="inlineStr"/>
      <c r="M324" t="inlineStr">
        <is>
          <t>TN</t>
        </is>
      </c>
      <c r="N324" t="inlineStr"/>
      <c r="P324" t="inlineStr">
        <is>
          <t>20220707</t>
        </is>
      </c>
      <c r="Q324" t="inlineStr">
        <is>
          <t>20231127</t>
        </is>
      </c>
    </row>
    <row r="325">
      <c r="A325" t="inlineStr">
        <is>
          <t>900007598DW75D31510215847</t>
        </is>
      </c>
      <c r="B325" t="inlineStr">
        <is>
          <t>900007598</t>
        </is>
      </c>
      <c r="C325" t="inlineStr">
        <is>
          <t>DW75</t>
        </is>
      </c>
      <c r="D325" t="inlineStr">
        <is>
          <t>D315</t>
        </is>
      </c>
      <c r="E325" t="inlineStr">
        <is>
          <t>4</t>
        </is>
      </c>
      <c r="F325" t="inlineStr">
        <is>
          <t>10215847</t>
        </is>
      </c>
      <c r="H325" t="inlineStr"/>
      <c r="J325" t="n">
        <v>114.83</v>
      </c>
      <c r="K325" t="inlineStr"/>
      <c r="M325" t="inlineStr">
        <is>
          <t>TN</t>
        </is>
      </c>
      <c r="N325" t="inlineStr"/>
      <c r="P325" t="inlineStr">
        <is>
          <t>20220519</t>
        </is>
      </c>
      <c r="Q325" t="inlineStr">
        <is>
          <t>20231127</t>
        </is>
      </c>
    </row>
    <row r="326">
      <c r="A326" t="inlineStr">
        <is>
          <t>900007598DW75D32710215847</t>
        </is>
      </c>
      <c r="B326" t="inlineStr">
        <is>
          <t>900007598</t>
        </is>
      </c>
      <c r="C326" t="inlineStr">
        <is>
          <t>DW75</t>
        </is>
      </c>
      <c r="D326" t="inlineStr">
        <is>
          <t>D327</t>
        </is>
      </c>
      <c r="E326" t="inlineStr">
        <is>
          <t>1</t>
        </is>
      </c>
      <c r="F326" t="inlineStr">
        <is>
          <t>10215847</t>
        </is>
      </c>
      <c r="H326" t="inlineStr"/>
      <c r="J326" t="n">
        <v>153.68</v>
      </c>
      <c r="K326" t="inlineStr"/>
      <c r="M326" t="inlineStr">
        <is>
          <t>TN</t>
        </is>
      </c>
      <c r="N326" t="inlineStr"/>
      <c r="P326" t="inlineStr">
        <is>
          <t>20220707</t>
        </is>
      </c>
      <c r="Q326" t="inlineStr">
        <is>
          <t>20231127</t>
        </is>
      </c>
    </row>
    <row r="327">
      <c r="A327" t="inlineStr">
        <is>
          <t>900007598DW75D32710215847</t>
        </is>
      </c>
      <c r="B327" t="inlineStr">
        <is>
          <t>900007598</t>
        </is>
      </c>
      <c r="C327" t="inlineStr">
        <is>
          <t>DW75</t>
        </is>
      </c>
      <c r="D327" t="inlineStr">
        <is>
          <t>D327</t>
        </is>
      </c>
      <c r="E327" t="inlineStr">
        <is>
          <t>4</t>
        </is>
      </c>
      <c r="F327" t="inlineStr">
        <is>
          <t>10215847</t>
        </is>
      </c>
      <c r="H327" t="inlineStr"/>
      <c r="J327" t="n">
        <v>155.24</v>
      </c>
      <c r="K327" t="inlineStr"/>
      <c r="M327" t="inlineStr">
        <is>
          <t>TN</t>
        </is>
      </c>
      <c r="N327" t="inlineStr"/>
      <c r="P327" t="inlineStr">
        <is>
          <t>20220519</t>
        </is>
      </c>
      <c r="Q327" t="inlineStr">
        <is>
          <t>20231127</t>
        </is>
      </c>
    </row>
    <row r="328">
      <c r="A328" t="inlineStr">
        <is>
          <t>900007598DW75D34310215847</t>
        </is>
      </c>
      <c r="B328" t="inlineStr">
        <is>
          <t>900007598</t>
        </is>
      </c>
      <c r="C328" t="inlineStr">
        <is>
          <t>DW75</t>
        </is>
      </c>
      <c r="D328" t="inlineStr">
        <is>
          <t>D343</t>
        </is>
      </c>
      <c r="E328" t="inlineStr">
        <is>
          <t>1</t>
        </is>
      </c>
      <c r="F328" t="inlineStr">
        <is>
          <t>10215847</t>
        </is>
      </c>
      <c r="H328" t="inlineStr"/>
      <c r="J328" t="n">
        <v>113.68</v>
      </c>
      <c r="K328" t="inlineStr"/>
      <c r="M328" t="inlineStr">
        <is>
          <t>TN</t>
        </is>
      </c>
      <c r="N328" t="inlineStr"/>
      <c r="P328" t="inlineStr">
        <is>
          <t>20220707</t>
        </is>
      </c>
      <c r="Q328" t="inlineStr">
        <is>
          <t>20231127</t>
        </is>
      </c>
    </row>
    <row r="329">
      <c r="A329" t="inlineStr">
        <is>
          <t>900007598DW75D34310215847</t>
        </is>
      </c>
      <c r="B329" t="inlineStr">
        <is>
          <t>900007598</t>
        </is>
      </c>
      <c r="C329" t="inlineStr">
        <is>
          <t>DW75</t>
        </is>
      </c>
      <c r="D329" t="inlineStr">
        <is>
          <t>D343</t>
        </is>
      </c>
      <c r="E329" t="inlineStr">
        <is>
          <t>4</t>
        </is>
      </c>
      <c r="F329" t="inlineStr">
        <is>
          <t>10215847</t>
        </is>
      </c>
      <c r="H329" t="inlineStr"/>
      <c r="J329" t="n">
        <v>114.83</v>
      </c>
      <c r="K329" t="inlineStr"/>
      <c r="M329" t="inlineStr">
        <is>
          <t>TN</t>
        </is>
      </c>
      <c r="N329" t="inlineStr"/>
      <c r="P329" t="inlineStr">
        <is>
          <t>20220519</t>
        </is>
      </c>
      <c r="Q329" t="inlineStr">
        <is>
          <t>20231127</t>
        </is>
      </c>
    </row>
    <row r="330">
      <c r="A330" t="inlineStr">
        <is>
          <t>900007598DW75D34310248791</t>
        </is>
      </c>
      <c r="B330" t="inlineStr">
        <is>
          <t>900007598</t>
        </is>
      </c>
      <c r="C330" t="inlineStr">
        <is>
          <t>DW75</t>
        </is>
      </c>
      <c r="D330" t="inlineStr">
        <is>
          <t>D343</t>
        </is>
      </c>
      <c r="E330" t="inlineStr">
        <is>
          <t>1</t>
        </is>
      </c>
      <c r="F330" t="inlineStr">
        <is>
          <t>10248791</t>
        </is>
      </c>
      <c r="H330" t="inlineStr"/>
      <c r="J330" t="n">
        <v>183.21</v>
      </c>
      <c r="K330" t="inlineStr"/>
      <c r="M330" t="inlineStr">
        <is>
          <t>TN</t>
        </is>
      </c>
      <c r="N330" t="inlineStr"/>
      <c r="P330" t="inlineStr">
        <is>
          <t>20230831</t>
        </is>
      </c>
      <c r="Q330" t="inlineStr">
        <is>
          <t>20251031</t>
        </is>
      </c>
    </row>
    <row r="331">
      <c r="A331" t="inlineStr">
        <is>
          <t>900007598DW75D34310251421</t>
        </is>
      </c>
      <c r="B331" t="inlineStr">
        <is>
          <t>900007598</t>
        </is>
      </c>
      <c r="C331" t="inlineStr">
        <is>
          <t>DW75</t>
        </is>
      </c>
      <c r="D331" t="inlineStr">
        <is>
          <t>D343</t>
        </is>
      </c>
      <c r="E331" t="inlineStr">
        <is>
          <t>1</t>
        </is>
      </c>
      <c r="F331" t="inlineStr">
        <is>
          <t>10251421</t>
        </is>
      </c>
      <c r="H331" t="inlineStr"/>
      <c r="J331" t="n">
        <v>161.33</v>
      </c>
      <c r="K331" t="inlineStr"/>
      <c r="M331" t="inlineStr">
        <is>
          <t>TN</t>
        </is>
      </c>
      <c r="N331" t="inlineStr"/>
      <c r="P331" t="inlineStr">
        <is>
          <t>20230831</t>
        </is>
      </c>
      <c r="Q331" t="inlineStr">
        <is>
          <t>20251031</t>
        </is>
      </c>
    </row>
    <row r="332">
      <c r="A332" t="inlineStr">
        <is>
          <t>900007598DW75D34910215847</t>
        </is>
      </c>
      <c r="B332" t="inlineStr">
        <is>
          <t>900007598</t>
        </is>
      </c>
      <c r="C332" t="inlineStr">
        <is>
          <t>DW75</t>
        </is>
      </c>
      <c r="D332" t="inlineStr">
        <is>
          <t>D349</t>
        </is>
      </c>
      <c r="E332" t="inlineStr">
        <is>
          <t>1</t>
        </is>
      </c>
      <c r="F332" t="inlineStr">
        <is>
          <t>10215847</t>
        </is>
      </c>
      <c r="H332" t="inlineStr"/>
      <c r="J332" t="n">
        <v>77.89</v>
      </c>
      <c r="K332" t="inlineStr"/>
      <c r="M332" t="inlineStr">
        <is>
          <t>TN</t>
        </is>
      </c>
      <c r="N332" t="inlineStr"/>
      <c r="P332" t="inlineStr">
        <is>
          <t>20220707</t>
        </is>
      </c>
      <c r="Q332" t="inlineStr">
        <is>
          <t>20231127</t>
        </is>
      </c>
    </row>
    <row r="333">
      <c r="A333" t="inlineStr">
        <is>
          <t>900007598DW75D34910215847</t>
        </is>
      </c>
      <c r="B333" t="inlineStr">
        <is>
          <t>900007598</t>
        </is>
      </c>
      <c r="C333" t="inlineStr">
        <is>
          <t>DW75</t>
        </is>
      </c>
      <c r="D333" t="inlineStr">
        <is>
          <t>D349</t>
        </is>
      </c>
      <c r="E333" t="inlineStr">
        <is>
          <t>4</t>
        </is>
      </c>
      <c r="F333" t="inlineStr">
        <is>
          <t>10215847</t>
        </is>
      </c>
      <c r="H333" t="inlineStr"/>
      <c r="J333" t="n">
        <v>78.68000000000001</v>
      </c>
      <c r="K333" t="inlineStr"/>
      <c r="M333" t="inlineStr">
        <is>
          <t>TN</t>
        </is>
      </c>
      <c r="N333" t="inlineStr"/>
      <c r="P333" t="inlineStr">
        <is>
          <t>20220519</t>
        </is>
      </c>
      <c r="Q333" t="inlineStr">
        <is>
          <t>20231127</t>
        </is>
      </c>
    </row>
    <row r="334">
      <c r="A334" t="inlineStr">
        <is>
          <t>900007598DW75D34910248791</t>
        </is>
      </c>
      <c r="B334" t="inlineStr">
        <is>
          <t>900007598</t>
        </is>
      </c>
      <c r="C334" t="inlineStr">
        <is>
          <t>DW75</t>
        </is>
      </c>
      <c r="D334" t="inlineStr">
        <is>
          <t>D349</t>
        </is>
      </c>
      <c r="E334" t="inlineStr">
        <is>
          <t>1</t>
        </is>
      </c>
      <c r="F334" t="inlineStr">
        <is>
          <t>10248791</t>
        </is>
      </c>
      <c r="H334" t="inlineStr"/>
      <c r="J334" t="n">
        <v>172.45</v>
      </c>
      <c r="K334" t="inlineStr"/>
      <c r="M334" t="inlineStr">
        <is>
          <t>TN</t>
        </is>
      </c>
      <c r="N334" t="inlineStr"/>
      <c r="P334" t="inlineStr">
        <is>
          <t>20231019</t>
        </is>
      </c>
      <c r="Q334" t="inlineStr">
        <is>
          <t>20260215</t>
        </is>
      </c>
    </row>
    <row r="335">
      <c r="A335" t="inlineStr">
        <is>
          <t>900007598DW75D34910251421</t>
        </is>
      </c>
      <c r="B335" t="inlineStr">
        <is>
          <t>900007598</t>
        </is>
      </c>
      <c r="C335" t="inlineStr">
        <is>
          <t>DW75</t>
        </is>
      </c>
      <c r="D335" t="inlineStr">
        <is>
          <t>D349</t>
        </is>
      </c>
      <c r="E335" t="inlineStr">
        <is>
          <t>1</t>
        </is>
      </c>
      <c r="F335" t="inlineStr">
        <is>
          <t>10251421</t>
        </is>
      </c>
      <c r="H335" t="inlineStr"/>
      <c r="J335" t="n">
        <v>151.85</v>
      </c>
      <c r="K335" t="inlineStr"/>
      <c r="M335" t="inlineStr">
        <is>
          <t>TN</t>
        </is>
      </c>
      <c r="N335" t="inlineStr"/>
      <c r="P335" t="inlineStr">
        <is>
          <t>20231127</t>
        </is>
      </c>
      <c r="Q335" t="inlineStr">
        <is>
          <t>20260215</t>
        </is>
      </c>
    </row>
    <row r="336">
      <c r="A336" t="inlineStr">
        <is>
          <t>900007598DW75ER0010248791</t>
        </is>
      </c>
      <c r="B336" t="inlineStr">
        <is>
          <t>900007598</t>
        </is>
      </c>
      <c r="C336" t="inlineStr">
        <is>
          <t>DW75</t>
        </is>
      </c>
      <c r="D336" t="inlineStr">
        <is>
          <t>ER00</t>
        </is>
      </c>
      <c r="E336" t="inlineStr">
        <is>
          <t>1</t>
        </is>
      </c>
      <c r="F336" t="inlineStr">
        <is>
          <t>10248791</t>
        </is>
      </c>
      <c r="H336" t="inlineStr"/>
      <c r="J336" t="n">
        <v>362.32</v>
      </c>
      <c r="K336" t="inlineStr"/>
      <c r="M336" t="inlineStr">
        <is>
          <t>TN</t>
        </is>
      </c>
      <c r="N336" t="inlineStr"/>
      <c r="P336" t="inlineStr">
        <is>
          <t>20231121</t>
        </is>
      </c>
      <c r="Q336" t="inlineStr">
        <is>
          <t>20231126</t>
        </is>
      </c>
    </row>
    <row r="337">
      <c r="A337" t="inlineStr">
        <is>
          <t>900007756DW75D06310221763</t>
        </is>
      </c>
      <c r="B337" t="inlineStr">
        <is>
          <t>900007756</t>
        </is>
      </c>
      <c r="C337" t="inlineStr">
        <is>
          <t>DW75</t>
        </is>
      </c>
      <c r="D337" t="inlineStr">
        <is>
          <t>D063</t>
        </is>
      </c>
      <c r="E337" t="inlineStr">
        <is>
          <t>1</t>
        </is>
      </c>
      <c r="F337" t="inlineStr">
        <is>
          <t>10221763</t>
        </is>
      </c>
      <c r="H337" t="inlineStr"/>
      <c r="J337" t="n">
        <v>180.39</v>
      </c>
      <c r="K337" t="inlineStr"/>
      <c r="M337" t="inlineStr">
        <is>
          <t>TN</t>
        </is>
      </c>
      <c r="N337" t="inlineStr"/>
      <c r="P337" t="inlineStr">
        <is>
          <t>20230831</t>
        </is>
      </c>
      <c r="Q337" t="inlineStr">
        <is>
          <t>20251031</t>
        </is>
      </c>
    </row>
    <row r="338">
      <c r="A338" t="inlineStr">
        <is>
          <t>900007756DW75D11210221763</t>
        </is>
      </c>
      <c r="B338" t="inlineStr">
        <is>
          <t>900007756</t>
        </is>
      </c>
      <c r="C338" t="inlineStr">
        <is>
          <t>DW75</t>
        </is>
      </c>
      <c r="D338" t="inlineStr">
        <is>
          <t>D112</t>
        </is>
      </c>
      <c r="E338" t="inlineStr">
        <is>
          <t>1</t>
        </is>
      </c>
      <c r="F338" t="inlineStr">
        <is>
          <t>10221763</t>
        </is>
      </c>
      <c r="H338" t="inlineStr"/>
      <c r="J338" t="n">
        <v>180.39</v>
      </c>
      <c r="K338" t="inlineStr"/>
      <c r="M338" t="inlineStr">
        <is>
          <t>TN</t>
        </is>
      </c>
      <c r="N338" t="inlineStr"/>
      <c r="P338" t="inlineStr">
        <is>
          <t>20230831</t>
        </is>
      </c>
      <c r="Q338" t="inlineStr">
        <is>
          <t>20251031</t>
        </is>
      </c>
    </row>
    <row r="339">
      <c r="A339" t="inlineStr">
        <is>
          <t>900007756DW75D27810221763</t>
        </is>
      </c>
      <c r="B339" t="inlineStr">
        <is>
          <t>900007756</t>
        </is>
      </c>
      <c r="C339" t="inlineStr">
        <is>
          <t>DW75</t>
        </is>
      </c>
      <c r="D339" t="inlineStr">
        <is>
          <t>D278</t>
        </is>
      </c>
      <c r="E339" t="inlineStr">
        <is>
          <t>1</t>
        </is>
      </c>
      <c r="F339" t="inlineStr">
        <is>
          <t>10221763</t>
        </is>
      </c>
      <c r="H339" t="inlineStr"/>
      <c r="J339" t="n">
        <v>103.08</v>
      </c>
      <c r="K339" t="inlineStr"/>
      <c r="M339" t="inlineStr">
        <is>
          <t>TN</t>
        </is>
      </c>
      <c r="N339" t="inlineStr"/>
      <c r="P339" t="inlineStr">
        <is>
          <t>20210620</t>
        </is>
      </c>
      <c r="Q339" t="inlineStr">
        <is>
          <t>20241216</t>
        </is>
      </c>
    </row>
    <row r="340">
      <c r="A340" t="inlineStr">
        <is>
          <t>900007756DW75D31210221763</t>
        </is>
      </c>
      <c r="B340" t="inlineStr">
        <is>
          <t>900007756</t>
        </is>
      </c>
      <c r="C340" t="inlineStr">
        <is>
          <t>DW75</t>
        </is>
      </c>
      <c r="D340" t="inlineStr">
        <is>
          <t>D312</t>
        </is>
      </c>
      <c r="E340" t="inlineStr">
        <is>
          <t>1</t>
        </is>
      </c>
      <c r="F340" t="inlineStr">
        <is>
          <t>10221763</t>
        </is>
      </c>
      <c r="H340" t="inlineStr"/>
      <c r="J340" t="n">
        <v>46.02</v>
      </c>
      <c r="K340" t="inlineStr"/>
      <c r="M340" t="inlineStr">
        <is>
          <t>TN</t>
        </is>
      </c>
      <c r="N340" t="inlineStr"/>
      <c r="P340" t="inlineStr">
        <is>
          <t>20210620</t>
        </is>
      </c>
      <c r="Q340" t="inlineStr">
        <is>
          <t>20241216</t>
        </is>
      </c>
    </row>
    <row r="341">
      <c r="A341" t="inlineStr">
        <is>
          <t>900007756DW75D32710221763</t>
        </is>
      </c>
      <c r="B341" t="inlineStr">
        <is>
          <t>900007756</t>
        </is>
      </c>
      <c r="C341" t="inlineStr">
        <is>
          <t>DW75</t>
        </is>
      </c>
      <c r="D341" t="inlineStr">
        <is>
          <t>D327</t>
        </is>
      </c>
      <c r="E341" t="inlineStr">
        <is>
          <t>1</t>
        </is>
      </c>
      <c r="F341" t="inlineStr">
        <is>
          <t>10221763</t>
        </is>
      </c>
      <c r="H341" t="inlineStr"/>
      <c r="J341" t="n">
        <v>56.54</v>
      </c>
      <c r="K341" t="inlineStr"/>
      <c r="M341" t="inlineStr">
        <is>
          <t>TN</t>
        </is>
      </c>
      <c r="N341" t="inlineStr"/>
      <c r="P341" t="inlineStr">
        <is>
          <t>20210620</t>
        </is>
      </c>
      <c r="Q341" t="inlineStr">
        <is>
          <t>20241216</t>
        </is>
      </c>
    </row>
    <row r="342">
      <c r="A342" t="inlineStr">
        <is>
          <t>900007756DW75D34310221763</t>
        </is>
      </c>
      <c r="B342" t="inlineStr">
        <is>
          <t>900007756</t>
        </is>
      </c>
      <c r="C342" t="inlineStr">
        <is>
          <t>DW75</t>
        </is>
      </c>
      <c r="D342" t="inlineStr">
        <is>
          <t>D343</t>
        </is>
      </c>
      <c r="E342" t="inlineStr">
        <is>
          <t>1</t>
        </is>
      </c>
      <c r="F342" t="inlineStr">
        <is>
          <t>10221763</t>
        </is>
      </c>
      <c r="H342" t="inlineStr"/>
      <c r="J342" t="n">
        <v>114.12</v>
      </c>
      <c r="K342" t="inlineStr"/>
      <c r="M342" t="inlineStr">
        <is>
          <t>TN</t>
        </is>
      </c>
      <c r="N342" t="inlineStr"/>
      <c r="P342" t="inlineStr">
        <is>
          <t>20230705</t>
        </is>
      </c>
      <c r="Q342" t="inlineStr">
        <is>
          <t>20260215</t>
        </is>
      </c>
    </row>
    <row r="343">
      <c r="A343" t="inlineStr">
        <is>
          <t>900007756DW75D34910221763</t>
        </is>
      </c>
      <c r="B343" t="inlineStr">
        <is>
          <t>900007756</t>
        </is>
      </c>
      <c r="C343" t="inlineStr">
        <is>
          <t>DW75</t>
        </is>
      </c>
      <c r="D343" t="inlineStr">
        <is>
          <t>D349</t>
        </is>
      </c>
      <c r="E343" t="inlineStr">
        <is>
          <t>1</t>
        </is>
      </c>
      <c r="F343" t="inlineStr">
        <is>
          <t>10221763</t>
        </is>
      </c>
      <c r="H343" t="inlineStr"/>
      <c r="J343" t="n">
        <v>184.07</v>
      </c>
      <c r="K343" t="inlineStr"/>
      <c r="M343" t="inlineStr">
        <is>
          <t>TN</t>
        </is>
      </c>
      <c r="N343" t="inlineStr"/>
      <c r="P343" t="inlineStr">
        <is>
          <t>20230705</t>
        </is>
      </c>
      <c r="Q343" t="inlineStr">
        <is>
          <t>20260215</t>
        </is>
      </c>
    </row>
    <row r="344">
      <c r="A344" t="inlineStr">
        <is>
          <t>900007756DW75D35810221763</t>
        </is>
      </c>
      <c r="B344" t="inlineStr">
        <is>
          <t>900007756</t>
        </is>
      </c>
      <c r="C344" t="inlineStr">
        <is>
          <t>DW75</t>
        </is>
      </c>
      <c r="D344" t="inlineStr">
        <is>
          <t>D358</t>
        </is>
      </c>
      <c r="E344" t="inlineStr">
        <is>
          <t>1</t>
        </is>
      </c>
      <c r="F344" t="inlineStr">
        <is>
          <t>10221763</t>
        </is>
      </c>
      <c r="H344" t="inlineStr"/>
      <c r="J344" t="n">
        <v>184.07</v>
      </c>
      <c r="K344" t="inlineStr"/>
      <c r="M344" t="inlineStr">
        <is>
          <t>TN</t>
        </is>
      </c>
      <c r="N344" t="inlineStr"/>
      <c r="P344" t="inlineStr">
        <is>
          <t>20230831</t>
        </is>
      </c>
      <c r="Q344" t="inlineStr">
        <is>
          <t>20251031</t>
        </is>
      </c>
    </row>
    <row r="345">
      <c r="A345" t="inlineStr">
        <is>
          <t>900007756DW75E67410221763</t>
        </is>
      </c>
      <c r="B345" t="inlineStr">
        <is>
          <t>900007756</t>
        </is>
      </c>
      <c r="C345" t="inlineStr">
        <is>
          <t>DW75</t>
        </is>
      </c>
      <c r="D345" t="inlineStr">
        <is>
          <t>E674</t>
        </is>
      </c>
      <c r="E345" t="inlineStr">
        <is>
          <t>1</t>
        </is>
      </c>
      <c r="F345" t="inlineStr">
        <is>
          <t>10221763</t>
        </is>
      </c>
      <c r="H345" t="inlineStr"/>
      <c r="J345" t="n">
        <v>184.07</v>
      </c>
      <c r="K345" t="inlineStr"/>
      <c r="M345" t="inlineStr">
        <is>
          <t>TN</t>
        </is>
      </c>
      <c r="N345" t="inlineStr"/>
      <c r="P345" t="inlineStr">
        <is>
          <t>20230705</t>
        </is>
      </c>
      <c r="Q345" t="inlineStr">
        <is>
          <t>20230912</t>
        </is>
      </c>
    </row>
    <row r="346">
      <c r="A346" t="inlineStr">
        <is>
          <t>900007756DW75E67410246797</t>
        </is>
      </c>
      <c r="B346" t="inlineStr">
        <is>
          <t>900007756</t>
        </is>
      </c>
      <c r="C346" t="inlineStr">
        <is>
          <t>DW75</t>
        </is>
      </c>
      <c r="D346" t="inlineStr">
        <is>
          <t>E674</t>
        </is>
      </c>
      <c r="E346" t="inlineStr">
        <is>
          <t>1</t>
        </is>
      </c>
      <c r="F346" t="inlineStr">
        <is>
          <t>10246797</t>
        </is>
      </c>
      <c r="H346" t="inlineStr"/>
      <c r="J346" t="n">
        <v>193.68</v>
      </c>
      <c r="K346" t="inlineStr"/>
      <c r="M346" t="inlineStr">
        <is>
          <t>TN</t>
        </is>
      </c>
      <c r="N346" t="inlineStr"/>
      <c r="P346" t="inlineStr">
        <is>
          <t>20230831</t>
        </is>
      </c>
      <c r="Q346" t="inlineStr">
        <is>
          <t>20251031</t>
        </is>
      </c>
    </row>
    <row r="347">
      <c r="A347" t="inlineStr">
        <is>
          <t>900007757DW75D06310221764</t>
        </is>
      </c>
      <c r="B347" t="inlineStr">
        <is>
          <t>900007757</t>
        </is>
      </c>
      <c r="C347" t="inlineStr">
        <is>
          <t>DW75</t>
        </is>
      </c>
      <c r="D347" t="inlineStr">
        <is>
          <t>D063</t>
        </is>
      </c>
      <c r="E347" t="inlineStr">
        <is>
          <t>1</t>
        </is>
      </c>
      <c r="F347" t="inlineStr">
        <is>
          <t>10221764</t>
        </is>
      </c>
      <c r="H347" t="inlineStr"/>
      <c r="J347" t="n">
        <v>90.09999999999999</v>
      </c>
      <c r="K347" t="inlineStr"/>
      <c r="M347" t="inlineStr">
        <is>
          <t>TN</t>
        </is>
      </c>
      <c r="N347" t="inlineStr"/>
      <c r="P347" t="inlineStr">
        <is>
          <t>20210620</t>
        </is>
      </c>
      <c r="Q347" t="inlineStr">
        <is>
          <t>20241216</t>
        </is>
      </c>
    </row>
    <row r="348">
      <c r="A348" t="inlineStr">
        <is>
          <t>900007757DW75D11210221764</t>
        </is>
      </c>
      <c r="B348" t="inlineStr">
        <is>
          <t>900007757</t>
        </is>
      </c>
      <c r="C348" t="inlineStr">
        <is>
          <t>DW75</t>
        </is>
      </c>
      <c r="D348" t="inlineStr">
        <is>
          <t>D112</t>
        </is>
      </c>
      <c r="E348" t="inlineStr">
        <is>
          <t>1</t>
        </is>
      </c>
      <c r="F348" t="inlineStr">
        <is>
          <t>10221764</t>
        </is>
      </c>
      <c r="H348" t="inlineStr"/>
      <c r="J348" t="n">
        <v>90.09999999999999</v>
      </c>
      <c r="K348" t="inlineStr"/>
      <c r="M348" t="inlineStr">
        <is>
          <t>TN</t>
        </is>
      </c>
      <c r="N348" t="inlineStr"/>
      <c r="P348" t="inlineStr">
        <is>
          <t>20210620</t>
        </is>
      </c>
      <c r="Q348" t="inlineStr">
        <is>
          <t>20241216</t>
        </is>
      </c>
    </row>
    <row r="349">
      <c r="A349" t="inlineStr">
        <is>
          <t>900007757DW75D27810221764</t>
        </is>
      </c>
      <c r="B349" t="inlineStr">
        <is>
          <t>900007757</t>
        </is>
      </c>
      <c r="C349" t="inlineStr">
        <is>
          <t>DW75</t>
        </is>
      </c>
      <c r="D349" t="inlineStr">
        <is>
          <t>D278</t>
        </is>
      </c>
      <c r="E349" t="inlineStr">
        <is>
          <t>1</t>
        </is>
      </c>
      <c r="F349" t="inlineStr">
        <is>
          <t>10221764</t>
        </is>
      </c>
      <c r="H349" t="inlineStr"/>
      <c r="J349" t="n">
        <v>70.59</v>
      </c>
      <c r="K349" t="inlineStr"/>
      <c r="M349" t="inlineStr">
        <is>
          <t>TN</t>
        </is>
      </c>
      <c r="N349" t="inlineStr"/>
      <c r="P349" t="inlineStr">
        <is>
          <t>20251212</t>
        </is>
      </c>
      <c r="Q349" t="inlineStr">
        <is>
          <t>20260215</t>
        </is>
      </c>
    </row>
    <row r="350">
      <c r="A350" t="inlineStr">
        <is>
          <t>900007757DW75D31210221764</t>
        </is>
      </c>
      <c r="B350" t="inlineStr">
        <is>
          <t>900007757</t>
        </is>
      </c>
      <c r="C350" t="inlineStr">
        <is>
          <t>DW75</t>
        </is>
      </c>
      <c r="D350" t="inlineStr">
        <is>
          <t>D312</t>
        </is>
      </c>
      <c r="E350" t="inlineStr">
        <is>
          <t>1</t>
        </is>
      </c>
      <c r="F350" t="inlineStr">
        <is>
          <t>10221764</t>
        </is>
      </c>
      <c r="H350" t="inlineStr"/>
      <c r="J350" t="n">
        <v>83.17</v>
      </c>
      <c r="K350" t="inlineStr"/>
      <c r="M350" t="inlineStr">
        <is>
          <t>TN</t>
        </is>
      </c>
      <c r="N350" t="inlineStr"/>
      <c r="P350" t="inlineStr">
        <is>
          <t>20210620</t>
        </is>
      </c>
      <c r="Q350" t="inlineStr">
        <is>
          <t>20241216</t>
        </is>
      </c>
    </row>
    <row r="351">
      <c r="A351" t="inlineStr">
        <is>
          <t>900007757DW75D32710221764</t>
        </is>
      </c>
      <c r="B351" t="inlineStr">
        <is>
          <t>900007757</t>
        </is>
      </c>
      <c r="C351" t="inlineStr">
        <is>
          <t>DW75</t>
        </is>
      </c>
      <c r="D351" t="inlineStr">
        <is>
          <t>D327</t>
        </is>
      </c>
      <c r="E351" t="inlineStr">
        <is>
          <t>1</t>
        </is>
      </c>
      <c r="F351" t="inlineStr">
        <is>
          <t>10221764</t>
        </is>
      </c>
      <c r="H351" t="inlineStr"/>
      <c r="J351" t="n">
        <v>80.05</v>
      </c>
      <c r="K351" t="inlineStr"/>
      <c r="M351" t="inlineStr">
        <is>
          <t>TN</t>
        </is>
      </c>
      <c r="N351" t="inlineStr"/>
      <c r="P351" t="inlineStr">
        <is>
          <t>20210620</t>
        </is>
      </c>
      <c r="Q351" t="inlineStr">
        <is>
          <t>20241216</t>
        </is>
      </c>
    </row>
    <row r="352">
      <c r="A352" t="inlineStr">
        <is>
          <t>900007757DW75D34310221764</t>
        </is>
      </c>
      <c r="B352" t="inlineStr">
        <is>
          <t>900007757</t>
        </is>
      </c>
      <c r="C352" t="inlineStr">
        <is>
          <t>DW75</t>
        </is>
      </c>
      <c r="D352" t="inlineStr">
        <is>
          <t>D343</t>
        </is>
      </c>
      <c r="E352" t="inlineStr">
        <is>
          <t>1</t>
        </is>
      </c>
      <c r="F352" t="inlineStr">
        <is>
          <t>10221764</t>
        </is>
      </c>
      <c r="H352" t="inlineStr"/>
      <c r="J352" t="n">
        <v>53.06</v>
      </c>
      <c r="K352" t="inlineStr"/>
      <c r="M352" t="inlineStr">
        <is>
          <t>TN</t>
        </is>
      </c>
      <c r="N352" t="inlineStr"/>
      <c r="P352" t="inlineStr">
        <is>
          <t>20260601</t>
        </is>
      </c>
      <c r="Q352" t="inlineStr">
        <is>
          <t>99991231</t>
        </is>
      </c>
    </row>
    <row r="353">
      <c r="A353" t="inlineStr">
        <is>
          <t>900007757DW75D34910221764</t>
        </is>
      </c>
      <c r="B353" t="inlineStr">
        <is>
          <t>900007757</t>
        </is>
      </c>
      <c r="C353" t="inlineStr">
        <is>
          <t>DW75</t>
        </is>
      </c>
      <c r="D353" t="inlineStr">
        <is>
          <t>D349</t>
        </is>
      </c>
      <c r="E353" t="inlineStr">
        <is>
          <t>1</t>
        </is>
      </c>
      <c r="F353" t="inlineStr">
        <is>
          <t>10221764</t>
        </is>
      </c>
      <c r="H353" t="inlineStr"/>
      <c r="J353" t="n">
        <v>106.43</v>
      </c>
      <c r="K353" t="inlineStr"/>
      <c r="M353" t="inlineStr">
        <is>
          <t>TN</t>
        </is>
      </c>
      <c r="N353" t="inlineStr"/>
      <c r="P353" t="inlineStr">
        <is>
          <t>20260601</t>
        </is>
      </c>
      <c r="Q353" t="inlineStr">
        <is>
          <t>99991231</t>
        </is>
      </c>
    </row>
    <row r="354">
      <c r="A354" t="inlineStr">
        <is>
          <t>900007757DW75D35810221764</t>
        </is>
      </c>
      <c r="B354" t="inlineStr">
        <is>
          <t>900007757</t>
        </is>
      </c>
      <c r="C354" t="inlineStr">
        <is>
          <t>DW75</t>
        </is>
      </c>
      <c r="D354" t="inlineStr">
        <is>
          <t>D358</t>
        </is>
      </c>
      <c r="E354" t="inlineStr">
        <is>
          <t>1</t>
        </is>
      </c>
      <c r="F354" t="inlineStr">
        <is>
          <t>10221764</t>
        </is>
      </c>
      <c r="H354" t="inlineStr"/>
      <c r="J354" t="n">
        <v>102.23</v>
      </c>
      <c r="K354" t="inlineStr"/>
      <c r="M354" t="inlineStr">
        <is>
          <t>TN</t>
        </is>
      </c>
      <c r="N354" t="inlineStr"/>
      <c r="P354" t="inlineStr">
        <is>
          <t>20251101</t>
        </is>
      </c>
      <c r="Q354" t="inlineStr">
        <is>
          <t>20251211</t>
        </is>
      </c>
    </row>
    <row r="355">
      <c r="A355" t="inlineStr">
        <is>
          <t>900007757DW75E67410221764</t>
        </is>
      </c>
      <c r="B355" t="inlineStr">
        <is>
          <t>900007757</t>
        </is>
      </c>
      <c r="C355" t="inlineStr">
        <is>
          <t>DW75</t>
        </is>
      </c>
      <c r="D355" t="inlineStr">
        <is>
          <t>E674</t>
        </is>
      </c>
      <c r="E355" t="inlineStr">
        <is>
          <t>1</t>
        </is>
      </c>
      <c r="F355" t="inlineStr">
        <is>
          <t>10221764</t>
        </is>
      </c>
      <c r="H355" t="inlineStr"/>
      <c r="J355" t="n">
        <v>102.23</v>
      </c>
      <c r="K355" t="inlineStr"/>
      <c r="M355" t="inlineStr">
        <is>
          <t>TN</t>
        </is>
      </c>
      <c r="N355" t="inlineStr"/>
      <c r="P355" t="inlineStr">
        <is>
          <t>20210620</t>
        </is>
      </c>
      <c r="Q355" t="inlineStr">
        <is>
          <t>20241216</t>
        </is>
      </c>
    </row>
    <row r="356">
      <c r="A356" t="inlineStr">
        <is>
          <t>900007778DW75D27810224750</t>
        </is>
      </c>
      <c r="B356" t="inlineStr">
        <is>
          <t>900007778</t>
        </is>
      </c>
      <c r="C356" t="inlineStr">
        <is>
          <t>DW75</t>
        </is>
      </c>
      <c r="D356" t="inlineStr">
        <is>
          <t>D278</t>
        </is>
      </c>
      <c r="E356" t="inlineStr">
        <is>
          <t>1</t>
        </is>
      </c>
      <c r="F356" t="inlineStr">
        <is>
          <t>10224750</t>
        </is>
      </c>
      <c r="H356" t="inlineStr"/>
      <c r="J356" t="n">
        <v>52.95</v>
      </c>
      <c r="K356" t="inlineStr"/>
      <c r="M356" t="inlineStr">
        <is>
          <t>TN</t>
        </is>
      </c>
      <c r="N356" t="inlineStr"/>
      <c r="P356" t="inlineStr">
        <is>
          <t>20210620</t>
        </is>
      </c>
      <c r="Q356" t="inlineStr">
        <is>
          <t>20241216</t>
        </is>
      </c>
    </row>
    <row r="357">
      <c r="A357" t="inlineStr">
        <is>
          <t>900007778DW75D32710224750</t>
        </is>
      </c>
      <c r="B357" t="inlineStr">
        <is>
          <t>900007778</t>
        </is>
      </c>
      <c r="C357" t="inlineStr">
        <is>
          <t>DW75</t>
        </is>
      </c>
      <c r="D357" t="inlineStr">
        <is>
          <t>D327</t>
        </is>
      </c>
      <c r="E357" t="inlineStr">
        <is>
          <t>1</t>
        </is>
      </c>
      <c r="F357" t="inlineStr">
        <is>
          <t>10224750</t>
        </is>
      </c>
      <c r="H357" t="inlineStr"/>
      <c r="J357" t="n">
        <v>63.54</v>
      </c>
      <c r="K357" t="inlineStr"/>
      <c r="M357" t="inlineStr">
        <is>
          <t>TN</t>
        </is>
      </c>
      <c r="N357" t="inlineStr"/>
      <c r="P357" t="inlineStr">
        <is>
          <t>20210620</t>
        </is>
      </c>
      <c r="Q357" t="inlineStr">
        <is>
          <t>20241216</t>
        </is>
      </c>
    </row>
    <row r="358">
      <c r="A358" t="inlineStr">
        <is>
          <t>900007778DW75D34310224750</t>
        </is>
      </c>
      <c r="B358" t="inlineStr">
        <is>
          <t>900007778</t>
        </is>
      </c>
      <c r="C358" t="inlineStr">
        <is>
          <t>DW75</t>
        </is>
      </c>
      <c r="D358" t="inlineStr">
        <is>
          <t>D343</t>
        </is>
      </c>
      <c r="E358" t="inlineStr">
        <is>
          <t>1</t>
        </is>
      </c>
      <c r="F358" t="inlineStr">
        <is>
          <t>10224750</t>
        </is>
      </c>
      <c r="H358" t="inlineStr"/>
      <c r="J358" t="n">
        <v>22.69</v>
      </c>
      <c r="K358" t="inlineStr"/>
      <c r="M358" t="inlineStr">
        <is>
          <t>TN</t>
        </is>
      </c>
      <c r="N358" t="inlineStr"/>
      <c r="P358" t="inlineStr">
        <is>
          <t>20210620</t>
        </is>
      </c>
      <c r="Q358" t="inlineStr">
        <is>
          <t>20241216</t>
        </is>
      </c>
    </row>
    <row r="359">
      <c r="A359" t="inlineStr">
        <is>
          <t>900007778DW75E67410224750</t>
        </is>
      </c>
      <c r="B359" t="inlineStr">
        <is>
          <t>900007778</t>
        </is>
      </c>
      <c r="C359" t="inlineStr">
        <is>
          <t>DW75</t>
        </is>
      </c>
      <c r="D359" t="inlineStr">
        <is>
          <t>E674</t>
        </is>
      </c>
      <c r="E359" t="inlineStr">
        <is>
          <t>1</t>
        </is>
      </c>
      <c r="F359" t="inlineStr">
        <is>
          <t>10224750</t>
        </is>
      </c>
      <c r="H359" t="inlineStr"/>
      <c r="J359" t="n">
        <v>75.7</v>
      </c>
      <c r="K359" t="inlineStr"/>
      <c r="M359" t="inlineStr">
        <is>
          <t>TN</t>
        </is>
      </c>
      <c r="N359" t="inlineStr"/>
      <c r="P359" t="inlineStr">
        <is>
          <t>20210620</t>
        </is>
      </c>
      <c r="Q359" t="inlineStr">
        <is>
          <t>20241216</t>
        </is>
      </c>
    </row>
    <row r="360">
      <c r="A360" t="inlineStr">
        <is>
          <t>900007862DW75E67410222898</t>
        </is>
      </c>
      <c r="B360" t="inlineStr">
        <is>
          <t>900007862</t>
        </is>
      </c>
      <c r="C360" t="inlineStr">
        <is>
          <t>DW75</t>
        </is>
      </c>
      <c r="D360" t="inlineStr">
        <is>
          <t>E674</t>
        </is>
      </c>
      <c r="E360" t="inlineStr">
        <is>
          <t>1</t>
        </is>
      </c>
      <c r="F360" t="inlineStr">
        <is>
          <t>10222898</t>
        </is>
      </c>
      <c r="H360" t="inlineStr"/>
      <c r="J360" t="n">
        <v>140.02</v>
      </c>
      <c r="K360" t="inlineStr"/>
      <c r="M360" t="inlineStr">
        <is>
          <t>TN</t>
        </is>
      </c>
      <c r="N360" t="inlineStr"/>
      <c r="P360" t="inlineStr">
        <is>
          <t>20210620</t>
        </is>
      </c>
      <c r="Q360" t="inlineStr">
        <is>
          <t>20241216</t>
        </is>
      </c>
    </row>
    <row r="361">
      <c r="A361" t="inlineStr">
        <is>
          <t>900007862DW75E67410222899</t>
        </is>
      </c>
      <c r="B361" t="inlineStr">
        <is>
          <t>900007862</t>
        </is>
      </c>
      <c r="C361" t="inlineStr">
        <is>
          <t>DW75</t>
        </is>
      </c>
      <c r="D361" t="inlineStr">
        <is>
          <t>E674</t>
        </is>
      </c>
      <c r="E361" t="inlineStr">
        <is>
          <t>1</t>
        </is>
      </c>
      <c r="F361" t="inlineStr">
        <is>
          <t>10222899</t>
        </is>
      </c>
      <c r="H361" t="inlineStr"/>
      <c r="J361" t="n">
        <v>142.2</v>
      </c>
      <c r="K361" t="inlineStr"/>
      <c r="M361" t="inlineStr">
        <is>
          <t>TN</t>
        </is>
      </c>
      <c r="N361" t="inlineStr"/>
      <c r="P361" t="inlineStr">
        <is>
          <t>20210620</t>
        </is>
      </c>
      <c r="Q361" t="inlineStr">
        <is>
          <t>20241216</t>
        </is>
      </c>
    </row>
    <row r="362">
      <c r="A362" t="inlineStr">
        <is>
          <t>900007862DW75EQ8610222898</t>
        </is>
      </c>
      <c r="B362" t="inlineStr">
        <is>
          <t>900007862</t>
        </is>
      </c>
      <c r="C362" t="inlineStr">
        <is>
          <t>DW75</t>
        </is>
      </c>
      <c r="D362" t="inlineStr">
        <is>
          <t>EQ86</t>
        </is>
      </c>
      <c r="E362" t="inlineStr">
        <is>
          <t>1</t>
        </is>
      </c>
      <c r="F362" t="inlineStr">
        <is>
          <t>10222898</t>
        </is>
      </c>
      <c r="H362" t="inlineStr"/>
      <c r="J362" t="n">
        <v>148.35</v>
      </c>
      <c r="K362" t="inlineStr"/>
      <c r="M362" t="inlineStr">
        <is>
          <t>TN</t>
        </is>
      </c>
      <c r="N362" t="inlineStr"/>
      <c r="P362" t="inlineStr">
        <is>
          <t>20250321</t>
        </is>
      </c>
      <c r="Q362" t="inlineStr">
        <is>
          <t>99991231</t>
        </is>
      </c>
    </row>
    <row r="363">
      <c r="A363" t="inlineStr">
        <is>
          <t>900007862DW75EQ8610222899</t>
        </is>
      </c>
      <c r="B363" t="inlineStr">
        <is>
          <t>900007862</t>
        </is>
      </c>
      <c r="C363" t="inlineStr">
        <is>
          <t>DW75</t>
        </is>
      </c>
      <c r="D363" t="inlineStr">
        <is>
          <t>EQ86</t>
        </is>
      </c>
      <c r="E363" t="inlineStr">
        <is>
          <t>1</t>
        </is>
      </c>
      <c r="F363" t="inlineStr">
        <is>
          <t>10222899</t>
        </is>
      </c>
      <c r="H363" t="inlineStr"/>
      <c r="J363" t="n">
        <v>144.33</v>
      </c>
      <c r="K363" t="inlineStr"/>
      <c r="M363" t="inlineStr">
        <is>
          <t>TN</t>
        </is>
      </c>
      <c r="N363" t="inlineStr"/>
      <c r="P363" t="inlineStr">
        <is>
          <t>20250321</t>
        </is>
      </c>
      <c r="Q363" t="inlineStr">
        <is>
          <t>99991231</t>
        </is>
      </c>
    </row>
    <row r="364">
      <c r="A364" t="inlineStr">
        <is>
          <t>900007968DW75D06310229016</t>
        </is>
      </c>
      <c r="B364" t="inlineStr">
        <is>
          <t>900007968</t>
        </is>
      </c>
      <c r="C364" t="inlineStr">
        <is>
          <t>DW75</t>
        </is>
      </c>
      <c r="D364" t="inlineStr">
        <is>
          <t>D063</t>
        </is>
      </c>
      <c r="E364" t="inlineStr">
        <is>
          <t>1</t>
        </is>
      </c>
      <c r="F364" t="inlineStr">
        <is>
          <t>10229016</t>
        </is>
      </c>
      <c r="H364" t="inlineStr"/>
      <c r="J364" t="n">
        <v>679.41</v>
      </c>
      <c r="K364" t="inlineStr"/>
      <c r="M364" t="inlineStr">
        <is>
          <t>TN</t>
        </is>
      </c>
      <c r="N364" t="inlineStr"/>
      <c r="P364" t="inlineStr">
        <is>
          <t>20230831</t>
        </is>
      </c>
      <c r="Q364" t="inlineStr">
        <is>
          <t>20251031</t>
        </is>
      </c>
    </row>
    <row r="365">
      <c r="A365" t="inlineStr">
        <is>
          <t>900007968DW75D11210229016</t>
        </is>
      </c>
      <c r="B365" t="inlineStr">
        <is>
          <t>900007968</t>
        </is>
      </c>
      <c r="C365" t="inlineStr">
        <is>
          <t>DW75</t>
        </is>
      </c>
      <c r="D365" t="inlineStr">
        <is>
          <t>D112</t>
        </is>
      </c>
      <c r="E365" t="inlineStr">
        <is>
          <t>1</t>
        </is>
      </c>
      <c r="F365" t="inlineStr">
        <is>
          <t>10229016</t>
        </is>
      </c>
      <c r="H365" t="inlineStr"/>
      <c r="J365" t="n">
        <v>679.41</v>
      </c>
      <c r="K365" t="inlineStr"/>
      <c r="M365" t="inlineStr">
        <is>
          <t>TN</t>
        </is>
      </c>
      <c r="N365" t="inlineStr"/>
      <c r="P365" t="inlineStr">
        <is>
          <t>20230831</t>
        </is>
      </c>
      <c r="Q365" t="inlineStr">
        <is>
          <t>20251031</t>
        </is>
      </c>
    </row>
    <row r="366">
      <c r="A366" t="inlineStr">
        <is>
          <t>900007968DW75D27810229016</t>
        </is>
      </c>
      <c r="B366" t="inlineStr">
        <is>
          <t>900007968</t>
        </is>
      </c>
      <c r="C366" t="inlineStr">
        <is>
          <t>DW75</t>
        </is>
      </c>
      <c r="D366" t="inlineStr">
        <is>
          <t>D278</t>
        </is>
      </c>
      <c r="E366" t="inlineStr">
        <is>
          <t>1</t>
        </is>
      </c>
      <c r="F366" t="inlineStr">
        <is>
          <t>10229016</t>
        </is>
      </c>
      <c r="H366" t="inlineStr"/>
      <c r="J366" t="n">
        <v>658.17</v>
      </c>
      <c r="K366" t="inlineStr"/>
      <c r="M366" t="inlineStr">
        <is>
          <t>TN</t>
        </is>
      </c>
      <c r="N366" t="inlineStr"/>
      <c r="P366" t="inlineStr">
        <is>
          <t>20230831</t>
        </is>
      </c>
      <c r="Q366" t="inlineStr">
        <is>
          <t>20251031</t>
        </is>
      </c>
    </row>
    <row r="367">
      <c r="A367" t="inlineStr">
        <is>
          <t>900007968DW75D34310229016</t>
        </is>
      </c>
      <c r="B367" t="inlineStr">
        <is>
          <t>900007968</t>
        </is>
      </c>
      <c r="C367" t="inlineStr">
        <is>
          <t>DW75</t>
        </is>
      </c>
      <c r="D367" t="inlineStr">
        <is>
          <t>D343</t>
        </is>
      </c>
      <c r="E367" t="inlineStr">
        <is>
          <t>1</t>
        </is>
      </c>
      <c r="F367" t="inlineStr">
        <is>
          <t>10229016</t>
        </is>
      </c>
      <c r="H367" t="inlineStr"/>
      <c r="J367" t="n">
        <v>641.1900000000001</v>
      </c>
      <c r="K367" t="inlineStr"/>
      <c r="M367" t="inlineStr">
        <is>
          <t>TN</t>
        </is>
      </c>
      <c r="N367" t="inlineStr"/>
      <c r="P367" t="inlineStr">
        <is>
          <t>20230831</t>
        </is>
      </c>
      <c r="Q367" t="inlineStr">
        <is>
          <t>20251031</t>
        </is>
      </c>
    </row>
    <row r="368">
      <c r="A368" t="inlineStr">
        <is>
          <t>900007968DW75D34910229016</t>
        </is>
      </c>
      <c r="B368" t="inlineStr">
        <is>
          <t>900007968</t>
        </is>
      </c>
      <c r="C368" t="inlineStr">
        <is>
          <t>DW75</t>
        </is>
      </c>
      <c r="D368" t="inlineStr">
        <is>
          <t>D349</t>
        </is>
      </c>
      <c r="E368" t="inlineStr">
        <is>
          <t>1</t>
        </is>
      </c>
      <c r="F368" t="inlineStr">
        <is>
          <t>10229016</t>
        </is>
      </c>
      <c r="H368" t="inlineStr"/>
      <c r="J368" t="n">
        <v>687.9</v>
      </c>
      <c r="K368" t="inlineStr"/>
      <c r="M368" t="inlineStr">
        <is>
          <t>TN</t>
        </is>
      </c>
      <c r="N368" t="inlineStr"/>
      <c r="P368" t="inlineStr">
        <is>
          <t>20230831</t>
        </is>
      </c>
      <c r="Q368" t="inlineStr">
        <is>
          <t>20251031</t>
        </is>
      </c>
    </row>
    <row r="369">
      <c r="A369" t="inlineStr">
        <is>
          <t>900008197DW75EQ8610234149</t>
        </is>
      </c>
      <c r="B369" t="inlineStr">
        <is>
          <t>900008197</t>
        </is>
      </c>
      <c r="C369" t="inlineStr">
        <is>
          <t>DW75</t>
        </is>
      </c>
      <c r="D369" t="inlineStr">
        <is>
          <t>EQ86</t>
        </is>
      </c>
      <c r="E369" t="inlineStr">
        <is>
          <t>1</t>
        </is>
      </c>
      <c r="F369" t="inlineStr">
        <is>
          <t>10234149</t>
        </is>
      </c>
      <c r="H369" t="inlineStr"/>
      <c r="J369" t="n">
        <v>72.73</v>
      </c>
      <c r="K369" t="inlineStr"/>
      <c r="M369" t="inlineStr">
        <is>
          <t>TN</t>
        </is>
      </c>
      <c r="N369" t="inlineStr"/>
      <c r="P369" t="inlineStr">
        <is>
          <t>20250321</t>
        </is>
      </c>
      <c r="Q369" t="inlineStr">
        <is>
          <t>99991231</t>
        </is>
      </c>
    </row>
    <row r="370">
      <c r="A370" t="inlineStr">
        <is>
          <t>900008197DW75EQ8610266819</t>
        </is>
      </c>
      <c r="B370" t="inlineStr">
        <is>
          <t>900008197</t>
        </is>
      </c>
      <c r="C370" t="inlineStr">
        <is>
          <t>DW75</t>
        </is>
      </c>
      <c r="D370" t="inlineStr">
        <is>
          <t>EQ86</t>
        </is>
      </c>
      <c r="E370" t="inlineStr">
        <is>
          <t>1</t>
        </is>
      </c>
      <c r="F370" t="inlineStr">
        <is>
          <t>10266819</t>
        </is>
      </c>
      <c r="H370" t="inlineStr"/>
      <c r="J370" t="n">
        <v>99.93000000000001</v>
      </c>
      <c r="K370" t="inlineStr"/>
      <c r="M370" t="inlineStr">
        <is>
          <t>TN</t>
        </is>
      </c>
      <c r="N370" t="inlineStr"/>
      <c r="P370" t="inlineStr">
        <is>
          <t>20250514</t>
        </is>
      </c>
      <c r="Q370" t="inlineStr">
        <is>
          <t>99991231</t>
        </is>
      </c>
    </row>
    <row r="371">
      <c r="A371" t="inlineStr">
        <is>
          <t>900008588DW75D06310251199</t>
        </is>
      </c>
      <c r="B371" t="inlineStr">
        <is>
          <t>900008588</t>
        </is>
      </c>
      <c r="C371" t="inlineStr">
        <is>
          <t>DW75</t>
        </is>
      </c>
      <c r="D371" t="inlineStr">
        <is>
          <t>D063</t>
        </is>
      </c>
      <c r="E371" t="inlineStr">
        <is>
          <t>1</t>
        </is>
      </c>
      <c r="F371" t="inlineStr">
        <is>
          <t>10251199</t>
        </is>
      </c>
      <c r="H371" t="inlineStr"/>
      <c r="J371" t="n">
        <v>180.66</v>
      </c>
      <c r="K371" t="inlineStr"/>
      <c r="M371" t="inlineStr">
        <is>
          <t>TN</t>
        </is>
      </c>
      <c r="N371" t="inlineStr"/>
      <c r="P371" t="inlineStr">
        <is>
          <t>20230831</t>
        </is>
      </c>
      <c r="Q371" t="inlineStr">
        <is>
          <t>20251031</t>
        </is>
      </c>
    </row>
    <row r="372">
      <c r="A372" t="inlineStr">
        <is>
          <t>900008588DW75D11210251199</t>
        </is>
      </c>
      <c r="B372" t="inlineStr">
        <is>
          <t>900008588</t>
        </is>
      </c>
      <c r="C372" t="inlineStr">
        <is>
          <t>DW75</t>
        </is>
      </c>
      <c r="D372" t="inlineStr">
        <is>
          <t>D112</t>
        </is>
      </c>
      <c r="E372" t="inlineStr">
        <is>
          <t>1</t>
        </is>
      </c>
      <c r="F372" t="inlineStr">
        <is>
          <t>10251199</t>
        </is>
      </c>
      <c r="H372" t="inlineStr"/>
      <c r="J372" t="n">
        <v>180.66</v>
      </c>
      <c r="K372" t="inlineStr"/>
      <c r="M372" t="inlineStr">
        <is>
          <t>TN</t>
        </is>
      </c>
      <c r="N372" t="inlineStr"/>
      <c r="P372" t="inlineStr">
        <is>
          <t>20230831</t>
        </is>
      </c>
      <c r="Q372" t="inlineStr">
        <is>
          <t>20251031</t>
        </is>
      </c>
    </row>
    <row r="373">
      <c r="A373" t="inlineStr">
        <is>
          <t>900008588DW75D27810251199</t>
        </is>
      </c>
      <c r="B373" t="inlineStr">
        <is>
          <t>900008588</t>
        </is>
      </c>
      <c r="C373" t="inlineStr">
        <is>
          <t>DW75</t>
        </is>
      </c>
      <c r="D373" t="inlineStr">
        <is>
          <t>D278</t>
        </is>
      </c>
      <c r="E373" t="inlineStr">
        <is>
          <t>1</t>
        </is>
      </c>
      <c r="F373" t="inlineStr">
        <is>
          <t>10251199</t>
        </is>
      </c>
      <c r="H373" t="inlineStr"/>
      <c r="J373" t="n">
        <v>237.58</v>
      </c>
      <c r="K373" t="inlineStr"/>
      <c r="M373" t="inlineStr">
        <is>
          <t>TN</t>
        </is>
      </c>
      <c r="N373" t="inlineStr"/>
      <c r="P373" t="inlineStr">
        <is>
          <t>20230831</t>
        </is>
      </c>
      <c r="Q373" t="inlineStr">
        <is>
          <t>20251031</t>
        </is>
      </c>
    </row>
    <row r="374">
      <c r="A374" t="inlineStr">
        <is>
          <t>900008588DW75D34310251199</t>
        </is>
      </c>
      <c r="B374" t="inlineStr">
        <is>
          <t>900008588</t>
        </is>
      </c>
      <c r="C374" t="inlineStr">
        <is>
          <t>DW75</t>
        </is>
      </c>
      <c r="D374" t="inlineStr">
        <is>
          <t>D343</t>
        </is>
      </c>
      <c r="E374" t="inlineStr">
        <is>
          <t>1</t>
        </is>
      </c>
      <c r="F374" t="inlineStr">
        <is>
          <t>10251199</t>
        </is>
      </c>
      <c r="H374" t="inlineStr"/>
      <c r="J374" t="n">
        <v>202.93</v>
      </c>
      <c r="K374" t="inlineStr"/>
      <c r="M374" t="inlineStr">
        <is>
          <t>TN</t>
        </is>
      </c>
      <c r="N374" t="inlineStr"/>
      <c r="P374" t="inlineStr">
        <is>
          <t>20230831</t>
        </is>
      </c>
      <c r="Q374" t="inlineStr">
        <is>
          <t>20251031</t>
        </is>
      </c>
    </row>
    <row r="375">
      <c r="A375" t="inlineStr">
        <is>
          <t>900008588DW75D34910251199</t>
        </is>
      </c>
      <c r="B375" t="inlineStr">
        <is>
          <t>900008588</t>
        </is>
      </c>
      <c r="C375" t="inlineStr">
        <is>
          <t>DW75</t>
        </is>
      </c>
      <c r="D375" t="inlineStr">
        <is>
          <t>D349</t>
        </is>
      </c>
      <c r="E375" t="inlineStr">
        <is>
          <t>1</t>
        </is>
      </c>
      <c r="F375" t="inlineStr">
        <is>
          <t>10251199</t>
        </is>
      </c>
      <c r="H375" t="inlineStr"/>
      <c r="J375" t="n">
        <v>160.86</v>
      </c>
      <c r="K375" t="inlineStr"/>
      <c r="M375" t="inlineStr">
        <is>
          <t>TN</t>
        </is>
      </c>
      <c r="N375" t="inlineStr"/>
      <c r="P375" t="inlineStr">
        <is>
          <t>20230831</t>
        </is>
      </c>
      <c r="Q375" t="inlineStr">
        <is>
          <t>20251031</t>
        </is>
      </c>
    </row>
    <row r="376">
      <c r="A376" t="inlineStr">
        <is>
          <t>900008588DW75D35810251199</t>
        </is>
      </c>
      <c r="B376" t="inlineStr">
        <is>
          <t>900008588</t>
        </is>
      </c>
      <c r="C376" t="inlineStr">
        <is>
          <t>DW75</t>
        </is>
      </c>
      <c r="D376" t="inlineStr">
        <is>
          <t>D358</t>
        </is>
      </c>
      <c r="E376" t="inlineStr">
        <is>
          <t>1</t>
        </is>
      </c>
      <c r="F376" t="inlineStr">
        <is>
          <t>10251199</t>
        </is>
      </c>
      <c r="H376" t="inlineStr"/>
      <c r="J376" t="n">
        <v>26.9</v>
      </c>
      <c r="K376" t="inlineStr"/>
      <c r="M376" t="inlineStr">
        <is>
          <t>TN</t>
        </is>
      </c>
      <c r="N376" t="inlineStr"/>
      <c r="P376" t="inlineStr">
        <is>
          <t>20260327</t>
        </is>
      </c>
      <c r="Q376" t="inlineStr">
        <is>
          <t>99991231</t>
        </is>
      </c>
    </row>
    <row r="377">
      <c r="A377" t="inlineStr">
        <is>
          <t>900008636DW75D06310251586</t>
        </is>
      </c>
      <c r="B377" t="inlineStr">
        <is>
          <t>900008636</t>
        </is>
      </c>
      <c r="C377" t="inlineStr">
        <is>
          <t>DW75</t>
        </is>
      </c>
      <c r="D377" t="inlineStr">
        <is>
          <t>D063</t>
        </is>
      </c>
      <c r="E377" t="inlineStr">
        <is>
          <t>1</t>
        </is>
      </c>
      <c r="F377" t="inlineStr">
        <is>
          <t>10251586</t>
        </is>
      </c>
      <c r="H377" t="inlineStr"/>
      <c r="J377" t="n">
        <v>347.33</v>
      </c>
      <c r="K377" t="inlineStr"/>
      <c r="M377" t="inlineStr">
        <is>
          <t>TN</t>
        </is>
      </c>
      <c r="N377" t="inlineStr"/>
      <c r="P377" t="inlineStr">
        <is>
          <t>20230831</t>
        </is>
      </c>
      <c r="Q377" t="inlineStr">
        <is>
          <t>20251031</t>
        </is>
      </c>
    </row>
    <row r="378">
      <c r="A378" t="inlineStr">
        <is>
          <t>900008636DW75D06310251587</t>
        </is>
      </c>
      <c r="B378" t="inlineStr">
        <is>
          <t>900008636</t>
        </is>
      </c>
      <c r="C378" t="inlineStr">
        <is>
          <t>DW75</t>
        </is>
      </c>
      <c r="D378" t="inlineStr">
        <is>
          <t>D063</t>
        </is>
      </c>
      <c r="E378" t="inlineStr">
        <is>
          <t>1</t>
        </is>
      </c>
      <c r="F378" t="inlineStr">
        <is>
          <t>10251587</t>
        </is>
      </c>
      <c r="H378" t="inlineStr"/>
      <c r="J378" t="n">
        <v>349.95</v>
      </c>
      <c r="K378" t="inlineStr"/>
      <c r="M378" t="inlineStr">
        <is>
          <t>TN</t>
        </is>
      </c>
      <c r="N378" t="inlineStr"/>
      <c r="P378" t="inlineStr">
        <is>
          <t>20230831</t>
        </is>
      </c>
      <c r="Q378" t="inlineStr">
        <is>
          <t>20251031</t>
        </is>
      </c>
    </row>
    <row r="379">
      <c r="A379" t="inlineStr">
        <is>
          <t>900008636DW75D11210251586</t>
        </is>
      </c>
      <c r="B379" t="inlineStr">
        <is>
          <t>900008636</t>
        </is>
      </c>
      <c r="C379" t="inlineStr">
        <is>
          <t>DW75</t>
        </is>
      </c>
      <c r="D379" t="inlineStr">
        <is>
          <t>D112</t>
        </is>
      </c>
      <c r="E379" t="inlineStr">
        <is>
          <t>1</t>
        </is>
      </c>
      <c r="F379" t="inlineStr">
        <is>
          <t>10251586</t>
        </is>
      </c>
      <c r="H379" t="inlineStr"/>
      <c r="J379" t="n">
        <v>347.33</v>
      </c>
      <c r="K379" t="inlineStr"/>
      <c r="M379" t="inlineStr">
        <is>
          <t>TN</t>
        </is>
      </c>
      <c r="N379" t="inlineStr"/>
      <c r="P379" t="inlineStr">
        <is>
          <t>20230831</t>
        </is>
      </c>
      <c r="Q379" t="inlineStr">
        <is>
          <t>20251031</t>
        </is>
      </c>
    </row>
    <row r="380">
      <c r="A380" t="inlineStr">
        <is>
          <t>900008636DW75D11210251587</t>
        </is>
      </c>
      <c r="B380" t="inlineStr">
        <is>
          <t>900008636</t>
        </is>
      </c>
      <c r="C380" t="inlineStr">
        <is>
          <t>DW75</t>
        </is>
      </c>
      <c r="D380" t="inlineStr">
        <is>
          <t>D112</t>
        </is>
      </c>
      <c r="E380" t="inlineStr">
        <is>
          <t>1</t>
        </is>
      </c>
      <c r="F380" t="inlineStr">
        <is>
          <t>10251587</t>
        </is>
      </c>
      <c r="H380" t="inlineStr"/>
      <c r="J380" t="n">
        <v>349.95</v>
      </c>
      <c r="K380" t="inlineStr"/>
      <c r="M380" t="inlineStr">
        <is>
          <t>TN</t>
        </is>
      </c>
      <c r="N380" t="inlineStr"/>
      <c r="P380" t="inlineStr">
        <is>
          <t>20230831</t>
        </is>
      </c>
      <c r="Q380" t="inlineStr">
        <is>
          <t>20251031</t>
        </is>
      </c>
    </row>
    <row r="381">
      <c r="A381" t="inlineStr">
        <is>
          <t>900008636DW75D27810251586</t>
        </is>
      </c>
      <c r="B381" t="inlineStr">
        <is>
          <t>900008636</t>
        </is>
      </c>
      <c r="C381" t="inlineStr">
        <is>
          <t>DW75</t>
        </is>
      </c>
      <c r="D381" t="inlineStr">
        <is>
          <t>D278</t>
        </is>
      </c>
      <c r="E381" t="inlineStr">
        <is>
          <t>1</t>
        </is>
      </c>
      <c r="F381" t="inlineStr">
        <is>
          <t>10251586</t>
        </is>
      </c>
      <c r="H381" t="inlineStr"/>
      <c r="J381" t="n">
        <v>407.97</v>
      </c>
      <c r="K381" t="inlineStr"/>
      <c r="M381" t="inlineStr">
        <is>
          <t>TN</t>
        </is>
      </c>
      <c r="N381" t="inlineStr"/>
      <c r="P381" t="inlineStr">
        <is>
          <t>20230831</t>
        </is>
      </c>
      <c r="Q381" t="inlineStr">
        <is>
          <t>20251031</t>
        </is>
      </c>
    </row>
    <row r="382">
      <c r="A382" t="inlineStr">
        <is>
          <t>900008636DW75D27810251587</t>
        </is>
      </c>
      <c r="B382" t="inlineStr">
        <is>
          <t>900008636</t>
        </is>
      </c>
      <c r="C382" t="inlineStr">
        <is>
          <t>DW75</t>
        </is>
      </c>
      <c r="D382" t="inlineStr">
        <is>
          <t>D278</t>
        </is>
      </c>
      <c r="E382" t="inlineStr">
        <is>
          <t>1</t>
        </is>
      </c>
      <c r="F382" t="inlineStr">
        <is>
          <t>10251587</t>
        </is>
      </c>
      <c r="H382" t="inlineStr"/>
      <c r="J382" t="n">
        <v>411.05</v>
      </c>
      <c r="K382" t="inlineStr"/>
      <c r="M382" t="inlineStr">
        <is>
          <t>TN</t>
        </is>
      </c>
      <c r="N382" t="inlineStr"/>
      <c r="P382" t="inlineStr">
        <is>
          <t>20230831</t>
        </is>
      </c>
      <c r="Q382" t="inlineStr">
        <is>
          <t>20251031</t>
        </is>
      </c>
    </row>
    <row r="383">
      <c r="A383" t="inlineStr">
        <is>
          <t>900008636DW75D34310251586</t>
        </is>
      </c>
      <c r="B383" t="inlineStr">
        <is>
          <t>900008636</t>
        </is>
      </c>
      <c r="C383" t="inlineStr">
        <is>
          <t>DW75</t>
        </is>
      </c>
      <c r="D383" t="inlineStr">
        <is>
          <t>D343</t>
        </is>
      </c>
      <c r="E383" t="inlineStr">
        <is>
          <t>1</t>
        </is>
      </c>
      <c r="F383" t="inlineStr">
        <is>
          <t>10251586</t>
        </is>
      </c>
      <c r="H383" t="inlineStr"/>
      <c r="J383" t="n">
        <v>372.13</v>
      </c>
      <c r="K383" t="inlineStr"/>
      <c r="M383" t="inlineStr">
        <is>
          <t>TN</t>
        </is>
      </c>
      <c r="N383" t="inlineStr"/>
      <c r="P383" t="inlineStr">
        <is>
          <t>20230831</t>
        </is>
      </c>
      <c r="Q383" t="inlineStr">
        <is>
          <t>20251031</t>
        </is>
      </c>
    </row>
    <row r="384">
      <c r="A384" t="inlineStr">
        <is>
          <t>900008636DW75D34310251587</t>
        </is>
      </c>
      <c r="B384" t="inlineStr">
        <is>
          <t>900008636</t>
        </is>
      </c>
      <c r="C384" t="inlineStr">
        <is>
          <t>DW75</t>
        </is>
      </c>
      <c r="D384" t="inlineStr">
        <is>
          <t>D343</t>
        </is>
      </c>
      <c r="E384" t="inlineStr">
        <is>
          <t>1</t>
        </is>
      </c>
      <c r="F384" t="inlineStr">
        <is>
          <t>10251587</t>
        </is>
      </c>
      <c r="H384" t="inlineStr"/>
      <c r="J384" t="n">
        <v>374.94</v>
      </c>
      <c r="K384" t="inlineStr"/>
      <c r="M384" t="inlineStr">
        <is>
          <t>TN</t>
        </is>
      </c>
      <c r="N384" t="inlineStr"/>
      <c r="P384" t="inlineStr">
        <is>
          <t>20230831</t>
        </is>
      </c>
      <c r="Q384" t="inlineStr">
        <is>
          <t>20251031</t>
        </is>
      </c>
    </row>
    <row r="385">
      <c r="A385" t="inlineStr">
        <is>
          <t>900008636DW75D34910251586</t>
        </is>
      </c>
      <c r="B385" t="inlineStr">
        <is>
          <t>900008636</t>
        </is>
      </c>
      <c r="C385" t="inlineStr">
        <is>
          <t>DW75</t>
        </is>
      </c>
      <c r="D385" t="inlineStr">
        <is>
          <t>D349</t>
        </is>
      </c>
      <c r="E385" t="inlineStr">
        <is>
          <t>1</t>
        </is>
      </c>
      <c r="F385" t="inlineStr">
        <is>
          <t>10251586</t>
        </is>
      </c>
      <c r="H385" t="inlineStr"/>
      <c r="J385" t="n">
        <v>328.03</v>
      </c>
      <c r="K385" t="inlineStr"/>
      <c r="M385" t="inlineStr">
        <is>
          <t>TN</t>
        </is>
      </c>
      <c r="N385" t="inlineStr"/>
      <c r="P385" t="inlineStr">
        <is>
          <t>20230831</t>
        </is>
      </c>
      <c r="Q385" t="inlineStr">
        <is>
          <t>20251031</t>
        </is>
      </c>
    </row>
    <row r="386">
      <c r="A386" t="inlineStr">
        <is>
          <t>900008636DW75D34910251587</t>
        </is>
      </c>
      <c r="B386" t="inlineStr">
        <is>
          <t>900008636</t>
        </is>
      </c>
      <c r="C386" t="inlineStr">
        <is>
          <t>DW75</t>
        </is>
      </c>
      <c r="D386" t="inlineStr">
        <is>
          <t>D349</t>
        </is>
      </c>
      <c r="E386" t="inlineStr">
        <is>
          <t>1</t>
        </is>
      </c>
      <c r="F386" t="inlineStr">
        <is>
          <t>10251587</t>
        </is>
      </c>
      <c r="H386" t="inlineStr"/>
      <c r="J386" t="n">
        <v>330.51</v>
      </c>
      <c r="K386" t="inlineStr"/>
      <c r="M386" t="inlineStr">
        <is>
          <t>TN</t>
        </is>
      </c>
      <c r="N386" t="inlineStr"/>
      <c r="P386" t="inlineStr">
        <is>
          <t>20230831</t>
        </is>
      </c>
      <c r="Q386" t="inlineStr">
        <is>
          <t>20251031</t>
        </is>
      </c>
    </row>
    <row r="387">
      <c r="A387" t="inlineStr">
        <is>
          <t>900008642DW75D34910251250</t>
        </is>
      </c>
      <c r="B387" t="inlineStr">
        <is>
          <t>900008642</t>
        </is>
      </c>
      <c r="C387" t="inlineStr">
        <is>
          <t>DW75</t>
        </is>
      </c>
      <c r="D387" t="inlineStr">
        <is>
          <t>D349</t>
        </is>
      </c>
      <c r="E387" t="inlineStr">
        <is>
          <t>4</t>
        </is>
      </c>
      <c r="F387" t="inlineStr">
        <is>
          <t>10251250</t>
        </is>
      </c>
      <c r="H387" t="inlineStr"/>
      <c r="J387" t="n">
        <v>125.64</v>
      </c>
      <c r="K387" t="inlineStr"/>
      <c r="M387" t="inlineStr">
        <is>
          <t>TN</t>
        </is>
      </c>
      <c r="N387" t="inlineStr"/>
      <c r="P387" t="inlineStr">
        <is>
          <t>20230831</t>
        </is>
      </c>
      <c r="Q387" t="inlineStr">
        <is>
          <t>20251031</t>
        </is>
      </c>
    </row>
    <row r="388">
      <c r="A388" t="inlineStr">
        <is>
          <t>900008643DW75D27810251252</t>
        </is>
      </c>
      <c r="B388" t="inlineStr">
        <is>
          <t>900008643</t>
        </is>
      </c>
      <c r="C388" t="inlineStr">
        <is>
          <t>DW75</t>
        </is>
      </c>
      <c r="D388" t="inlineStr">
        <is>
          <t>D278</t>
        </is>
      </c>
      <c r="E388" t="inlineStr">
        <is>
          <t>1</t>
        </is>
      </c>
      <c r="F388" t="inlineStr">
        <is>
          <t>10251252</t>
        </is>
      </c>
      <c r="H388" t="inlineStr"/>
      <c r="J388" t="n">
        <v>184.9</v>
      </c>
      <c r="K388" t="inlineStr"/>
      <c r="M388" t="inlineStr">
        <is>
          <t>TN</t>
        </is>
      </c>
      <c r="N388" t="inlineStr"/>
      <c r="P388" t="inlineStr">
        <is>
          <t>20240703</t>
        </is>
      </c>
      <c r="Q388" t="inlineStr">
        <is>
          <t>20260215</t>
        </is>
      </c>
    </row>
    <row r="389">
      <c r="A389" t="inlineStr">
        <is>
          <t>900008643DW75D27810252010</t>
        </is>
      </c>
      <c r="B389" t="inlineStr">
        <is>
          <t>900008643</t>
        </is>
      </c>
      <c r="C389" t="inlineStr">
        <is>
          <t>DW75</t>
        </is>
      </c>
      <c r="D389" t="inlineStr">
        <is>
          <t>D278</t>
        </is>
      </c>
      <c r="E389" t="inlineStr">
        <is>
          <t>1</t>
        </is>
      </c>
      <c r="F389" t="inlineStr">
        <is>
          <t>10252010</t>
        </is>
      </c>
      <c r="H389" t="inlineStr"/>
      <c r="J389" t="n">
        <v>221.61</v>
      </c>
      <c r="K389" t="inlineStr"/>
      <c r="M389" t="inlineStr">
        <is>
          <t>TN</t>
        </is>
      </c>
      <c r="N389" t="inlineStr"/>
      <c r="P389" t="inlineStr">
        <is>
          <t>20240703</t>
        </is>
      </c>
      <c r="Q389" t="inlineStr">
        <is>
          <t>20260215</t>
        </is>
      </c>
    </row>
    <row r="390">
      <c r="A390" t="inlineStr">
        <is>
          <t>900008643DW75D34310251252</t>
        </is>
      </c>
      <c r="B390" t="inlineStr">
        <is>
          <t>900008643</t>
        </is>
      </c>
      <c r="C390" t="inlineStr">
        <is>
          <t>DW75</t>
        </is>
      </c>
      <c r="D390" t="inlineStr">
        <is>
          <t>D343</t>
        </is>
      </c>
      <c r="E390" t="inlineStr">
        <is>
          <t>1</t>
        </is>
      </c>
      <c r="F390" t="inlineStr">
        <is>
          <t>10251252</t>
        </is>
      </c>
      <c r="H390" t="inlineStr"/>
      <c r="J390" t="n">
        <v>123.04</v>
      </c>
      <c r="K390" t="inlineStr"/>
      <c r="M390" t="inlineStr">
        <is>
          <t>TN</t>
        </is>
      </c>
      <c r="N390" t="inlineStr"/>
      <c r="P390" t="inlineStr">
        <is>
          <t>20230831</t>
        </is>
      </c>
      <c r="Q390" t="inlineStr">
        <is>
          <t>20251031</t>
        </is>
      </c>
    </row>
    <row r="391">
      <c r="A391" t="inlineStr">
        <is>
          <t>900008643DW75D34310252010</t>
        </is>
      </c>
      <c r="B391" t="inlineStr">
        <is>
          <t>900008643</t>
        </is>
      </c>
      <c r="C391" t="inlineStr">
        <is>
          <t>DW75</t>
        </is>
      </c>
      <c r="D391" t="inlineStr">
        <is>
          <t>D343</t>
        </is>
      </c>
      <c r="E391" t="inlineStr">
        <is>
          <t>1</t>
        </is>
      </c>
      <c r="F391" t="inlineStr">
        <is>
          <t>10252010</t>
        </is>
      </c>
      <c r="H391" t="inlineStr"/>
      <c r="J391" t="n">
        <v>147.46</v>
      </c>
      <c r="K391" t="inlineStr"/>
      <c r="M391" t="inlineStr">
        <is>
          <t>TN</t>
        </is>
      </c>
      <c r="N391" t="inlineStr"/>
      <c r="P391" t="inlineStr">
        <is>
          <t>20230831</t>
        </is>
      </c>
      <c r="Q391" t="inlineStr">
        <is>
          <t>20251031</t>
        </is>
      </c>
    </row>
    <row r="392">
      <c r="A392" t="inlineStr">
        <is>
          <t>900008643DW75D34910251252</t>
        </is>
      </c>
      <c r="B392" t="inlineStr">
        <is>
          <t>900008643</t>
        </is>
      </c>
      <c r="C392" t="inlineStr">
        <is>
          <t>DW75</t>
        </is>
      </c>
      <c r="D392" t="inlineStr">
        <is>
          <t>D349</t>
        </is>
      </c>
      <c r="E392" t="inlineStr">
        <is>
          <t>1</t>
        </is>
      </c>
      <c r="F392" t="inlineStr">
        <is>
          <t>10251252</t>
        </is>
      </c>
      <c r="H392" t="inlineStr"/>
      <c r="J392" t="n">
        <v>122.5</v>
      </c>
      <c r="K392" t="inlineStr"/>
      <c r="M392" t="inlineStr">
        <is>
          <t>TN</t>
        </is>
      </c>
      <c r="N392" t="inlineStr"/>
      <c r="P392" t="inlineStr">
        <is>
          <t>20240703</t>
        </is>
      </c>
      <c r="Q392" t="inlineStr">
        <is>
          <t>20260215</t>
        </is>
      </c>
    </row>
    <row r="393">
      <c r="A393" t="inlineStr">
        <is>
          <t>900008643DW75D34910252010</t>
        </is>
      </c>
      <c r="B393" t="inlineStr">
        <is>
          <t>900008643</t>
        </is>
      </c>
      <c r="C393" t="inlineStr">
        <is>
          <t>DW75</t>
        </is>
      </c>
      <c r="D393" t="inlineStr">
        <is>
          <t>D349</t>
        </is>
      </c>
      <c r="E393" t="inlineStr">
        <is>
          <t>1</t>
        </is>
      </c>
      <c r="F393" t="inlineStr">
        <is>
          <t>10252010</t>
        </is>
      </c>
      <c r="H393" t="inlineStr"/>
      <c r="J393" t="n">
        <v>146.81</v>
      </c>
      <c r="K393" t="inlineStr"/>
      <c r="M393" t="inlineStr">
        <is>
          <t>TN</t>
        </is>
      </c>
      <c r="N393" t="inlineStr"/>
      <c r="P393" t="inlineStr">
        <is>
          <t>20240703</t>
        </is>
      </c>
      <c r="Q393" t="inlineStr">
        <is>
          <t>20260215</t>
        </is>
      </c>
    </row>
    <row r="394">
      <c r="A394" t="inlineStr">
        <is>
          <t>900008644DW75D27810251252</t>
        </is>
      </c>
      <c r="B394" t="inlineStr">
        <is>
          <t>900008644</t>
        </is>
      </c>
      <c r="C394" t="inlineStr">
        <is>
          <t>DW75</t>
        </is>
      </c>
      <c r="D394" t="inlineStr">
        <is>
          <t>D278</t>
        </is>
      </c>
      <c r="E394" t="inlineStr">
        <is>
          <t>4</t>
        </is>
      </c>
      <c r="F394" t="inlineStr">
        <is>
          <t>10251252</t>
        </is>
      </c>
      <c r="H394" t="inlineStr"/>
      <c r="J394" t="n">
        <v>245.38</v>
      </c>
      <c r="K394" t="inlineStr"/>
      <c r="M394" t="inlineStr">
        <is>
          <t>TN</t>
        </is>
      </c>
      <c r="N394" t="inlineStr"/>
      <c r="P394" t="inlineStr">
        <is>
          <t>20230831</t>
        </is>
      </c>
      <c r="Q394" t="inlineStr">
        <is>
          <t>20251031</t>
        </is>
      </c>
    </row>
    <row r="395">
      <c r="A395" t="inlineStr">
        <is>
          <t>900008644DW75D27810252010</t>
        </is>
      </c>
      <c r="B395" t="inlineStr">
        <is>
          <t>900008644</t>
        </is>
      </c>
      <c r="C395" t="inlineStr">
        <is>
          <t>DW75</t>
        </is>
      </c>
      <c r="D395" t="inlineStr">
        <is>
          <t>D278</t>
        </is>
      </c>
      <c r="E395" t="inlineStr">
        <is>
          <t>4</t>
        </is>
      </c>
      <c r="F395" t="inlineStr">
        <is>
          <t>10252010</t>
        </is>
      </c>
      <c r="H395" t="inlineStr"/>
      <c r="J395" t="n">
        <v>294.09</v>
      </c>
      <c r="K395" t="inlineStr"/>
      <c r="M395" t="inlineStr">
        <is>
          <t>TN</t>
        </is>
      </c>
      <c r="N395" t="inlineStr"/>
      <c r="P395" t="inlineStr">
        <is>
          <t>20230831</t>
        </is>
      </c>
      <c r="Q395" t="inlineStr">
        <is>
          <t>20251031</t>
        </is>
      </c>
    </row>
    <row r="396">
      <c r="A396" t="inlineStr">
        <is>
          <t>900008644DW75D34310251252</t>
        </is>
      </c>
      <c r="B396" t="inlineStr">
        <is>
          <t>900008644</t>
        </is>
      </c>
      <c r="C396" t="inlineStr">
        <is>
          <t>DW75</t>
        </is>
      </c>
      <c r="D396" t="inlineStr">
        <is>
          <t>D343</t>
        </is>
      </c>
      <c r="E396" t="inlineStr">
        <is>
          <t>4</t>
        </is>
      </c>
      <c r="F396" t="inlineStr">
        <is>
          <t>10251252</t>
        </is>
      </c>
      <c r="H396" t="inlineStr"/>
      <c r="J396" t="n">
        <v>192.53</v>
      </c>
      <c r="K396" t="inlineStr"/>
      <c r="M396" t="inlineStr">
        <is>
          <t>TN</t>
        </is>
      </c>
      <c r="N396" t="inlineStr"/>
      <c r="P396" t="inlineStr">
        <is>
          <t>20230831</t>
        </is>
      </c>
      <c r="Q396" t="inlineStr">
        <is>
          <t>20251031</t>
        </is>
      </c>
    </row>
    <row r="397">
      <c r="A397" t="inlineStr">
        <is>
          <t>900008644DW75D34310252010</t>
        </is>
      </c>
      <c r="B397" t="inlineStr">
        <is>
          <t>900008644</t>
        </is>
      </c>
      <c r="C397" t="inlineStr">
        <is>
          <t>DW75</t>
        </is>
      </c>
      <c r="D397" t="inlineStr">
        <is>
          <t>D343</t>
        </is>
      </c>
      <c r="E397" t="inlineStr">
        <is>
          <t>4</t>
        </is>
      </c>
      <c r="F397" t="inlineStr">
        <is>
          <t>10252010</t>
        </is>
      </c>
      <c r="H397" t="inlineStr"/>
      <c r="J397" t="n">
        <v>230.75</v>
      </c>
      <c r="K397" t="inlineStr"/>
      <c r="M397" t="inlineStr">
        <is>
          <t>TN</t>
        </is>
      </c>
      <c r="N397" t="inlineStr"/>
      <c r="P397" t="inlineStr">
        <is>
          <t>20230831</t>
        </is>
      </c>
      <c r="Q397" t="inlineStr">
        <is>
          <t>20251031</t>
        </is>
      </c>
    </row>
    <row r="398">
      <c r="A398" t="inlineStr">
        <is>
          <t>900008644DW75D34910251252</t>
        </is>
      </c>
      <c r="B398" t="inlineStr">
        <is>
          <t>900008644</t>
        </is>
      </c>
      <c r="C398" t="inlineStr">
        <is>
          <t>DW75</t>
        </is>
      </c>
      <c r="D398" t="inlineStr">
        <is>
          <t>D349</t>
        </is>
      </c>
      <c r="E398" t="inlineStr">
        <is>
          <t>4</t>
        </is>
      </c>
      <c r="F398" t="inlineStr">
        <is>
          <t>10251252</t>
        </is>
      </c>
      <c r="H398" t="inlineStr"/>
      <c r="J398" t="n">
        <v>128.35</v>
      </c>
      <c r="K398" t="inlineStr"/>
      <c r="M398" t="inlineStr">
        <is>
          <t>TN</t>
        </is>
      </c>
      <c r="N398" t="inlineStr"/>
      <c r="P398" t="inlineStr">
        <is>
          <t>20230831</t>
        </is>
      </c>
      <c r="Q398" t="inlineStr">
        <is>
          <t>20251031</t>
        </is>
      </c>
    </row>
    <row r="399">
      <c r="A399" t="inlineStr">
        <is>
          <t>900008644DW75D34910252010</t>
        </is>
      </c>
      <c r="B399" t="inlineStr">
        <is>
          <t>900008644</t>
        </is>
      </c>
      <c r="C399" t="inlineStr">
        <is>
          <t>DW75</t>
        </is>
      </c>
      <c r="D399" t="inlineStr">
        <is>
          <t>D349</t>
        </is>
      </c>
      <c r="E399" t="inlineStr">
        <is>
          <t>4</t>
        </is>
      </c>
      <c r="F399" t="inlineStr">
        <is>
          <t>10252010</t>
        </is>
      </c>
      <c r="H399" t="inlineStr"/>
      <c r="J399" t="n">
        <v>153.83</v>
      </c>
      <c r="K399" t="inlineStr"/>
      <c r="M399" t="inlineStr">
        <is>
          <t>TN</t>
        </is>
      </c>
      <c r="N399" t="inlineStr"/>
      <c r="P399" t="inlineStr">
        <is>
          <t>20230831</t>
        </is>
      </c>
      <c r="Q399" t="inlineStr">
        <is>
          <t>20251031</t>
        </is>
      </c>
    </row>
    <row r="400">
      <c r="A400" t="inlineStr">
        <is>
          <t>900008644DW75ER0010251252</t>
        </is>
      </c>
      <c r="B400" t="inlineStr">
        <is>
          <t>900008644</t>
        </is>
      </c>
      <c r="C400" t="inlineStr">
        <is>
          <t>DW75</t>
        </is>
      </c>
      <c r="D400" t="inlineStr">
        <is>
          <t>ER00</t>
        </is>
      </c>
      <c r="E400" t="inlineStr">
        <is>
          <t>4</t>
        </is>
      </c>
      <c r="F400" t="inlineStr">
        <is>
          <t>10251252</t>
        </is>
      </c>
      <c r="H400" t="inlineStr"/>
      <c r="J400" t="n">
        <v>246.44</v>
      </c>
      <c r="K400" t="inlineStr"/>
      <c r="M400" t="inlineStr">
        <is>
          <t>TN</t>
        </is>
      </c>
      <c r="N400" t="inlineStr"/>
      <c r="P400" t="inlineStr">
        <is>
          <t>20240401</t>
        </is>
      </c>
      <c r="Q400" t="inlineStr">
        <is>
          <t>20240405</t>
        </is>
      </c>
    </row>
    <row r="401">
      <c r="A401" t="inlineStr">
        <is>
          <t>900008644DW75ER0010252010</t>
        </is>
      </c>
      <c r="B401" t="inlineStr">
        <is>
          <t>900008644</t>
        </is>
      </c>
      <c r="C401" t="inlineStr">
        <is>
          <t>DW75</t>
        </is>
      </c>
      <c r="D401" t="inlineStr">
        <is>
          <t>ER00</t>
        </is>
      </c>
      <c r="E401" t="inlineStr">
        <is>
          <t>4</t>
        </is>
      </c>
      <c r="F401" t="inlineStr">
        <is>
          <t>10252010</t>
        </is>
      </c>
      <c r="H401" t="inlineStr"/>
      <c r="J401" t="n">
        <v>319.94</v>
      </c>
      <c r="K401" t="inlineStr"/>
      <c r="M401" t="inlineStr">
        <is>
          <t>TN</t>
        </is>
      </c>
      <c r="N401" t="inlineStr"/>
      <c r="P401" t="inlineStr">
        <is>
          <t>20240401</t>
        </is>
      </c>
      <c r="Q401" t="inlineStr">
        <is>
          <t>20240405</t>
        </is>
      </c>
    </row>
    <row r="402">
      <c r="A402" t="inlineStr">
        <is>
          <t>900008652DW75D27810251252</t>
        </is>
      </c>
      <c r="B402" t="inlineStr">
        <is>
          <t>900008652</t>
        </is>
      </c>
      <c r="C402" t="inlineStr">
        <is>
          <t>DW75</t>
        </is>
      </c>
      <c r="D402" t="inlineStr">
        <is>
          <t>D278</t>
        </is>
      </c>
      <c r="E402" t="inlineStr">
        <is>
          <t>4</t>
        </is>
      </c>
      <c r="F402" t="inlineStr">
        <is>
          <t>10251252</t>
        </is>
      </c>
      <c r="H402" t="inlineStr"/>
      <c r="J402" t="n">
        <v>253.47</v>
      </c>
      <c r="K402" t="inlineStr"/>
      <c r="M402" t="inlineStr">
        <is>
          <t>TN</t>
        </is>
      </c>
      <c r="N402" t="inlineStr"/>
      <c r="P402" t="inlineStr">
        <is>
          <t>20230831</t>
        </is>
      </c>
      <c r="Q402" t="inlineStr">
        <is>
          <t>20251031</t>
        </is>
      </c>
    </row>
    <row r="403">
      <c r="A403" t="inlineStr">
        <is>
          <t>900008652DW75D27810252010</t>
        </is>
      </c>
      <c r="B403" t="inlineStr">
        <is>
          <t>900008652</t>
        </is>
      </c>
      <c r="C403" t="inlineStr">
        <is>
          <t>DW75</t>
        </is>
      </c>
      <c r="D403" t="inlineStr">
        <is>
          <t>D278</t>
        </is>
      </c>
      <c r="E403" t="inlineStr">
        <is>
          <t>4</t>
        </is>
      </c>
      <c r="F403" t="inlineStr">
        <is>
          <t>10252010</t>
        </is>
      </c>
      <c r="H403" t="inlineStr"/>
      <c r="J403" t="n">
        <v>303.79</v>
      </c>
      <c r="K403" t="inlineStr"/>
      <c r="M403" t="inlineStr">
        <is>
          <t>TN</t>
        </is>
      </c>
      <c r="N403" t="inlineStr"/>
      <c r="P403" t="inlineStr">
        <is>
          <t>20230831</t>
        </is>
      </c>
      <c r="Q403" t="inlineStr">
        <is>
          <t>20251031</t>
        </is>
      </c>
    </row>
    <row r="404">
      <c r="A404" t="inlineStr">
        <is>
          <t>900008652DW75D34310251252</t>
        </is>
      </c>
      <c r="B404" t="inlineStr">
        <is>
          <t>900008652</t>
        </is>
      </c>
      <c r="C404" t="inlineStr">
        <is>
          <t>DW75</t>
        </is>
      </c>
      <c r="D404" t="inlineStr">
        <is>
          <t>D343</t>
        </is>
      </c>
      <c r="E404" t="inlineStr">
        <is>
          <t>4</t>
        </is>
      </c>
      <c r="F404" t="inlineStr">
        <is>
          <t>10251252</t>
        </is>
      </c>
      <c r="H404" t="inlineStr"/>
      <c r="J404" t="n">
        <v>200</v>
      </c>
      <c r="K404" t="inlineStr"/>
      <c r="M404" t="inlineStr">
        <is>
          <t>TN</t>
        </is>
      </c>
      <c r="N404" t="inlineStr"/>
      <c r="P404" t="inlineStr">
        <is>
          <t>20230831</t>
        </is>
      </c>
      <c r="Q404" t="inlineStr">
        <is>
          <t>20251031</t>
        </is>
      </c>
    </row>
    <row r="405">
      <c r="A405" t="inlineStr">
        <is>
          <t>900008652DW75D34310252010</t>
        </is>
      </c>
      <c r="B405" t="inlineStr">
        <is>
          <t>900008652</t>
        </is>
      </c>
      <c r="C405" t="inlineStr">
        <is>
          <t>DW75</t>
        </is>
      </c>
      <c r="D405" t="inlineStr">
        <is>
          <t>D343</t>
        </is>
      </c>
      <c r="E405" t="inlineStr">
        <is>
          <t>4</t>
        </is>
      </c>
      <c r="F405" t="inlineStr">
        <is>
          <t>10252010</t>
        </is>
      </c>
      <c r="H405" t="inlineStr"/>
      <c r="J405" t="n">
        <v>239.7</v>
      </c>
      <c r="K405" t="inlineStr"/>
      <c r="M405" t="inlineStr">
        <is>
          <t>TN</t>
        </is>
      </c>
      <c r="N405" t="inlineStr"/>
      <c r="P405" t="inlineStr">
        <is>
          <t>20230831</t>
        </is>
      </c>
      <c r="Q405" t="inlineStr">
        <is>
          <t>20251031</t>
        </is>
      </c>
    </row>
    <row r="406">
      <c r="A406" t="inlineStr">
        <is>
          <t>900008652DW75D34910251252</t>
        </is>
      </c>
      <c r="B406" t="inlineStr">
        <is>
          <t>900008652</t>
        </is>
      </c>
      <c r="C406" t="inlineStr">
        <is>
          <t>DW75</t>
        </is>
      </c>
      <c r="D406" t="inlineStr">
        <is>
          <t>D349</t>
        </is>
      </c>
      <c r="E406" t="inlineStr">
        <is>
          <t>4</t>
        </is>
      </c>
      <c r="F406" t="inlineStr">
        <is>
          <t>10251252</t>
        </is>
      </c>
      <c r="H406" t="inlineStr"/>
      <c r="J406" t="n">
        <v>136.36</v>
      </c>
      <c r="K406" t="inlineStr"/>
      <c r="M406" t="inlineStr">
        <is>
          <t>TN</t>
        </is>
      </c>
      <c r="N406" t="inlineStr"/>
      <c r="P406" t="inlineStr">
        <is>
          <t>20230831</t>
        </is>
      </c>
      <c r="Q406" t="inlineStr">
        <is>
          <t>20251031</t>
        </is>
      </c>
    </row>
    <row r="407">
      <c r="A407" t="inlineStr">
        <is>
          <t>900008652DW75D34910252010</t>
        </is>
      </c>
      <c r="B407" t="inlineStr">
        <is>
          <t>900008652</t>
        </is>
      </c>
      <c r="C407" t="inlineStr">
        <is>
          <t>DW75</t>
        </is>
      </c>
      <c r="D407" t="inlineStr">
        <is>
          <t>D349</t>
        </is>
      </c>
      <c r="E407" t="inlineStr">
        <is>
          <t>4</t>
        </is>
      </c>
      <c r="F407" t="inlineStr">
        <is>
          <t>10252010</t>
        </is>
      </c>
      <c r="H407" t="inlineStr"/>
      <c r="J407" t="n">
        <v>163.43</v>
      </c>
      <c r="K407" t="inlineStr"/>
      <c r="M407" t="inlineStr">
        <is>
          <t>TN</t>
        </is>
      </c>
      <c r="N407" t="inlineStr"/>
      <c r="P407" t="inlineStr">
        <is>
          <t>20230831</t>
        </is>
      </c>
      <c r="Q407" t="inlineStr">
        <is>
          <t>20251031</t>
        </is>
      </c>
    </row>
    <row r="408">
      <c r="A408" t="inlineStr">
        <is>
          <t>900008654DW75D34910251250</t>
        </is>
      </c>
      <c r="B408" t="inlineStr">
        <is>
          <t>900008654</t>
        </is>
      </c>
      <c r="C408" t="inlineStr">
        <is>
          <t>DW75</t>
        </is>
      </c>
      <c r="D408" t="inlineStr">
        <is>
          <t>D349</t>
        </is>
      </c>
      <c r="E408" t="inlineStr">
        <is>
          <t>4</t>
        </is>
      </c>
      <c r="F408" t="inlineStr">
        <is>
          <t>10251250</t>
        </is>
      </c>
      <c r="H408" t="inlineStr"/>
      <c r="J408" t="n">
        <v>132.48</v>
      </c>
      <c r="K408" t="inlineStr"/>
      <c r="M408" t="inlineStr">
        <is>
          <t>TN</t>
        </is>
      </c>
      <c r="N408" t="inlineStr"/>
      <c r="P408" t="inlineStr">
        <is>
          <t>20230831</t>
        </is>
      </c>
      <c r="Q408" t="inlineStr">
        <is>
          <t>20251031</t>
        </is>
      </c>
    </row>
    <row r="409">
      <c r="A409" t="inlineStr">
        <is>
          <t>900009313DW75D34910043601</t>
        </is>
      </c>
      <c r="B409" t="inlineStr">
        <is>
          <t>900009313</t>
        </is>
      </c>
      <c r="C409" t="inlineStr">
        <is>
          <t>DW75</t>
        </is>
      </c>
      <c r="D409" t="inlineStr">
        <is>
          <t>D349</t>
        </is>
      </c>
      <c r="E409" t="inlineStr">
        <is>
          <t>4</t>
        </is>
      </c>
      <c r="F409" t="inlineStr">
        <is>
          <t>10043601</t>
        </is>
      </c>
      <c r="H409" t="inlineStr"/>
      <c r="J409" t="n">
        <v>42.55</v>
      </c>
      <c r="K409" t="inlineStr"/>
      <c r="M409" t="inlineStr">
        <is>
          <t>TN</t>
        </is>
      </c>
      <c r="N409" t="inlineStr"/>
      <c r="P409" t="inlineStr">
        <is>
          <t>20250902</t>
        </is>
      </c>
      <c r="Q409" t="inlineStr">
        <is>
          <t>20260215</t>
        </is>
      </c>
    </row>
    <row r="410">
      <c r="A410" t="inlineStr">
        <is>
          <t>900009317DW75EQ8610269225</t>
        </is>
      </c>
      <c r="B410" t="inlineStr">
        <is>
          <t>900009317</t>
        </is>
      </c>
      <c r="C410" t="inlineStr">
        <is>
          <t>DW75</t>
        </is>
      </c>
      <c r="D410" t="inlineStr">
        <is>
          <t>EQ86</t>
        </is>
      </c>
      <c r="E410" t="inlineStr">
        <is>
          <t>1</t>
        </is>
      </c>
      <c r="F410" t="inlineStr">
        <is>
          <t>10269225</t>
        </is>
      </c>
      <c r="H410" t="inlineStr"/>
      <c r="J410" t="n">
        <v>62.84</v>
      </c>
      <c r="K410" t="inlineStr"/>
      <c r="M410" t="inlineStr">
        <is>
          <t>TN</t>
        </is>
      </c>
      <c r="N410" t="inlineStr"/>
      <c r="P410" t="inlineStr">
        <is>
          <t>20260601</t>
        </is>
      </c>
      <c r="Q410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900008644DW75D34910252010</t>
        </is>
      </c>
      <c r="B2" t="inlineStr">
        <is>
          <t>4600068853-20</t>
        </is>
      </c>
      <c r="C2" t="n">
        <v>4600068853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900008644</v>
      </c>
      <c r="H2" t="inlineStr">
        <is>
          <t>SF TC-ED CGC JABALI PLAYA</t>
        </is>
      </c>
      <c r="I2" t="n">
        <v>5092440</v>
      </c>
      <c r="J2" t="inlineStr">
        <is>
          <t>FERNANDEZ HERNANDEZ YURI HERNAN</t>
        </is>
      </c>
      <c r="K2" t="inlineStr">
        <is>
          <t>Z06</t>
        </is>
      </c>
      <c r="L2" t="inlineStr">
        <is>
          <t>(AP) 45 Dias</t>
        </is>
      </c>
      <c r="M2" t="n">
        <v>10252010</v>
      </c>
      <c r="N2" t="inlineStr">
        <is>
          <t>GRAVA TRIT CALIZA 20MM 3/4" - I JABALI P</t>
        </is>
      </c>
      <c r="O2" t="inlineStr">
        <is>
          <t>DW75</t>
        </is>
      </c>
      <c r="P2" t="inlineStr">
        <is>
          <t>MX-CED. Q. ROO NORTE</t>
        </is>
      </c>
      <c r="Q2" t="n">
        <v>20231130</v>
      </c>
      <c r="R2" t="n">
        <v>20281231</v>
      </c>
      <c r="S2" t="n">
        <v>20240625</v>
      </c>
      <c r="T2" t="n">
        <v>20291231</v>
      </c>
      <c r="U2" t="n">
        <v>576.6</v>
      </c>
      <c r="V2" t="inlineStr">
        <is>
          <t>MXN</t>
        </is>
      </c>
      <c r="W2" t="inlineStr">
        <is>
          <t>M3</t>
        </is>
      </c>
      <c r="X2" t="n">
        <v>166.6</v>
      </c>
      <c r="Y2" t="inlineStr">
        <is>
          <t>MXN</t>
        </is>
      </c>
      <c r="Z2" t="inlineStr">
        <is>
          <t>M3</t>
        </is>
      </c>
      <c r="AA2" t="inlineStr">
        <is>
          <t>D349</t>
        </is>
      </c>
      <c r="AB2" t="inlineStr">
        <is>
          <t>PD0300 PETEMPICH</t>
        </is>
      </c>
      <c r="AC2" t="n">
        <v>56103637</v>
      </c>
      <c r="AD2" t="n">
        <v>6644321540</v>
      </c>
      <c r="AE2" t="n">
        <v>4</v>
      </c>
      <c r="AF2" t="inlineStr">
        <is>
          <t>ENTREGA DIRECTA</t>
        </is>
      </c>
      <c r="AG2" t="n">
        <v>1.083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20240625</v>
      </c>
      <c r="AM2" t="inlineStr">
        <is>
          <t>DW75-900008644-D349-10252010-4</t>
        </is>
      </c>
    </row>
    <row r="3">
      <c r="A3" t="inlineStr">
        <is>
          <t>900008644DW75D27810252010</t>
        </is>
      </c>
      <c r="B3" t="inlineStr">
        <is>
          <t>4600068853-30</t>
        </is>
      </c>
      <c r="C3" t="n">
        <v>4600068853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900008644</v>
      </c>
      <c r="H3" t="inlineStr">
        <is>
          <t>SF TC-ED CGC JABALI PLAYA</t>
        </is>
      </c>
      <c r="I3" t="n">
        <v>5092440</v>
      </c>
      <c r="J3" t="inlineStr">
        <is>
          <t>FERNANDEZ HERNANDEZ YURI HERNAN</t>
        </is>
      </c>
      <c r="K3" t="inlineStr">
        <is>
          <t>Z06</t>
        </is>
      </c>
      <c r="L3" t="inlineStr">
        <is>
          <t>(AP) 45 Dias</t>
        </is>
      </c>
      <c r="M3" t="n">
        <v>10252010</v>
      </c>
      <c r="N3" t="inlineStr">
        <is>
          <t>GRAVA TRIT CALIZA 20MM 3/4" - I JABALI P</t>
        </is>
      </c>
      <c r="O3" t="inlineStr">
        <is>
          <t>DW75</t>
        </is>
      </c>
      <c r="P3" t="inlineStr">
        <is>
          <t>MX-CED. Q. ROO NORTE</t>
        </is>
      </c>
      <c r="Q3" t="n">
        <v>20231130</v>
      </c>
      <c r="R3" t="n">
        <v>20281231</v>
      </c>
      <c r="S3" t="n">
        <v>20240625</v>
      </c>
      <c r="T3" t="n">
        <v>20291231</v>
      </c>
      <c r="U3" t="n">
        <v>728.5</v>
      </c>
      <c r="V3" t="inlineStr">
        <is>
          <t>MXN</t>
        </is>
      </c>
      <c r="W3" t="inlineStr">
        <is>
          <t>M3</t>
        </is>
      </c>
      <c r="X3" t="n">
        <v>318.5</v>
      </c>
      <c r="Y3" t="inlineStr">
        <is>
          <t>MXN</t>
        </is>
      </c>
      <c r="Z3" t="inlineStr">
        <is>
          <t>M3</t>
        </is>
      </c>
      <c r="AA3" t="inlineStr">
        <is>
          <t>D278</t>
        </is>
      </c>
      <c r="AB3" t="inlineStr">
        <is>
          <t>PD055 CANCUN</t>
        </is>
      </c>
      <c r="AC3" t="n">
        <v>56103637</v>
      </c>
      <c r="AD3" t="n">
        <v>6644321540</v>
      </c>
      <c r="AE3" t="n">
        <v>4</v>
      </c>
      <c r="AF3" t="inlineStr">
        <is>
          <t>ENTREGA DIRECTA</t>
        </is>
      </c>
      <c r="AG3" t="n">
        <v>1.083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20240625</v>
      </c>
      <c r="AM3" t="inlineStr">
        <is>
          <t>DW75-900008644-D278-10252010-4</t>
        </is>
      </c>
    </row>
    <row r="4">
      <c r="A4" t="inlineStr">
        <is>
          <t>900008644DW75D34310252010</t>
        </is>
      </c>
      <c r="B4" t="inlineStr">
        <is>
          <t>4600068853-50</t>
        </is>
      </c>
      <c r="C4" t="n">
        <v>4600068853</v>
      </c>
      <c r="D4" t="n">
        <v>50</v>
      </c>
      <c r="E4" t="inlineStr">
        <is>
          <t>MXPO</t>
        </is>
      </c>
      <c r="F4" t="inlineStr">
        <is>
          <t>MXL</t>
        </is>
      </c>
      <c r="G4" t="n">
        <v>900008644</v>
      </c>
      <c r="H4" t="inlineStr">
        <is>
          <t>SF TC-ED CGC JABALI PLAYA</t>
        </is>
      </c>
      <c r="I4" t="n">
        <v>5092440</v>
      </c>
      <c r="J4" t="inlineStr">
        <is>
          <t>FERNANDEZ HERNANDEZ YURI HERNAN</t>
        </is>
      </c>
      <c r="K4" t="inlineStr">
        <is>
          <t>Z06</t>
        </is>
      </c>
      <c r="L4" t="inlineStr">
        <is>
          <t>(AP) 45 Dias</t>
        </is>
      </c>
      <c r="M4" t="n">
        <v>10252010</v>
      </c>
      <c r="N4" t="inlineStr">
        <is>
          <t>GRAVA TRIT CALIZA 20MM 3/4" - I JABALI P</t>
        </is>
      </c>
      <c r="O4" t="inlineStr">
        <is>
          <t>DW75</t>
        </is>
      </c>
      <c r="P4" t="inlineStr">
        <is>
          <t>MX-CED. Q. ROO NORTE</t>
        </is>
      </c>
      <c r="Q4" t="n">
        <v>20231130</v>
      </c>
      <c r="R4" t="n">
        <v>20281231</v>
      </c>
      <c r="S4" t="n">
        <v>20240625</v>
      </c>
      <c r="T4" t="n">
        <v>20291231</v>
      </c>
      <c r="U4" t="n">
        <v>659.9</v>
      </c>
      <c r="V4" t="inlineStr">
        <is>
          <t>MXN</t>
        </is>
      </c>
      <c r="W4" t="inlineStr">
        <is>
          <t>M3</t>
        </is>
      </c>
      <c r="X4" t="n">
        <v>249.9</v>
      </c>
      <c r="Y4" t="inlineStr">
        <is>
          <t>MXN</t>
        </is>
      </c>
      <c r="Z4" t="inlineStr">
        <is>
          <t>M3</t>
        </is>
      </c>
      <c r="AA4" t="inlineStr">
        <is>
          <t>D343</t>
        </is>
      </c>
      <c r="AB4" t="inlineStr">
        <is>
          <t>PD0270 RIVIERA MAYA</t>
        </is>
      </c>
      <c r="AC4" t="n">
        <v>56103637</v>
      </c>
      <c r="AD4" t="n">
        <v>6644321540</v>
      </c>
      <c r="AE4" t="n">
        <v>4</v>
      </c>
      <c r="AF4" t="inlineStr">
        <is>
          <t>ENTREGA DIRECTA</t>
        </is>
      </c>
      <c r="AG4" t="n">
        <v>1.083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20240625</v>
      </c>
      <c r="AM4" t="inlineStr">
        <is>
          <t>DW75-900008644-D343-10252010-4</t>
        </is>
      </c>
    </row>
    <row r="5">
      <c r="A5" t="inlineStr">
        <is>
          <t>900008652DW75D34910252010</t>
        </is>
      </c>
      <c r="B5" t="inlineStr">
        <is>
          <t>4600068855-20</t>
        </is>
      </c>
      <c r="C5" t="n">
        <v>4600068855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900008652</v>
      </c>
      <c r="H5" t="inlineStr">
        <is>
          <t>SF TC-ED IFLORES JABALI PLAYA</t>
        </is>
      </c>
      <c r="I5" t="n">
        <v>5005320</v>
      </c>
      <c r="J5" t="inlineStr">
        <is>
          <t>FLORES CAUICH ISMAEL</t>
        </is>
      </c>
      <c r="K5" t="inlineStr">
        <is>
          <t>N90</t>
        </is>
      </c>
      <c r="L5" t="inlineStr">
        <is>
          <t>(AP) NAFIN 90 Dias</t>
        </is>
      </c>
      <c r="M5" t="n">
        <v>10252010</v>
      </c>
      <c r="N5" t="inlineStr">
        <is>
          <t>GRAVA TRIT CALIZA 20MM 3/4" - I JABALI P</t>
        </is>
      </c>
      <c r="O5" t="inlineStr">
        <is>
          <t>DW75</t>
        </is>
      </c>
      <c r="P5" t="inlineStr">
        <is>
          <t>MX-CED. Q. ROO NORTE</t>
        </is>
      </c>
      <c r="Q5" t="n">
        <v>20231130</v>
      </c>
      <c r="R5" t="n">
        <v>20281231</v>
      </c>
      <c r="S5" t="n">
        <v>20231214</v>
      </c>
      <c r="T5" t="n">
        <v>20281231</v>
      </c>
      <c r="U5" t="n">
        <v>745</v>
      </c>
      <c r="V5" t="inlineStr">
        <is>
          <t>MXN</t>
        </is>
      </c>
      <c r="W5" t="inlineStr">
        <is>
          <t>M3</t>
        </is>
      </c>
      <c r="X5" t="n">
        <v>177</v>
      </c>
      <c r="Y5" t="inlineStr">
        <is>
          <t>MXN</t>
        </is>
      </c>
      <c r="Z5" t="inlineStr">
        <is>
          <t>M3</t>
        </is>
      </c>
      <c r="AA5" t="inlineStr">
        <is>
          <t>D349</t>
        </is>
      </c>
      <c r="AB5" t="inlineStr">
        <is>
          <t>PD0300 PETEMPICH</t>
        </is>
      </c>
      <c r="AC5" t="n">
        <v>56103637</v>
      </c>
      <c r="AD5" t="n">
        <v>6644321540</v>
      </c>
      <c r="AE5" t="n">
        <v>4</v>
      </c>
      <c r="AF5" t="inlineStr">
        <is>
          <t>ENTREGA DIRECTA</t>
        </is>
      </c>
      <c r="AG5" t="n">
        <v>1.083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20231214</v>
      </c>
      <c r="AM5" t="inlineStr">
        <is>
          <t>DW75-900008652-D349-10252010-4</t>
        </is>
      </c>
    </row>
    <row r="6">
      <c r="A6" t="inlineStr">
        <is>
          <t>900007862DW7510222899</t>
        </is>
      </c>
      <c r="B6" t="inlineStr">
        <is>
          <t>4600056560-20</t>
        </is>
      </c>
      <c r="C6" t="n">
        <v>4600056560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900007862</v>
      </c>
      <c r="H6" t="inlineStr">
        <is>
          <t>SF TC_MOSECA_INFRA</t>
        </is>
      </c>
      <c r="I6" t="n">
        <v>5046324</v>
      </c>
      <c r="J6" t="inlineStr">
        <is>
          <t>MORTEROS SECOS DEL CARIBE SA DE CV</t>
        </is>
      </c>
      <c r="K6" t="inlineStr">
        <is>
          <t>Z06</t>
        </is>
      </c>
      <c r="L6" t="inlineStr">
        <is>
          <t>(AP) 45 Dias</t>
        </is>
      </c>
      <c r="M6" t="n">
        <v>10222899</v>
      </c>
      <c r="N6" t="inlineStr">
        <is>
          <t>GRAVA TRITURADA CALIZA 20 MM - 3/4"</t>
        </is>
      </c>
      <c r="O6" t="inlineStr">
        <is>
          <t>DW75</t>
        </is>
      </c>
      <c r="P6" t="inlineStr">
        <is>
          <t>MX-CED. Q. ROO NORTE</t>
        </is>
      </c>
      <c r="Q6" t="n">
        <v>20230215</v>
      </c>
      <c r="R6" t="n">
        <v>20281231</v>
      </c>
      <c r="S6" t="n">
        <v>20250611</v>
      </c>
      <c r="T6" t="n">
        <v>20301231</v>
      </c>
      <c r="U6" t="n">
        <v>285.22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6644321540</v>
      </c>
      <c r="AE6" t="n">
        <v>1</v>
      </c>
      <c r="AF6" t="inlineStr">
        <is>
          <t>ENTREGADO</t>
        </is>
      </c>
      <c r="AG6" t="n">
        <v>1.218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20250618</v>
      </c>
      <c r="AM6" t="inlineStr">
        <is>
          <t>DW75-900007862-10222899</t>
        </is>
      </c>
    </row>
    <row r="7">
      <c r="A7" t="inlineStr">
        <is>
          <t>900006554DW75D34910147933</t>
        </is>
      </c>
      <c r="B7" t="inlineStr">
        <is>
          <t>4600050647-80</t>
        </is>
      </c>
      <c r="C7" t="n">
        <v>4600050647</v>
      </c>
      <c r="D7" t="n">
        <v>80</v>
      </c>
      <c r="E7" t="inlineStr">
        <is>
          <t>MXPO</t>
        </is>
      </c>
      <c r="F7" t="inlineStr">
        <is>
          <t>MXL</t>
        </is>
      </c>
      <c r="G7" t="n">
        <v>900006554</v>
      </c>
      <c r="H7" t="inlineStr">
        <is>
          <t>TC-ED- MOSECA</t>
        </is>
      </c>
      <c r="I7" t="n">
        <v>5046324</v>
      </c>
      <c r="J7" t="inlineStr">
        <is>
          <t>MORTEROS SECOS DEL CARIBE SA DE CV</t>
        </is>
      </c>
      <c r="K7" t="inlineStr">
        <is>
          <t>Z06</t>
        </is>
      </c>
      <c r="L7" t="inlineStr">
        <is>
          <t>(AP) 45 Dias</t>
        </is>
      </c>
      <c r="M7" t="n">
        <v>10147933</v>
      </c>
      <c r="N7" t="inlineStr">
        <is>
          <t>ARENA TRITURADA CALIZA MALLA 4 LAVADO</t>
        </is>
      </c>
      <c r="O7" t="inlineStr">
        <is>
          <t>DW75</t>
        </is>
      </c>
      <c r="P7" t="inlineStr">
        <is>
          <t>MX-CED. Q. ROO NORTE</t>
        </is>
      </c>
      <c r="Q7" t="n">
        <v>20210712</v>
      </c>
      <c r="R7" t="n">
        <v>20291231</v>
      </c>
      <c r="S7" t="n">
        <v>20250611</v>
      </c>
      <c r="T7" t="n">
        <v>20301231</v>
      </c>
      <c r="U7" t="n">
        <v>465.67</v>
      </c>
      <c r="V7" t="inlineStr">
        <is>
          <t>MXN</t>
        </is>
      </c>
      <c r="W7" t="inlineStr">
        <is>
          <t>M3</t>
        </is>
      </c>
      <c r="X7" t="n">
        <v>125.28</v>
      </c>
      <c r="Y7" t="inlineStr">
        <is>
          <t>MXN</t>
        </is>
      </c>
      <c r="Z7" t="inlineStr">
        <is>
          <t>M3</t>
        </is>
      </c>
      <c r="AA7" t="inlineStr">
        <is>
          <t>D349</t>
        </is>
      </c>
      <c r="AB7" t="inlineStr">
        <is>
          <t>PD0300 PETEMPICH</t>
        </is>
      </c>
      <c r="AC7" t="n">
        <v>56103638</v>
      </c>
      <c r="AD7" t="n">
        <v>6644321540</v>
      </c>
      <c r="AE7" t="n">
        <v>4</v>
      </c>
      <c r="AF7" t="inlineStr">
        <is>
          <t>ENTREGA DIRECTA</t>
        </is>
      </c>
      <c r="AG7" t="n">
        <v>1.376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20250618</v>
      </c>
      <c r="AM7" t="inlineStr">
        <is>
          <t>DW75-900006554-D349-10147933-4</t>
        </is>
      </c>
    </row>
    <row r="8">
      <c r="A8" t="inlineStr">
        <is>
          <t>900006554DW75D34310151191</t>
        </is>
      </c>
      <c r="B8" t="inlineStr">
        <is>
          <t>4600050647-30</t>
        </is>
      </c>
      <c r="C8" t="n">
        <v>4600050647</v>
      </c>
      <c r="D8" t="n">
        <v>30</v>
      </c>
      <c r="E8" t="inlineStr">
        <is>
          <t>MXPO</t>
        </is>
      </c>
      <c r="F8" t="inlineStr">
        <is>
          <t>MXL</t>
        </is>
      </c>
      <c r="G8" t="n">
        <v>900006554</v>
      </c>
      <c r="H8" t="inlineStr">
        <is>
          <t>TC-ED- MOSECA</t>
        </is>
      </c>
      <c r="I8" t="n">
        <v>5046324</v>
      </c>
      <c r="J8" t="inlineStr">
        <is>
          <t>MORTEROS SECOS DEL CARIBE SA DE CV</t>
        </is>
      </c>
      <c r="K8" t="inlineStr">
        <is>
          <t>Z06</t>
        </is>
      </c>
      <c r="L8" t="inlineStr">
        <is>
          <t>(AP) 45 Dias</t>
        </is>
      </c>
      <c r="M8" t="n">
        <v>10151191</v>
      </c>
      <c r="N8" t="inlineStr">
        <is>
          <t xml:space="preserve">GRAVA TRITURADA CALIZA 40MM 1 ½” </t>
        </is>
      </c>
      <c r="O8" t="inlineStr">
        <is>
          <t>DW75</t>
        </is>
      </c>
      <c r="P8" t="inlineStr">
        <is>
          <t>MX-CED. Q. ROO NORTE</t>
        </is>
      </c>
      <c r="Q8" t="n">
        <v>20210712</v>
      </c>
      <c r="R8" t="n">
        <v>20291231</v>
      </c>
      <c r="S8" t="n">
        <v>20250611</v>
      </c>
      <c r="T8" t="n">
        <v>20301231</v>
      </c>
      <c r="U8" t="n">
        <v>344.73</v>
      </c>
      <c r="V8" t="inlineStr">
        <is>
          <t>MXN</t>
        </is>
      </c>
      <c r="W8" t="inlineStr">
        <is>
          <t>M3</t>
        </is>
      </c>
      <c r="X8" t="n">
        <v>59.51</v>
      </c>
      <c r="Y8" t="inlineStr">
        <is>
          <t>MXN</t>
        </is>
      </c>
      <c r="Z8" t="inlineStr">
        <is>
          <t>M3</t>
        </is>
      </c>
      <c r="AA8" t="inlineStr">
        <is>
          <t>D343</t>
        </is>
      </c>
      <c r="AB8" t="inlineStr">
        <is>
          <t>PD0270 RIVIERA MAYA</t>
        </is>
      </c>
      <c r="AC8" t="n">
        <v>56103637</v>
      </c>
      <c r="AD8" t="n">
        <v>6644321540</v>
      </c>
      <c r="AE8" t="n">
        <v>4</v>
      </c>
      <c r="AF8" t="inlineStr">
        <is>
          <t>ENTREGA DIRECTA</t>
        </is>
      </c>
      <c r="AG8" t="n">
        <v>1.287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20250618</v>
      </c>
      <c r="AM8" t="inlineStr">
        <is>
          <t>DW75-900006554-D343-10151191-4</t>
        </is>
      </c>
    </row>
    <row r="9">
      <c r="A9" t="inlineStr">
        <is>
          <t>900002370DW7510151191</t>
        </is>
      </c>
      <c r="B9" t="inlineStr">
        <is>
          <t>4600050628-60</t>
        </is>
      </c>
      <c r="C9" t="n">
        <v>4600050628</v>
      </c>
      <c r="D9" t="n">
        <v>60</v>
      </c>
      <c r="E9" t="inlineStr">
        <is>
          <t>MXPO</t>
        </is>
      </c>
      <c r="F9" t="inlineStr">
        <is>
          <t>MXL</t>
        </is>
      </c>
      <c r="G9" t="n">
        <v>900002370</v>
      </c>
      <c r="H9" t="inlineStr">
        <is>
          <t>TC-MOSECA</t>
        </is>
      </c>
      <c r="I9" t="n">
        <v>5046324</v>
      </c>
      <c r="J9" t="inlineStr">
        <is>
          <t>MORTEROS SECOS DEL CARIBE SA DE CV</t>
        </is>
      </c>
      <c r="K9" t="inlineStr">
        <is>
          <t>Z06</t>
        </is>
      </c>
      <c r="L9" t="inlineStr">
        <is>
          <t>(AP) 45 Dias</t>
        </is>
      </c>
      <c r="M9" t="n">
        <v>10151191</v>
      </c>
      <c r="N9" t="inlineStr">
        <is>
          <t xml:space="preserve">GRAVA TRITURADA CALIZA 40MM 1 ½” </t>
        </is>
      </c>
      <c r="O9" t="inlineStr">
        <is>
          <t>DW75</t>
        </is>
      </c>
      <c r="P9" t="inlineStr">
        <is>
          <t>MX-CED. Q. ROO NORTE</t>
        </is>
      </c>
      <c r="Q9" t="n">
        <v>20210712</v>
      </c>
      <c r="R9" t="n">
        <v>20291231</v>
      </c>
      <c r="S9" t="n">
        <v>20250611</v>
      </c>
      <c r="T9" t="n">
        <v>20301231</v>
      </c>
      <c r="U9" t="n">
        <v>285.22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6644321540</v>
      </c>
      <c r="AE9" t="n">
        <v>1</v>
      </c>
      <c r="AF9" t="inlineStr">
        <is>
          <t>ENTREGADO</t>
        </is>
      </c>
      <c r="AG9" t="n">
        <v>1.287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20250618</v>
      </c>
      <c r="AM9" t="inlineStr">
        <is>
          <t>DW75-900002370-10151191</t>
        </is>
      </c>
    </row>
    <row r="10">
      <c r="A10" t="inlineStr">
        <is>
          <t>900009317DW7510269225</t>
        </is>
      </c>
      <c r="B10" t="inlineStr">
        <is>
          <t>4600071502-10</t>
        </is>
      </c>
      <c r="C10" t="n">
        <v>4600071502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900009317</v>
      </c>
      <c r="H10" t="inlineStr">
        <is>
          <t>SF TC-DELTA INFRA</t>
        </is>
      </c>
      <c r="I10" t="n">
        <v>5001811</v>
      </c>
      <c r="J10" t="inlineStr">
        <is>
          <t>DELTA PREMEZCLADO SA DE CV</t>
        </is>
      </c>
      <c r="K10" t="inlineStr">
        <is>
          <t>N90</t>
        </is>
      </c>
      <c r="L10" t="inlineStr">
        <is>
          <t>(AP) NAFIN 90 Dias</t>
        </is>
      </c>
      <c r="M10" t="n">
        <v>10269225</v>
      </c>
      <c r="N10" t="inlineStr">
        <is>
          <t>MP ARENA CALIZA LAVADA MALLA 4 - DELTA I</t>
        </is>
      </c>
      <c r="O10" t="inlineStr">
        <is>
          <t>DW75</t>
        </is>
      </c>
      <c r="P10" t="inlineStr">
        <is>
          <t>MX-CED. Q. ROO NORTE</t>
        </is>
      </c>
      <c r="Q10" t="n">
        <v>20250802</v>
      </c>
      <c r="R10" t="n">
        <v>20301231</v>
      </c>
      <c r="S10" t="n">
        <v>20250802</v>
      </c>
      <c r="T10" t="n">
        <v>20301231</v>
      </c>
      <c r="U10" t="n">
        <v>480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6644321540</v>
      </c>
      <c r="AE10" t="n">
        <v>1</v>
      </c>
      <c r="AF10" t="inlineStr">
        <is>
          <t>ENTREGADO</t>
        </is>
      </c>
      <c r="AG10" t="n">
        <v>1.186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20250807</v>
      </c>
      <c r="AM10" t="inlineStr">
        <is>
          <t>DW75-900009317-10269225</t>
        </is>
      </c>
    </row>
    <row r="11">
      <c r="A11" t="inlineStr">
        <is>
          <t>900002370DW7510043601</t>
        </is>
      </c>
      <c r="B11" t="inlineStr">
        <is>
          <t>4600050628-20</t>
        </is>
      </c>
      <c r="C11" t="n">
        <v>4600050628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900002370</v>
      </c>
      <c r="H11" t="inlineStr">
        <is>
          <t>TC-MOSECA</t>
        </is>
      </c>
      <c r="I11" t="n">
        <v>5046324</v>
      </c>
      <c r="J11" t="inlineStr">
        <is>
          <t>MORTEROS SECOS DEL CARIBE SA DE CV</t>
        </is>
      </c>
      <c r="K11" t="inlineStr">
        <is>
          <t>Z06</t>
        </is>
      </c>
      <c r="L11" t="inlineStr">
        <is>
          <t>(AP) 45 Dias</t>
        </is>
      </c>
      <c r="M11" t="n">
        <v>10043601</v>
      </c>
      <c r="N11" t="inlineStr">
        <is>
          <t>Grava Triturada Caliza 20 mm - 3/4"</t>
        </is>
      </c>
      <c r="O11" t="inlineStr">
        <is>
          <t>DW75</t>
        </is>
      </c>
      <c r="P11" t="inlineStr">
        <is>
          <t>MX-CED. Q. ROO NORTE</t>
        </is>
      </c>
      <c r="Q11" t="n">
        <v>20210712</v>
      </c>
      <c r="R11" t="n">
        <v>20291231</v>
      </c>
      <c r="S11" t="n">
        <v>20250611</v>
      </c>
      <c r="T11" t="n">
        <v>20301231</v>
      </c>
      <c r="U11" t="n">
        <v>285.22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6644321540</v>
      </c>
      <c r="AE11" t="n">
        <v>1</v>
      </c>
      <c r="AF11" t="inlineStr">
        <is>
          <t>ENTREGADO</t>
        </is>
      </c>
      <c r="AG11" t="n">
        <v>1.175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20250618</v>
      </c>
      <c r="AM11" t="inlineStr">
        <is>
          <t>DW75-900002370-10043601</t>
        </is>
      </c>
    </row>
    <row r="12">
      <c r="A12" t="inlineStr">
        <is>
          <t>900006554DW75D34310043601</t>
        </is>
      </c>
      <c r="B12" t="inlineStr">
        <is>
          <t>4600050647-460</t>
        </is>
      </c>
      <c r="C12" t="n">
        <v>4600050647</v>
      </c>
      <c r="D12" t="n">
        <v>460</v>
      </c>
      <c r="E12" t="inlineStr">
        <is>
          <t>MXPO</t>
        </is>
      </c>
      <c r="F12" t="inlineStr">
        <is>
          <t>MXL</t>
        </is>
      </c>
      <c r="G12" t="n">
        <v>900006554</v>
      </c>
      <c r="H12" t="inlineStr">
        <is>
          <t>TC-ED- MOSECA</t>
        </is>
      </c>
      <c r="I12" t="n">
        <v>5046324</v>
      </c>
      <c r="J12" t="inlineStr">
        <is>
          <t>MORTEROS SECOS DEL CARIBE SA DE CV</t>
        </is>
      </c>
      <c r="K12" t="inlineStr">
        <is>
          <t>Z06</t>
        </is>
      </c>
      <c r="L12" t="inlineStr">
        <is>
          <t>(AP) 45 Dias</t>
        </is>
      </c>
      <c r="M12" t="n">
        <v>10043601</v>
      </c>
      <c r="N12" t="inlineStr">
        <is>
          <t>Grava Triturada Caliza 20 mm - 3/4"</t>
        </is>
      </c>
      <c r="O12" t="inlineStr">
        <is>
          <t>DW75</t>
        </is>
      </c>
      <c r="P12" t="inlineStr">
        <is>
          <t>MX-CED. Q. ROO NORTE</t>
        </is>
      </c>
      <c r="Q12" t="n">
        <v>20210712</v>
      </c>
      <c r="R12" t="n">
        <v>20291231</v>
      </c>
      <c r="S12" t="n">
        <v>20250611</v>
      </c>
      <c r="T12" t="n">
        <v>20301231</v>
      </c>
      <c r="U12" t="n">
        <v>344.73</v>
      </c>
      <c r="V12" t="inlineStr">
        <is>
          <t>MXN</t>
        </is>
      </c>
      <c r="W12" t="inlineStr">
        <is>
          <t>M3</t>
        </is>
      </c>
      <c r="X12" t="n">
        <v>59.51</v>
      </c>
      <c r="Y12" t="inlineStr">
        <is>
          <t>MXN</t>
        </is>
      </c>
      <c r="Z12" t="inlineStr">
        <is>
          <t>M3</t>
        </is>
      </c>
      <c r="AA12" t="inlineStr">
        <is>
          <t>D343</t>
        </is>
      </c>
      <c r="AB12" t="inlineStr">
        <is>
          <t>PD0270 RIVIERA MAYA</t>
        </is>
      </c>
      <c r="AC12" t="n">
        <v>56103637</v>
      </c>
      <c r="AD12" t="n">
        <v>6644321540</v>
      </c>
      <c r="AE12" t="n">
        <v>4</v>
      </c>
      <c r="AF12" t="inlineStr">
        <is>
          <t>ENTREGA DIRECTA</t>
        </is>
      </c>
      <c r="AG12" t="n">
        <v>1.175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20250618</v>
      </c>
      <c r="AM12" t="inlineStr">
        <is>
          <t>DW75-900006554-D343-10043601-4</t>
        </is>
      </c>
    </row>
    <row r="13">
      <c r="A13" t="inlineStr">
        <is>
          <t>900006554DW75D34910043600</t>
        </is>
      </c>
      <c r="B13" t="inlineStr">
        <is>
          <t>4600050647-110</t>
        </is>
      </c>
      <c r="C13" t="n">
        <v>4600050647</v>
      </c>
      <c r="D13" t="n">
        <v>110</v>
      </c>
      <c r="E13" t="inlineStr">
        <is>
          <t>MXPO</t>
        </is>
      </c>
      <c r="F13" t="inlineStr">
        <is>
          <t>MXL</t>
        </is>
      </c>
      <c r="G13" t="n">
        <v>900006554</v>
      </c>
      <c r="H13" t="inlineStr">
        <is>
          <t>TC-ED- MOSECA</t>
        </is>
      </c>
      <c r="I13" t="n">
        <v>5046324</v>
      </c>
      <c r="J13" t="inlineStr">
        <is>
          <t>MORTEROS SECOS DEL CARIBE SA DE CV</t>
        </is>
      </c>
      <c r="K13" t="inlineStr">
        <is>
          <t>Z06</t>
        </is>
      </c>
      <c r="L13" t="inlineStr">
        <is>
          <t>(AP) 45 Dias</t>
        </is>
      </c>
      <c r="M13" t="n">
        <v>10043600</v>
      </c>
      <c r="N13" t="inlineStr">
        <is>
          <t>Grava Triturada Caliza 13 mm - 1/2"</t>
        </is>
      </c>
      <c r="O13" t="inlineStr">
        <is>
          <t>DW75</t>
        </is>
      </c>
      <c r="P13" t="inlineStr">
        <is>
          <t>MX-CED. Q. ROO NORTE</t>
        </is>
      </c>
      <c r="Q13" t="n">
        <v>20210712</v>
      </c>
      <c r="R13" t="n">
        <v>20291231</v>
      </c>
      <c r="S13" t="n">
        <v>20250611</v>
      </c>
      <c r="T13" t="n">
        <v>20301231</v>
      </c>
      <c r="U13" t="n">
        <v>410.5</v>
      </c>
      <c r="V13" t="inlineStr">
        <is>
          <t>MXN</t>
        </is>
      </c>
      <c r="W13" t="inlineStr">
        <is>
          <t>M3</t>
        </is>
      </c>
      <c r="X13" t="n">
        <v>125.28</v>
      </c>
      <c r="Y13" t="inlineStr">
        <is>
          <t>MXN</t>
        </is>
      </c>
      <c r="Z13" t="inlineStr">
        <is>
          <t>M3</t>
        </is>
      </c>
      <c r="AA13" t="inlineStr">
        <is>
          <t>D349</t>
        </is>
      </c>
      <c r="AB13" t="inlineStr">
        <is>
          <t>PD0300 PETEMPICH</t>
        </is>
      </c>
      <c r="AC13" t="n">
        <v>56103637</v>
      </c>
      <c r="AD13" t="n">
        <v>6644321540</v>
      </c>
      <c r="AE13" t="n">
        <v>4</v>
      </c>
      <c r="AF13" t="inlineStr">
        <is>
          <t>ENTREGA DIRECTA</t>
        </is>
      </c>
      <c r="AG13" t="n">
        <v>1.177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20250618</v>
      </c>
      <c r="AM13" t="inlineStr">
        <is>
          <t>DW75-900006554-D349-10043600-4</t>
        </is>
      </c>
    </row>
    <row r="14">
      <c r="A14" t="inlineStr">
        <is>
          <t>900007862DW7510222898</t>
        </is>
      </c>
      <c r="B14" t="inlineStr">
        <is>
          <t>4600056560-10</t>
        </is>
      </c>
      <c r="C14" t="n">
        <v>4600056560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900007862</v>
      </c>
      <c r="H14" t="inlineStr">
        <is>
          <t>SF TC_MOSECA_INFRA</t>
        </is>
      </c>
      <c r="I14" t="n">
        <v>5046324</v>
      </c>
      <c r="J14" t="inlineStr">
        <is>
          <t>MORTEROS SECOS DEL CARIBE SA DE CV</t>
        </is>
      </c>
      <c r="K14" t="inlineStr">
        <is>
          <t>Z06</t>
        </is>
      </c>
      <c r="L14" t="inlineStr">
        <is>
          <t>(AP) 45 Dias</t>
        </is>
      </c>
      <c r="M14" t="n">
        <v>10222898</v>
      </c>
      <c r="N14" t="inlineStr">
        <is>
          <t>GRAVA TRITURADA CALIZA 40 MM - 1 1/2"</t>
        </is>
      </c>
      <c r="O14" t="inlineStr">
        <is>
          <t>DW75</t>
        </is>
      </c>
      <c r="P14" t="inlineStr">
        <is>
          <t>MX-CED. Q. ROO NORTE</t>
        </is>
      </c>
      <c r="Q14" t="n">
        <v>20230215</v>
      </c>
      <c r="R14" t="n">
        <v>20281231</v>
      </c>
      <c r="S14" t="n">
        <v>20250611</v>
      </c>
      <c r="T14" t="n">
        <v>20301231</v>
      </c>
      <c r="U14" t="n">
        <v>285.22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6644321540</v>
      </c>
      <c r="AE14" t="n">
        <v>1</v>
      </c>
      <c r="AF14" t="inlineStr">
        <is>
          <t>ENTREGADO</t>
        </is>
      </c>
      <c r="AG14" t="n">
        <v>1.237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20250618</v>
      </c>
      <c r="AM14" t="inlineStr">
        <is>
          <t>DW75-900007862-10222898</t>
        </is>
      </c>
    </row>
    <row r="15">
      <c r="A15" t="inlineStr">
        <is>
          <t>900006554DW75D34310043600</t>
        </is>
      </c>
      <c r="B15" t="inlineStr">
        <is>
          <t>4600050647-450</t>
        </is>
      </c>
      <c r="C15" t="n">
        <v>4600050647</v>
      </c>
      <c r="D15" t="n">
        <v>450</v>
      </c>
      <c r="E15" t="inlineStr">
        <is>
          <t>MXPO</t>
        </is>
      </c>
      <c r="F15" t="inlineStr">
        <is>
          <t>MXL</t>
        </is>
      </c>
      <c r="G15" t="n">
        <v>900006554</v>
      </c>
      <c r="H15" t="inlineStr">
        <is>
          <t>TC-ED- MOSECA</t>
        </is>
      </c>
      <c r="I15" t="n">
        <v>5046324</v>
      </c>
      <c r="J15" t="inlineStr">
        <is>
          <t>MORTEROS SECOS DEL CARIBE SA DE CV</t>
        </is>
      </c>
      <c r="K15" t="inlineStr">
        <is>
          <t>Z06</t>
        </is>
      </c>
      <c r="L15" t="inlineStr">
        <is>
          <t>(AP) 45 Dias</t>
        </is>
      </c>
      <c r="M15" t="n">
        <v>10043600</v>
      </c>
      <c r="N15" t="inlineStr">
        <is>
          <t>Grava Triturada Caliza 13 mm - 1/2"</t>
        </is>
      </c>
      <c r="O15" t="inlineStr">
        <is>
          <t>DW75</t>
        </is>
      </c>
      <c r="P15" t="inlineStr">
        <is>
          <t>MX-CED. Q. ROO NORTE</t>
        </is>
      </c>
      <c r="Q15" t="n">
        <v>20210712</v>
      </c>
      <c r="R15" t="n">
        <v>20291231</v>
      </c>
      <c r="S15" t="n">
        <v>20250611</v>
      </c>
      <c r="T15" t="n">
        <v>20301231</v>
      </c>
      <c r="U15" t="n">
        <v>344.73</v>
      </c>
      <c r="V15" t="inlineStr">
        <is>
          <t>MXN</t>
        </is>
      </c>
      <c r="W15" t="inlineStr">
        <is>
          <t>M3</t>
        </is>
      </c>
      <c r="X15" t="n">
        <v>59.51</v>
      </c>
      <c r="Y15" t="inlineStr">
        <is>
          <t>MXN</t>
        </is>
      </c>
      <c r="Z15" t="inlineStr">
        <is>
          <t>M3</t>
        </is>
      </c>
      <c r="AA15" t="inlineStr">
        <is>
          <t>D343</t>
        </is>
      </c>
      <c r="AB15" t="inlineStr">
        <is>
          <t>PD0270 RIVIERA MAYA</t>
        </is>
      </c>
      <c r="AC15" t="n">
        <v>56103637</v>
      </c>
      <c r="AD15" t="n">
        <v>6644321540</v>
      </c>
      <c r="AE15" t="n">
        <v>4</v>
      </c>
      <c r="AF15" t="inlineStr">
        <is>
          <t>ENTREGA DIRECTA</t>
        </is>
      </c>
      <c r="AG15" t="n">
        <v>1.177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20250618</v>
      </c>
      <c r="AM15" t="inlineStr">
        <is>
          <t>DW75-900006554-D343-10043600-4</t>
        </is>
      </c>
    </row>
    <row r="16">
      <c r="A16" t="inlineStr">
        <is>
          <t>900006554DW75D34310147933</t>
        </is>
      </c>
      <c r="B16" t="inlineStr">
        <is>
          <t>4600050647-470</t>
        </is>
      </c>
      <c r="C16" t="n">
        <v>4600050647</v>
      </c>
      <c r="D16" t="n">
        <v>470</v>
      </c>
      <c r="E16" t="inlineStr">
        <is>
          <t>MXPO</t>
        </is>
      </c>
      <c r="F16" t="inlineStr">
        <is>
          <t>MXL</t>
        </is>
      </c>
      <c r="G16" t="n">
        <v>900006554</v>
      </c>
      <c r="H16" t="inlineStr">
        <is>
          <t>TC-ED- MOSECA</t>
        </is>
      </c>
      <c r="I16" t="n">
        <v>5046324</v>
      </c>
      <c r="J16" t="inlineStr">
        <is>
          <t>MORTEROS SECOS DEL CARIBE SA DE CV</t>
        </is>
      </c>
      <c r="K16" t="inlineStr">
        <is>
          <t>Z06</t>
        </is>
      </c>
      <c r="L16" t="inlineStr">
        <is>
          <t>(AP) 45 Dias</t>
        </is>
      </c>
      <c r="M16" t="n">
        <v>10147933</v>
      </c>
      <c r="N16" t="inlineStr">
        <is>
          <t>ARENA TRITURADA CALIZA MALLA 4 LAVADO</t>
        </is>
      </c>
      <c r="O16" t="inlineStr">
        <is>
          <t>DW75</t>
        </is>
      </c>
      <c r="P16" t="inlineStr">
        <is>
          <t>MX-CED. Q. ROO NORTE</t>
        </is>
      </c>
      <c r="Q16" t="n">
        <v>20210712</v>
      </c>
      <c r="R16" t="n">
        <v>20291231</v>
      </c>
      <c r="S16" t="n">
        <v>20250611</v>
      </c>
      <c r="T16" t="n">
        <v>20301231</v>
      </c>
      <c r="U16" t="n">
        <v>399.9</v>
      </c>
      <c r="V16" t="inlineStr">
        <is>
          <t>MXN</t>
        </is>
      </c>
      <c r="W16" t="inlineStr">
        <is>
          <t>M3</t>
        </is>
      </c>
      <c r="X16" t="n">
        <v>59.51</v>
      </c>
      <c r="Y16" t="inlineStr">
        <is>
          <t>MXN</t>
        </is>
      </c>
      <c r="Z16" t="inlineStr">
        <is>
          <t>M3</t>
        </is>
      </c>
      <c r="AA16" t="inlineStr">
        <is>
          <t>D343</t>
        </is>
      </c>
      <c r="AB16" t="inlineStr">
        <is>
          <t>PD0270 RIVIERA MAYA</t>
        </is>
      </c>
      <c r="AC16" t="n">
        <v>56103638</v>
      </c>
      <c r="AD16" t="n">
        <v>6644321540</v>
      </c>
      <c r="AE16" t="n">
        <v>4</v>
      </c>
      <c r="AF16" t="inlineStr">
        <is>
          <t>ENTREGA DIRECTA</t>
        </is>
      </c>
      <c r="AG16" t="n">
        <v>1.376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20250618</v>
      </c>
      <c r="AM16" t="inlineStr">
        <is>
          <t>DW75-900006554-D343-10147933-4</t>
        </is>
      </c>
    </row>
    <row r="17">
      <c r="A17" t="inlineStr">
        <is>
          <t>900006554DW75D27810043601</t>
        </is>
      </c>
      <c r="B17" t="inlineStr">
        <is>
          <t>4600050647-230</t>
        </is>
      </c>
      <c r="C17" t="n">
        <v>4600050647</v>
      </c>
      <c r="D17" t="n">
        <v>230</v>
      </c>
      <c r="E17" t="inlineStr">
        <is>
          <t>MXPO</t>
        </is>
      </c>
      <c r="F17" t="inlineStr">
        <is>
          <t>MXL</t>
        </is>
      </c>
      <c r="G17" t="n">
        <v>900006554</v>
      </c>
      <c r="H17" t="inlineStr">
        <is>
          <t>TC-ED- MOSECA</t>
        </is>
      </c>
      <c r="I17" t="n">
        <v>5046324</v>
      </c>
      <c r="J17" t="inlineStr">
        <is>
          <t>MORTEROS SECOS DEL CARIBE SA DE CV</t>
        </is>
      </c>
      <c r="K17" t="inlineStr">
        <is>
          <t>Z06</t>
        </is>
      </c>
      <c r="L17" t="inlineStr">
        <is>
          <t>(AP) 45 Dias</t>
        </is>
      </c>
      <c r="M17" t="n">
        <v>10043601</v>
      </c>
      <c r="N17" t="inlineStr">
        <is>
          <t>Grava Triturada Caliza 20 mm - 3/4"</t>
        </is>
      </c>
      <c r="O17" t="inlineStr">
        <is>
          <t>DW75</t>
        </is>
      </c>
      <c r="P17" t="inlineStr">
        <is>
          <t>MX-CED. Q. ROO NORTE</t>
        </is>
      </c>
      <c r="Q17" t="n">
        <v>20210712</v>
      </c>
      <c r="R17" t="n">
        <v>20291231</v>
      </c>
      <c r="S17" t="n">
        <v>20250611</v>
      </c>
      <c r="T17" t="n">
        <v>20301231</v>
      </c>
      <c r="U17" t="n">
        <v>363.52</v>
      </c>
      <c r="V17" t="inlineStr">
        <is>
          <t>MXN</t>
        </is>
      </c>
      <c r="W17" t="inlineStr">
        <is>
          <t>M3</t>
        </is>
      </c>
      <c r="X17" t="n">
        <v>78.3</v>
      </c>
      <c r="Y17" t="inlineStr">
        <is>
          <t>MXN</t>
        </is>
      </c>
      <c r="Z17" t="inlineStr">
        <is>
          <t>M3</t>
        </is>
      </c>
      <c r="AA17" t="inlineStr">
        <is>
          <t>D278</t>
        </is>
      </c>
      <c r="AB17" t="inlineStr">
        <is>
          <t>PD055 CANCUN</t>
        </is>
      </c>
      <c r="AC17" t="n">
        <v>56103637</v>
      </c>
      <c r="AD17" t="n">
        <v>6644321540</v>
      </c>
      <c r="AE17" t="n">
        <v>4</v>
      </c>
      <c r="AF17" t="inlineStr">
        <is>
          <t>ENTREGA DIRECTA</t>
        </is>
      </c>
      <c r="AG17" t="n">
        <v>1.175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20250618</v>
      </c>
      <c r="AM17" t="inlineStr">
        <is>
          <t>DW75-900006554-D278-10043601-4</t>
        </is>
      </c>
    </row>
    <row r="18">
      <c r="A18" t="inlineStr">
        <is>
          <t>900006554DW75D27810045642</t>
        </is>
      </c>
      <c r="B18" t="inlineStr">
        <is>
          <t>4600050647-220</t>
        </is>
      </c>
      <c r="C18" t="n">
        <v>4600050647</v>
      </c>
      <c r="D18" t="n">
        <v>220</v>
      </c>
      <c r="E18" t="inlineStr">
        <is>
          <t>MXPO</t>
        </is>
      </c>
      <c r="F18" t="inlineStr">
        <is>
          <t>MXL</t>
        </is>
      </c>
      <c r="G18" t="n">
        <v>900006554</v>
      </c>
      <c r="H18" t="inlineStr">
        <is>
          <t>TC-ED- MOSECA</t>
        </is>
      </c>
      <c r="I18" t="n">
        <v>5046324</v>
      </c>
      <c r="J18" t="inlineStr">
        <is>
          <t>MORTEROS SECOS DEL CARIBE SA DE CV</t>
        </is>
      </c>
      <c r="K18" t="inlineStr">
        <is>
          <t>Z06</t>
        </is>
      </c>
      <c r="L18" t="inlineStr">
        <is>
          <t>(AP) 45 Dias</t>
        </is>
      </c>
      <c r="M18" t="n">
        <v>10045642</v>
      </c>
      <c r="N18" t="inlineStr">
        <is>
          <t>Arena Triturada Caliza Malla 4</t>
        </is>
      </c>
      <c r="O18" t="inlineStr">
        <is>
          <t>DW75</t>
        </is>
      </c>
      <c r="P18" t="inlineStr">
        <is>
          <t>MX-CED. Q. ROO NORTE</t>
        </is>
      </c>
      <c r="Q18" t="n">
        <v>20210712</v>
      </c>
      <c r="R18" t="n">
        <v>20291231</v>
      </c>
      <c r="S18" t="n">
        <v>20250611</v>
      </c>
      <c r="T18" t="n">
        <v>20301231</v>
      </c>
      <c r="U18" t="n">
        <v>418.69</v>
      </c>
      <c r="V18" t="inlineStr">
        <is>
          <t>MXN</t>
        </is>
      </c>
      <c r="W18" t="inlineStr">
        <is>
          <t>M3</t>
        </is>
      </c>
      <c r="X18" t="n">
        <v>78.3</v>
      </c>
      <c r="Y18" t="inlineStr">
        <is>
          <t>MXN</t>
        </is>
      </c>
      <c r="Z18" t="inlineStr">
        <is>
          <t>M3</t>
        </is>
      </c>
      <c r="AA18" t="inlineStr">
        <is>
          <t>D278</t>
        </is>
      </c>
      <c r="AB18" t="inlineStr">
        <is>
          <t>PD055 CANCUN</t>
        </is>
      </c>
      <c r="AC18" t="n">
        <v>56103638</v>
      </c>
      <c r="AD18" t="n">
        <v>6644321540</v>
      </c>
      <c r="AE18" t="n">
        <v>4</v>
      </c>
      <c r="AF18" t="inlineStr">
        <is>
          <t>ENTREGA DIRECTA</t>
        </is>
      </c>
      <c r="AG18" t="n">
        <v>1.471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20250618</v>
      </c>
      <c r="AM18" t="inlineStr">
        <is>
          <t>DW75-900006554-D278-10045642-4</t>
        </is>
      </c>
    </row>
    <row r="19">
      <c r="A19" t="inlineStr">
        <is>
          <t>900006554DW75D27810151191</t>
        </is>
      </c>
      <c r="B19" t="inlineStr">
        <is>
          <t>4600050647-20</t>
        </is>
      </c>
      <c r="C19" t="n">
        <v>4600050647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900006554</v>
      </c>
      <c r="H19" t="inlineStr">
        <is>
          <t>TC-ED- MOSECA</t>
        </is>
      </c>
      <c r="I19" t="n">
        <v>5046324</v>
      </c>
      <c r="J19" t="inlineStr">
        <is>
          <t>MORTEROS SECOS DEL CARIBE SA DE CV</t>
        </is>
      </c>
      <c r="K19" t="inlineStr">
        <is>
          <t>Z06</t>
        </is>
      </c>
      <c r="L19" t="inlineStr">
        <is>
          <t>(AP) 45 Dias</t>
        </is>
      </c>
      <c r="M19" t="n">
        <v>10151191</v>
      </c>
      <c r="N19" t="inlineStr">
        <is>
          <t xml:space="preserve">GRAVA TRITURADA CALIZA 40MM 1 ½” </t>
        </is>
      </c>
      <c r="O19" t="inlineStr">
        <is>
          <t>DW75</t>
        </is>
      </c>
      <c r="P19" t="inlineStr">
        <is>
          <t>MX-CED. Q. ROO NORTE</t>
        </is>
      </c>
      <c r="Q19" t="n">
        <v>20210712</v>
      </c>
      <c r="R19" t="n">
        <v>20291231</v>
      </c>
      <c r="S19" t="n">
        <v>20250611</v>
      </c>
      <c r="T19" t="n">
        <v>20301231</v>
      </c>
      <c r="U19" t="n">
        <v>363.52</v>
      </c>
      <c r="V19" t="inlineStr">
        <is>
          <t>MXN</t>
        </is>
      </c>
      <c r="W19" t="inlineStr">
        <is>
          <t>M3</t>
        </is>
      </c>
      <c r="X19" t="n">
        <v>78.3</v>
      </c>
      <c r="Y19" t="inlineStr">
        <is>
          <t>MXN</t>
        </is>
      </c>
      <c r="Z19" t="inlineStr">
        <is>
          <t>M3</t>
        </is>
      </c>
      <c r="AA19" t="inlineStr">
        <is>
          <t>D278</t>
        </is>
      </c>
      <c r="AB19" t="inlineStr">
        <is>
          <t>PD055 CANCUN</t>
        </is>
      </c>
      <c r="AC19" t="n">
        <v>56103637</v>
      </c>
      <c r="AD19" t="n">
        <v>6644321540</v>
      </c>
      <c r="AE19" t="n">
        <v>4</v>
      </c>
      <c r="AF19" t="inlineStr">
        <is>
          <t>ENTREGA DIRECTA</t>
        </is>
      </c>
      <c r="AG19" t="n">
        <v>1.287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20250618</v>
      </c>
      <c r="AM19" t="inlineStr">
        <is>
          <t>DW75-900006554-D278-10151191-4</t>
        </is>
      </c>
    </row>
    <row r="20">
      <c r="A20" t="inlineStr">
        <is>
          <t>900006554DW75D34910043601</t>
        </is>
      </c>
      <c r="B20" t="inlineStr">
        <is>
          <t>4600050647-100</t>
        </is>
      </c>
      <c r="C20" t="n">
        <v>4600050647</v>
      </c>
      <c r="D20" t="n">
        <v>100</v>
      </c>
      <c r="E20" t="inlineStr">
        <is>
          <t>MXPO</t>
        </is>
      </c>
      <c r="F20" t="inlineStr">
        <is>
          <t>MXL</t>
        </is>
      </c>
      <c r="G20" t="n">
        <v>900006554</v>
      </c>
      <c r="H20" t="inlineStr">
        <is>
          <t>TC-ED- MOSECA</t>
        </is>
      </c>
      <c r="I20" t="n">
        <v>5046324</v>
      </c>
      <c r="J20" t="inlineStr">
        <is>
          <t>MORTEROS SECOS DEL CARIBE SA DE CV</t>
        </is>
      </c>
      <c r="K20" t="inlineStr">
        <is>
          <t>Z06</t>
        </is>
      </c>
      <c r="L20" t="inlineStr">
        <is>
          <t>(AP) 45 Dias</t>
        </is>
      </c>
      <c r="M20" t="n">
        <v>10043601</v>
      </c>
      <c r="N20" t="inlineStr">
        <is>
          <t>Grava Triturada Caliza 20 mm - 3/4"</t>
        </is>
      </c>
      <c r="O20" t="inlineStr">
        <is>
          <t>DW75</t>
        </is>
      </c>
      <c r="P20" t="inlineStr">
        <is>
          <t>MX-CED. Q. ROO NORTE</t>
        </is>
      </c>
      <c r="Q20" t="n">
        <v>20210712</v>
      </c>
      <c r="R20" t="n">
        <v>20291231</v>
      </c>
      <c r="S20" t="n">
        <v>20250611</v>
      </c>
      <c r="T20" t="n">
        <v>20301231</v>
      </c>
      <c r="U20" t="n">
        <v>410.5</v>
      </c>
      <c r="V20" t="inlineStr">
        <is>
          <t>MXN</t>
        </is>
      </c>
      <c r="W20" t="inlineStr">
        <is>
          <t>M3</t>
        </is>
      </c>
      <c r="X20" t="n">
        <v>125.28</v>
      </c>
      <c r="Y20" t="inlineStr">
        <is>
          <t>MXN</t>
        </is>
      </c>
      <c r="Z20" t="inlineStr">
        <is>
          <t>M3</t>
        </is>
      </c>
      <c r="AA20" t="inlineStr">
        <is>
          <t>D349</t>
        </is>
      </c>
      <c r="AB20" t="inlineStr">
        <is>
          <t>PD0300 PETEMPICH</t>
        </is>
      </c>
      <c r="AC20" t="n">
        <v>56103637</v>
      </c>
      <c r="AD20" t="n">
        <v>6644321540</v>
      </c>
      <c r="AE20" t="n">
        <v>4</v>
      </c>
      <c r="AF20" t="inlineStr">
        <is>
          <t>ENTREGA DIRECTA</t>
        </is>
      </c>
      <c r="AG20" t="n">
        <v>1.175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20250618</v>
      </c>
      <c r="AM20" t="inlineStr">
        <is>
          <t>DW75-900006554-D349-10043601-4</t>
        </is>
      </c>
    </row>
    <row r="21">
      <c r="A21" t="inlineStr">
        <is>
          <t>900006554DW75D27810043600</t>
        </is>
      </c>
      <c r="B21" t="inlineStr">
        <is>
          <t>4600050647-240</t>
        </is>
      </c>
      <c r="C21" t="n">
        <v>4600050647</v>
      </c>
      <c r="D21" t="n">
        <v>240</v>
      </c>
      <c r="E21" t="inlineStr">
        <is>
          <t>MXPO</t>
        </is>
      </c>
      <c r="F21" t="inlineStr">
        <is>
          <t>MXL</t>
        </is>
      </c>
      <c r="G21" t="n">
        <v>900006554</v>
      </c>
      <c r="H21" t="inlineStr">
        <is>
          <t>TC-ED- MOSECA</t>
        </is>
      </c>
      <c r="I21" t="n">
        <v>5046324</v>
      </c>
      <c r="J21" t="inlineStr">
        <is>
          <t>MORTEROS SECOS DEL CARIBE SA DE CV</t>
        </is>
      </c>
      <c r="K21" t="inlineStr">
        <is>
          <t>Z06</t>
        </is>
      </c>
      <c r="L21" t="inlineStr">
        <is>
          <t>(AP) 45 Dias</t>
        </is>
      </c>
      <c r="M21" t="n">
        <v>10043600</v>
      </c>
      <c r="N21" t="inlineStr">
        <is>
          <t>Grava Triturada Caliza 13 mm - 1/2"</t>
        </is>
      </c>
      <c r="O21" t="inlineStr">
        <is>
          <t>DW75</t>
        </is>
      </c>
      <c r="P21" t="inlineStr">
        <is>
          <t>MX-CED. Q. ROO NORTE</t>
        </is>
      </c>
      <c r="Q21" t="n">
        <v>20210712</v>
      </c>
      <c r="R21" t="n">
        <v>20291231</v>
      </c>
      <c r="S21" t="n">
        <v>20250611</v>
      </c>
      <c r="T21" t="n">
        <v>20301231</v>
      </c>
      <c r="U21" t="n">
        <v>363.52</v>
      </c>
      <c r="V21" t="inlineStr">
        <is>
          <t>MXN</t>
        </is>
      </c>
      <c r="W21" t="inlineStr">
        <is>
          <t>M3</t>
        </is>
      </c>
      <c r="X21" t="n">
        <v>78.3</v>
      </c>
      <c r="Y21" t="inlineStr">
        <is>
          <t>MXN</t>
        </is>
      </c>
      <c r="Z21" t="inlineStr">
        <is>
          <t>M3</t>
        </is>
      </c>
      <c r="AA21" t="inlineStr">
        <is>
          <t>D278</t>
        </is>
      </c>
      <c r="AB21" t="inlineStr">
        <is>
          <t>PD055 CANCUN</t>
        </is>
      </c>
      <c r="AC21" t="n">
        <v>56103637</v>
      </c>
      <c r="AD21" t="n">
        <v>6644321540</v>
      </c>
      <c r="AE21" t="n">
        <v>4</v>
      </c>
      <c r="AF21" t="inlineStr">
        <is>
          <t>ENTREGA DIRECTA</t>
        </is>
      </c>
      <c r="AG21" t="n">
        <v>1.177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20250618</v>
      </c>
      <c r="AM21" t="inlineStr">
        <is>
          <t>DW75-900006554-D278-10043600-4</t>
        </is>
      </c>
    </row>
    <row r="22">
      <c r="A22" t="inlineStr">
        <is>
          <t>900006554DW75D34910151191</t>
        </is>
      </c>
      <c r="B22" t="inlineStr">
        <is>
          <t>4600050647-440</t>
        </is>
      </c>
      <c r="C22" t="n">
        <v>4600050647</v>
      </c>
      <c r="D22" t="n">
        <v>440</v>
      </c>
      <c r="E22" t="inlineStr">
        <is>
          <t>MXPO</t>
        </is>
      </c>
      <c r="F22" t="inlineStr">
        <is>
          <t>MXL</t>
        </is>
      </c>
      <c r="G22" t="n">
        <v>900006554</v>
      </c>
      <c r="H22" t="inlineStr">
        <is>
          <t>TC-ED- MOSECA</t>
        </is>
      </c>
      <c r="I22" t="n">
        <v>5046324</v>
      </c>
      <c r="J22" t="inlineStr">
        <is>
          <t>MORTEROS SECOS DEL CARIBE SA DE CV</t>
        </is>
      </c>
      <c r="K22" t="inlineStr">
        <is>
          <t>Z06</t>
        </is>
      </c>
      <c r="L22" t="inlineStr">
        <is>
          <t>(AP) 45 Dias</t>
        </is>
      </c>
      <c r="M22" t="n">
        <v>10151191</v>
      </c>
      <c r="N22" t="inlineStr">
        <is>
          <t xml:space="preserve">GRAVA TRITURADA CALIZA 40MM 1 ½” </t>
        </is>
      </c>
      <c r="O22" t="inlineStr">
        <is>
          <t>DW75</t>
        </is>
      </c>
      <c r="P22" t="inlineStr">
        <is>
          <t>MX-CED. Q. ROO NORTE</t>
        </is>
      </c>
      <c r="Q22" t="n">
        <v>20210712</v>
      </c>
      <c r="R22" t="n">
        <v>20291231</v>
      </c>
      <c r="S22" t="n">
        <v>20250611</v>
      </c>
      <c r="T22" t="n">
        <v>20301231</v>
      </c>
      <c r="U22" t="n">
        <v>410.5</v>
      </c>
      <c r="V22" t="inlineStr">
        <is>
          <t>MXN</t>
        </is>
      </c>
      <c r="W22" t="inlineStr">
        <is>
          <t>M3</t>
        </is>
      </c>
      <c r="X22" t="n">
        <v>125.28</v>
      </c>
      <c r="Y22" t="inlineStr">
        <is>
          <t>MXN</t>
        </is>
      </c>
      <c r="Z22" t="inlineStr">
        <is>
          <t>M3</t>
        </is>
      </c>
      <c r="AA22" t="inlineStr">
        <is>
          <t>D349</t>
        </is>
      </c>
      <c r="AB22" t="inlineStr">
        <is>
          <t>PD0300 PETEMPICH</t>
        </is>
      </c>
      <c r="AC22" t="n">
        <v>56103637</v>
      </c>
      <c r="AD22" t="n">
        <v>6644321540</v>
      </c>
      <c r="AE22" t="n">
        <v>4</v>
      </c>
      <c r="AF22" t="inlineStr">
        <is>
          <t>ENTREGA DIRECTA</t>
        </is>
      </c>
      <c r="AG22" t="n">
        <v>1.287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20250618</v>
      </c>
      <c r="AM22" t="inlineStr">
        <is>
          <t>DW75-900006554-D349-10151191-4</t>
        </is>
      </c>
    </row>
    <row r="23">
      <c r="A23" t="inlineStr">
        <is>
          <t>900002370DW7510045642</t>
        </is>
      </c>
      <c r="B23" t="inlineStr">
        <is>
          <t>4600050628-30</t>
        </is>
      </c>
      <c r="C23" t="n">
        <v>4600050628</v>
      </c>
      <c r="D23" t="n">
        <v>30</v>
      </c>
      <c r="E23" t="inlineStr">
        <is>
          <t>MXPO</t>
        </is>
      </c>
      <c r="F23" t="inlineStr">
        <is>
          <t>MXL</t>
        </is>
      </c>
      <c r="G23" t="n">
        <v>900002370</v>
      </c>
      <c r="H23" t="inlineStr">
        <is>
          <t>TC-MOSECA</t>
        </is>
      </c>
      <c r="I23" t="n">
        <v>5046324</v>
      </c>
      <c r="J23" t="inlineStr">
        <is>
          <t>MORTEROS SECOS DEL CARIBE SA DE CV</t>
        </is>
      </c>
      <c r="K23" t="inlineStr">
        <is>
          <t>Z06</t>
        </is>
      </c>
      <c r="L23" t="inlineStr">
        <is>
          <t>(AP) 45 Dias</t>
        </is>
      </c>
      <c r="M23" t="n">
        <v>10045642</v>
      </c>
      <c r="N23" t="inlineStr">
        <is>
          <t>Arena Triturada Caliza Malla 4</t>
        </is>
      </c>
      <c r="O23" t="inlineStr">
        <is>
          <t>DW75</t>
        </is>
      </c>
      <c r="P23" t="inlineStr">
        <is>
          <t>MX-CED. Q. ROO NORTE</t>
        </is>
      </c>
      <c r="Q23" t="n">
        <v>20210712</v>
      </c>
      <c r="R23" t="n">
        <v>20291231</v>
      </c>
      <c r="S23" t="n">
        <v>20250611</v>
      </c>
      <c r="T23" t="n">
        <v>20301231</v>
      </c>
      <c r="U23" t="n">
        <v>340.39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56103638</v>
      </c>
      <c r="AD23" t="n">
        <v>6644321540</v>
      </c>
      <c r="AE23" t="n">
        <v>1</v>
      </c>
      <c r="AF23" t="inlineStr">
        <is>
          <t>ENTREGADO</t>
        </is>
      </c>
      <c r="AG23" t="n">
        <v>1.471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20250618</v>
      </c>
      <c r="AM23" t="inlineStr">
        <is>
          <t>DW75-900002370-10045642</t>
        </is>
      </c>
    </row>
    <row r="24">
      <c r="A24" t="inlineStr">
        <is>
          <t>900006554DW75D34310045642</t>
        </is>
      </c>
      <c r="B24" t="inlineStr">
        <is>
          <t>4600050647-400</t>
        </is>
      </c>
      <c r="C24" t="n">
        <v>4600050647</v>
      </c>
      <c r="D24" t="n">
        <v>400</v>
      </c>
      <c r="E24" t="inlineStr">
        <is>
          <t>MXPO</t>
        </is>
      </c>
      <c r="F24" t="inlineStr">
        <is>
          <t>MXL</t>
        </is>
      </c>
      <c r="G24" t="n">
        <v>900006554</v>
      </c>
      <c r="H24" t="inlineStr">
        <is>
          <t>TC-ED- MOSECA</t>
        </is>
      </c>
      <c r="I24" t="n">
        <v>5046324</v>
      </c>
      <c r="J24" t="inlineStr">
        <is>
          <t>MORTEROS SECOS DEL CARIBE SA DE CV</t>
        </is>
      </c>
      <c r="K24" t="inlineStr">
        <is>
          <t>Z06</t>
        </is>
      </c>
      <c r="L24" t="inlineStr">
        <is>
          <t>(AP) 45 Dias</t>
        </is>
      </c>
      <c r="M24" t="n">
        <v>10045642</v>
      </c>
      <c r="N24" t="inlineStr">
        <is>
          <t>Arena Triturada Caliza Malla 4</t>
        </is>
      </c>
      <c r="O24" t="inlineStr">
        <is>
          <t>DW75</t>
        </is>
      </c>
      <c r="P24" t="inlineStr">
        <is>
          <t>MX-CED. Q. ROO NORTE</t>
        </is>
      </c>
      <c r="Q24" t="n">
        <v>20210712</v>
      </c>
      <c r="R24" t="n">
        <v>20291231</v>
      </c>
      <c r="S24" t="n">
        <v>20250611</v>
      </c>
      <c r="T24" t="n">
        <v>20301231</v>
      </c>
      <c r="U24" t="n">
        <v>399.9</v>
      </c>
      <c r="V24" t="inlineStr">
        <is>
          <t>MXN</t>
        </is>
      </c>
      <c r="W24" t="inlineStr">
        <is>
          <t>M3</t>
        </is>
      </c>
      <c r="X24" t="n">
        <v>59.51</v>
      </c>
      <c r="Y24" t="inlineStr">
        <is>
          <t>MXN</t>
        </is>
      </c>
      <c r="Z24" t="inlineStr">
        <is>
          <t>M3</t>
        </is>
      </c>
      <c r="AA24" t="inlineStr">
        <is>
          <t>D343</t>
        </is>
      </c>
      <c r="AB24" t="inlineStr">
        <is>
          <t>PD0270 RIVIERA MAYA</t>
        </is>
      </c>
      <c r="AC24" t="n">
        <v>56103638</v>
      </c>
      <c r="AD24" t="n">
        <v>6644321540</v>
      </c>
      <c r="AE24" t="n">
        <v>4</v>
      </c>
      <c r="AF24" t="inlineStr">
        <is>
          <t>ENTREGA DIRECTA</t>
        </is>
      </c>
      <c r="AG24" t="n">
        <v>1.471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20250618</v>
      </c>
      <c r="AM24" t="inlineStr">
        <is>
          <t>DW75-900006554-D343-10045642-4</t>
        </is>
      </c>
    </row>
    <row r="25">
      <c r="A25" t="inlineStr">
        <is>
          <t>900006554DW75D27810147933</t>
        </is>
      </c>
      <c r="B25" t="inlineStr">
        <is>
          <t>4600050647-210</t>
        </is>
      </c>
      <c r="C25" t="n">
        <v>4600050647</v>
      </c>
      <c r="D25" t="n">
        <v>210</v>
      </c>
      <c r="E25" t="inlineStr">
        <is>
          <t>MXPO</t>
        </is>
      </c>
      <c r="F25" t="inlineStr">
        <is>
          <t>MXL</t>
        </is>
      </c>
      <c r="G25" t="n">
        <v>900006554</v>
      </c>
      <c r="H25" t="inlineStr">
        <is>
          <t>TC-ED- MOSECA</t>
        </is>
      </c>
      <c r="I25" t="n">
        <v>5046324</v>
      </c>
      <c r="J25" t="inlineStr">
        <is>
          <t>MORTEROS SECOS DEL CARIBE SA DE CV</t>
        </is>
      </c>
      <c r="K25" t="inlineStr">
        <is>
          <t>Z06</t>
        </is>
      </c>
      <c r="L25" t="inlineStr">
        <is>
          <t>(AP) 45 Dias</t>
        </is>
      </c>
      <c r="M25" t="n">
        <v>10147933</v>
      </c>
      <c r="N25" t="inlineStr">
        <is>
          <t>ARENA TRITURADA CALIZA MALLA 4 LAVADO</t>
        </is>
      </c>
      <c r="O25" t="inlineStr">
        <is>
          <t>DW75</t>
        </is>
      </c>
      <c r="P25" t="inlineStr">
        <is>
          <t>MX-CED. Q. ROO NORTE</t>
        </is>
      </c>
      <c r="Q25" t="n">
        <v>20210712</v>
      </c>
      <c r="R25" t="n">
        <v>20291231</v>
      </c>
      <c r="S25" t="n">
        <v>20250611</v>
      </c>
      <c r="T25" t="n">
        <v>20301231</v>
      </c>
      <c r="U25" t="n">
        <v>418.69</v>
      </c>
      <c r="V25" t="inlineStr">
        <is>
          <t>MXN</t>
        </is>
      </c>
      <c r="W25" t="inlineStr">
        <is>
          <t>M3</t>
        </is>
      </c>
      <c r="X25" t="n">
        <v>78.3</v>
      </c>
      <c r="Y25" t="inlineStr">
        <is>
          <t>MXN</t>
        </is>
      </c>
      <c r="Z25" t="inlineStr">
        <is>
          <t>M3</t>
        </is>
      </c>
      <c r="AA25" t="inlineStr">
        <is>
          <t>D278</t>
        </is>
      </c>
      <c r="AB25" t="inlineStr">
        <is>
          <t>PD055 CANCUN</t>
        </is>
      </c>
      <c r="AC25" t="n">
        <v>56103638</v>
      </c>
      <c r="AD25" t="n">
        <v>6644321540</v>
      </c>
      <c r="AE25" t="n">
        <v>4</v>
      </c>
      <c r="AF25" t="inlineStr">
        <is>
          <t>ENTREGA DIRECTA</t>
        </is>
      </c>
      <c r="AG25" t="n">
        <v>1.376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20250618</v>
      </c>
      <c r="AM25" t="inlineStr">
        <is>
          <t>DW75-900006554-D278-10147933-4</t>
        </is>
      </c>
    </row>
    <row r="26">
      <c r="A26" t="inlineStr">
        <is>
          <t>900002370DW7510043600</t>
        </is>
      </c>
      <c r="B26" t="inlineStr">
        <is>
          <t>4600050628-80</t>
        </is>
      </c>
      <c r="C26" t="n">
        <v>4600050628</v>
      </c>
      <c r="D26" t="n">
        <v>80</v>
      </c>
      <c r="E26" t="inlineStr">
        <is>
          <t>MXPO</t>
        </is>
      </c>
      <c r="F26" t="inlineStr">
        <is>
          <t>MXL</t>
        </is>
      </c>
      <c r="G26" t="n">
        <v>900002370</v>
      </c>
      <c r="H26" t="inlineStr">
        <is>
          <t>TC-MOSECA</t>
        </is>
      </c>
      <c r="I26" t="n">
        <v>5046324</v>
      </c>
      <c r="J26" t="inlineStr">
        <is>
          <t>MORTEROS SECOS DEL CARIBE SA DE CV</t>
        </is>
      </c>
      <c r="K26" t="inlineStr">
        <is>
          <t>Z06</t>
        </is>
      </c>
      <c r="L26" t="inlineStr">
        <is>
          <t>(AP) 45 Dias</t>
        </is>
      </c>
      <c r="M26" t="n">
        <v>10043600</v>
      </c>
      <c r="N26" t="inlineStr">
        <is>
          <t>Grava Triturada Caliza 13 mm - 1/2"</t>
        </is>
      </c>
      <c r="O26" t="inlineStr">
        <is>
          <t>DW75</t>
        </is>
      </c>
      <c r="P26" t="inlineStr">
        <is>
          <t>MX-CED. Q. ROO NORTE</t>
        </is>
      </c>
      <c r="Q26" t="n">
        <v>20210712</v>
      </c>
      <c r="R26" t="n">
        <v>20291231</v>
      </c>
      <c r="S26" t="n">
        <v>20250611</v>
      </c>
      <c r="T26" t="n">
        <v>20301231</v>
      </c>
      <c r="U26" t="n">
        <v>285.22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6644321540</v>
      </c>
      <c r="AE26" t="n">
        <v>1</v>
      </c>
      <c r="AF26" t="inlineStr">
        <is>
          <t>ENTREGADO</t>
        </is>
      </c>
      <c r="AG26" t="n">
        <v>1.177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20250618</v>
      </c>
      <c r="AM26" t="inlineStr">
        <is>
          <t>DW75-900002370-10043600</t>
        </is>
      </c>
    </row>
    <row r="27">
      <c r="A27" t="inlineStr">
        <is>
          <t>900002370DW7510147933</t>
        </is>
      </c>
      <c r="B27" t="inlineStr">
        <is>
          <t>4600050628-40</t>
        </is>
      </c>
      <c r="C27" t="n">
        <v>4600050628</v>
      </c>
      <c r="D27" t="n">
        <v>40</v>
      </c>
      <c r="E27" t="inlineStr">
        <is>
          <t>MXPO</t>
        </is>
      </c>
      <c r="F27" t="inlineStr">
        <is>
          <t>MXL</t>
        </is>
      </c>
      <c r="G27" t="n">
        <v>900002370</v>
      </c>
      <c r="H27" t="inlineStr">
        <is>
          <t>TC-MOSECA</t>
        </is>
      </c>
      <c r="I27" t="n">
        <v>5046324</v>
      </c>
      <c r="J27" t="inlineStr">
        <is>
          <t>MORTEROS SECOS DEL CARIBE SA DE CV</t>
        </is>
      </c>
      <c r="K27" t="inlineStr">
        <is>
          <t>Z06</t>
        </is>
      </c>
      <c r="L27" t="inlineStr">
        <is>
          <t>(AP) 45 Dias</t>
        </is>
      </c>
      <c r="M27" t="n">
        <v>10147933</v>
      </c>
      <c r="N27" t="inlineStr">
        <is>
          <t>ARENA TRITURADA CALIZA MALLA 4 LAVADO</t>
        </is>
      </c>
      <c r="O27" t="inlineStr">
        <is>
          <t>DW75</t>
        </is>
      </c>
      <c r="P27" t="inlineStr">
        <is>
          <t>MX-CED. Q. ROO NORTE</t>
        </is>
      </c>
      <c r="Q27" t="n">
        <v>20210712</v>
      </c>
      <c r="R27" t="n">
        <v>20291231</v>
      </c>
      <c r="S27" t="n">
        <v>20250611</v>
      </c>
      <c r="T27" t="n">
        <v>20301231</v>
      </c>
      <c r="U27" t="n">
        <v>340.39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56103638</v>
      </c>
      <c r="AD27" t="n">
        <v>6644321540</v>
      </c>
      <c r="AE27" t="n">
        <v>1</v>
      </c>
      <c r="AF27" t="inlineStr">
        <is>
          <t>ENTREGADO</t>
        </is>
      </c>
      <c r="AG27" t="n">
        <v>1.376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20250618</v>
      </c>
      <c r="AM27" t="inlineStr">
        <is>
          <t>DW75-900002370-10147933</t>
        </is>
      </c>
    </row>
    <row r="28">
      <c r="A28" t="inlineStr">
        <is>
          <t>900006554DW75D34910045642</t>
        </is>
      </c>
      <c r="B28" t="inlineStr">
        <is>
          <t>4600050647-90</t>
        </is>
      </c>
      <c r="C28" t="n">
        <v>4600050647</v>
      </c>
      <c r="D28" t="n">
        <v>90</v>
      </c>
      <c r="E28" t="inlineStr">
        <is>
          <t>MXPO</t>
        </is>
      </c>
      <c r="F28" t="inlineStr">
        <is>
          <t>MXL</t>
        </is>
      </c>
      <c r="G28" t="n">
        <v>900006554</v>
      </c>
      <c r="H28" t="inlineStr">
        <is>
          <t>TC-ED- MOSECA</t>
        </is>
      </c>
      <c r="I28" t="n">
        <v>5046324</v>
      </c>
      <c r="J28" t="inlineStr">
        <is>
          <t>MORTEROS SECOS DEL CARIBE SA DE CV</t>
        </is>
      </c>
      <c r="K28" t="inlineStr">
        <is>
          <t>Z06</t>
        </is>
      </c>
      <c r="L28" t="inlineStr">
        <is>
          <t>(AP) 45 Dias</t>
        </is>
      </c>
      <c r="M28" t="n">
        <v>10045642</v>
      </c>
      <c r="N28" t="inlineStr">
        <is>
          <t>Arena Triturada Caliza Malla 4</t>
        </is>
      </c>
      <c r="O28" t="inlineStr">
        <is>
          <t>DW75</t>
        </is>
      </c>
      <c r="P28" t="inlineStr">
        <is>
          <t>MX-CED. Q. ROO NORTE</t>
        </is>
      </c>
      <c r="Q28" t="n">
        <v>20210712</v>
      </c>
      <c r="R28" t="n">
        <v>20291231</v>
      </c>
      <c r="S28" t="n">
        <v>20250611</v>
      </c>
      <c r="T28" t="n">
        <v>20301231</v>
      </c>
      <c r="U28" t="n">
        <v>465.67</v>
      </c>
      <c r="V28" t="inlineStr">
        <is>
          <t>MXN</t>
        </is>
      </c>
      <c r="W28" t="inlineStr">
        <is>
          <t>M3</t>
        </is>
      </c>
      <c r="X28" t="n">
        <v>125.28</v>
      </c>
      <c r="Y28" t="inlineStr">
        <is>
          <t>MXN</t>
        </is>
      </c>
      <c r="Z28" t="inlineStr">
        <is>
          <t>M3</t>
        </is>
      </c>
      <c r="AA28" t="inlineStr">
        <is>
          <t>D349</t>
        </is>
      </c>
      <c r="AB28" t="inlineStr">
        <is>
          <t>PD0300 PETEMPICH</t>
        </is>
      </c>
      <c r="AC28" t="n">
        <v>56103638</v>
      </c>
      <c r="AD28" t="n">
        <v>6644321540</v>
      </c>
      <c r="AE28" t="n">
        <v>4</v>
      </c>
      <c r="AF28" t="inlineStr">
        <is>
          <t>ENTREGA DIRECTA</t>
        </is>
      </c>
      <c r="AG28" t="n">
        <v>1.471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20250618</v>
      </c>
      <c r="AM28" t="inlineStr">
        <is>
          <t>DW75-900006554-D349-10045642-4</t>
        </is>
      </c>
    </row>
    <row r="29">
      <c r="A29" t="inlineStr">
        <is>
          <t>900006554DW75D35810151191</t>
        </is>
      </c>
      <c r="B29" t="inlineStr">
        <is>
          <t>4600050647-320</t>
        </is>
      </c>
      <c r="C29" t="n">
        <v>4600050647</v>
      </c>
      <c r="D29" t="n">
        <v>320</v>
      </c>
      <c r="E29" t="inlineStr">
        <is>
          <t>MXPO</t>
        </is>
      </c>
      <c r="F29" t="inlineStr">
        <is>
          <t>MXL</t>
        </is>
      </c>
      <c r="G29" t="n">
        <v>900006554</v>
      </c>
      <c r="H29" t="inlineStr">
        <is>
          <t>TC-ED- MOSECA</t>
        </is>
      </c>
      <c r="I29" t="n">
        <v>5046324</v>
      </c>
      <c r="J29" t="inlineStr">
        <is>
          <t>MORTEROS SECOS DEL CARIBE SA DE CV</t>
        </is>
      </c>
      <c r="K29" t="inlineStr">
        <is>
          <t>Z06</t>
        </is>
      </c>
      <c r="L29" t="inlineStr">
        <is>
          <t>(AP) 45 Dias</t>
        </is>
      </c>
      <c r="M29" t="n">
        <v>10151191</v>
      </c>
      <c r="N29" t="inlineStr">
        <is>
          <t xml:space="preserve">GRAVA TRITURADA CALIZA 40MM 1 ½” </t>
        </is>
      </c>
      <c r="O29" t="inlineStr">
        <is>
          <t>DW75</t>
        </is>
      </c>
      <c r="P29" t="inlineStr">
        <is>
          <t>MX-CED. Q. ROO NORTE</t>
        </is>
      </c>
      <c r="Q29" t="n">
        <v>20210712</v>
      </c>
      <c r="R29" t="n">
        <v>20291231</v>
      </c>
      <c r="S29" t="n">
        <v>20260603</v>
      </c>
      <c r="T29" t="n">
        <v>20301231</v>
      </c>
      <c r="U29" t="n">
        <v>435.22</v>
      </c>
      <c r="V29" t="inlineStr">
        <is>
          <t>MXN</t>
        </is>
      </c>
      <c r="W29" t="inlineStr">
        <is>
          <t>M3</t>
        </is>
      </c>
      <c r="X29" t="n">
        <v>150</v>
      </c>
      <c r="Y29" t="inlineStr">
        <is>
          <t>MXN</t>
        </is>
      </c>
      <c r="Z29" t="inlineStr">
        <is>
          <t>M3</t>
        </is>
      </c>
      <c r="AA29" t="inlineStr">
        <is>
          <t>D358</t>
        </is>
      </c>
      <c r="AB29" t="inlineStr">
        <is>
          <t>PD0509 COLOSIO</t>
        </is>
      </c>
      <c r="AC29" t="n">
        <v>56103637</v>
      </c>
      <c r="AD29" t="n">
        <v>6644321540</v>
      </c>
      <c r="AE29" t="n">
        <v>4</v>
      </c>
      <c r="AF29" t="inlineStr">
        <is>
          <t>ENTREGA DIRECTA</t>
        </is>
      </c>
      <c r="AG29" t="n">
        <v>1.287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20260605</v>
      </c>
      <c r="AM29" t="inlineStr">
        <is>
          <t>DW75-900006554-D358-10151191-4</t>
        </is>
      </c>
    </row>
    <row r="30">
      <c r="A30" t="inlineStr">
        <is>
          <t>900005822DW7510043601</t>
        </is>
      </c>
      <c r="B30" t="inlineStr">
        <is>
          <t>4600050638-20</t>
        </is>
      </c>
      <c r="C30" t="n">
        <v>4600050638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900005822</v>
      </c>
      <c r="H30" t="inlineStr">
        <is>
          <t>SF TC-DELTA</t>
        </is>
      </c>
      <c r="I30" t="n">
        <v>5001811</v>
      </c>
      <c r="J30" t="inlineStr">
        <is>
          <t>DELTA PREMEZCLADO SA DE CV</t>
        </is>
      </c>
      <c r="K30" t="inlineStr">
        <is>
          <t>Z09</t>
        </is>
      </c>
      <c r="L30" t="inlineStr">
        <is>
          <t>(AP) 90 Dias</t>
        </is>
      </c>
      <c r="M30" t="n">
        <v>10043601</v>
      </c>
      <c r="N30" t="inlineStr">
        <is>
          <t>Grava Triturada Caliza 20 mm - 3/4"</t>
        </is>
      </c>
      <c r="O30" t="inlineStr">
        <is>
          <t>DW75</t>
        </is>
      </c>
      <c r="P30" t="inlineStr">
        <is>
          <t>MX-CED. Q. ROO NORTE</t>
        </is>
      </c>
      <c r="Q30" t="n">
        <v>20210712</v>
      </c>
      <c r="R30" t="n">
        <v>20301231</v>
      </c>
      <c r="S30" t="n">
        <v>20260603</v>
      </c>
      <c r="T30" t="n">
        <v>20301231</v>
      </c>
      <c r="U30" t="n">
        <v>350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56103637</v>
      </c>
      <c r="AD30" t="n">
        <v>6644321540</v>
      </c>
      <c r="AE30" t="n">
        <v>1</v>
      </c>
      <c r="AF30" t="inlineStr">
        <is>
          <t>ENTREGADO</t>
        </is>
      </c>
      <c r="AG30" t="n">
        <v>1.175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20260611</v>
      </c>
      <c r="AM30" t="inlineStr">
        <is>
          <t>DW75-900005822-10043601</t>
        </is>
      </c>
    </row>
    <row r="31">
      <c r="A31" t="inlineStr">
        <is>
          <t>900008644DW75D34910251252</t>
        </is>
      </c>
      <c r="B31" t="inlineStr">
        <is>
          <t>4600068853-10</t>
        </is>
      </c>
      <c r="C31" t="n">
        <v>4600068853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900008644</v>
      </c>
      <c r="H31" t="inlineStr">
        <is>
          <t>SF TC-ED CGC JABALI PLAYA</t>
        </is>
      </c>
      <c r="I31" t="n">
        <v>5092440</v>
      </c>
      <c r="J31" t="inlineStr">
        <is>
          <t>FERNANDEZ HERNANDEZ YURI HERNAN</t>
        </is>
      </c>
      <c r="K31" t="inlineStr">
        <is>
          <t>Z06</t>
        </is>
      </c>
      <c r="L31" t="inlineStr">
        <is>
          <t>(AP) 45 Dias</t>
        </is>
      </c>
      <c r="M31" t="n">
        <v>10251252</v>
      </c>
      <c r="N31" t="inlineStr">
        <is>
          <t>ARENA TRITURADA CALIZA MALLA 4</t>
        </is>
      </c>
      <c r="O31" t="inlineStr">
        <is>
          <t>DW75</t>
        </is>
      </c>
      <c r="P31" t="inlineStr">
        <is>
          <t>MX-CED. Q. ROO NORTE</t>
        </is>
      </c>
      <c r="Q31" t="n">
        <v>20231130</v>
      </c>
      <c r="R31" t="n">
        <v>20281231</v>
      </c>
      <c r="S31" t="n">
        <v>20250906</v>
      </c>
      <c r="T31" t="n">
        <v>20301231</v>
      </c>
      <c r="U31" t="n">
        <v>616.6</v>
      </c>
      <c r="V31" t="inlineStr">
        <is>
          <t>MXN</t>
        </is>
      </c>
      <c r="W31" t="inlineStr">
        <is>
          <t>M3</t>
        </is>
      </c>
      <c r="X31" t="n">
        <v>166.6</v>
      </c>
      <c r="Y31" t="inlineStr">
        <is>
          <t>MXN</t>
        </is>
      </c>
      <c r="Z31" t="inlineStr">
        <is>
          <t>M3</t>
        </is>
      </c>
      <c r="AA31" t="inlineStr">
        <is>
          <t>D349</t>
        </is>
      </c>
      <c r="AB31" t="inlineStr">
        <is>
          <t>PD0300 PETEMPICH</t>
        </is>
      </c>
      <c r="AC31" t="n">
        <v>56103638</v>
      </c>
      <c r="AD31" t="n">
        <v>6644321540</v>
      </c>
      <c r="AE31" t="n">
        <v>4</v>
      </c>
      <c r="AF31" t="inlineStr">
        <is>
          <t>ENTREGA DIRECTA</t>
        </is>
      </c>
      <c r="AG31" t="n">
        <v>1.406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20250911</v>
      </c>
      <c r="AM31" t="inlineStr">
        <is>
          <t>DW75-900008644-D349-10251252-4</t>
        </is>
      </c>
    </row>
    <row r="32">
      <c r="A32" t="inlineStr">
        <is>
          <t>900006554DW75D35810043601</t>
        </is>
      </c>
      <c r="B32" t="inlineStr">
        <is>
          <t>4600050647-350</t>
        </is>
      </c>
      <c r="C32" t="n">
        <v>4600050647</v>
      </c>
      <c r="D32" t="n">
        <v>350</v>
      </c>
      <c r="E32" t="inlineStr">
        <is>
          <t>MXPO</t>
        </is>
      </c>
      <c r="F32" t="inlineStr">
        <is>
          <t>MXL</t>
        </is>
      </c>
      <c r="G32" t="n">
        <v>900006554</v>
      </c>
      <c r="H32" t="inlineStr">
        <is>
          <t>TC-ED- MOSECA</t>
        </is>
      </c>
      <c r="I32" t="n">
        <v>5046324</v>
      </c>
      <c r="J32" t="inlineStr">
        <is>
          <t>MORTEROS SECOS DEL CARIBE SA DE CV</t>
        </is>
      </c>
      <c r="K32" t="inlineStr">
        <is>
          <t>Z06</t>
        </is>
      </c>
      <c r="L32" t="inlineStr">
        <is>
          <t>(AP) 45 Dias</t>
        </is>
      </c>
      <c r="M32" t="n">
        <v>10043601</v>
      </c>
      <c r="N32" t="inlineStr">
        <is>
          <t>Grava Triturada Caliza 20 mm - 3/4"</t>
        </is>
      </c>
      <c r="O32" t="inlineStr">
        <is>
          <t>DW75</t>
        </is>
      </c>
      <c r="P32" t="inlineStr">
        <is>
          <t>MX-CED. Q. ROO NORTE</t>
        </is>
      </c>
      <c r="Q32" t="n">
        <v>20210712</v>
      </c>
      <c r="R32" t="n">
        <v>20291231</v>
      </c>
      <c r="S32" t="n">
        <v>20250807</v>
      </c>
      <c r="T32" t="n">
        <v>20301231</v>
      </c>
      <c r="U32" t="n">
        <v>435.22</v>
      </c>
      <c r="V32" t="inlineStr">
        <is>
          <t>MXN</t>
        </is>
      </c>
      <c r="W32" t="inlineStr">
        <is>
          <t>M3</t>
        </is>
      </c>
      <c r="X32" t="n">
        <v>150</v>
      </c>
      <c r="Y32" t="inlineStr">
        <is>
          <t>MXN</t>
        </is>
      </c>
      <c r="Z32" t="inlineStr">
        <is>
          <t>M3</t>
        </is>
      </c>
      <c r="AA32" t="inlineStr">
        <is>
          <t>D358</t>
        </is>
      </c>
      <c r="AB32" t="inlineStr">
        <is>
          <t>PD0509 COLOSIO</t>
        </is>
      </c>
      <c r="AC32" t="n">
        <v>56103637</v>
      </c>
      <c r="AD32" t="n">
        <v>6644321540</v>
      </c>
      <c r="AE32" t="n">
        <v>4</v>
      </c>
      <c r="AF32" t="inlineStr">
        <is>
          <t>ENTREGA DIRECTA</t>
        </is>
      </c>
      <c r="AG32" t="n">
        <v>1.175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20250815</v>
      </c>
      <c r="AM32" t="inlineStr">
        <is>
          <t>DW75-900006554-D358-10043601-4</t>
        </is>
      </c>
    </row>
    <row r="33">
      <c r="A33" t="inlineStr">
        <is>
          <t>900007598DW7510248791</t>
        </is>
      </c>
      <c r="B33" t="inlineStr">
        <is>
          <t>4600068822-20</t>
        </is>
      </c>
      <c r="C33" t="n">
        <v>4600068822</v>
      </c>
      <c r="D33" t="n">
        <v>20</v>
      </c>
      <c r="E33" t="inlineStr">
        <is>
          <t>MXPO</t>
        </is>
      </c>
      <c r="F33" t="inlineStr">
        <is>
          <t>MXL</t>
        </is>
      </c>
      <c r="G33" t="n">
        <v>900007598</v>
      </c>
      <c r="H33" t="inlineStr">
        <is>
          <t>SF TC-CARACOL PRODIS</t>
        </is>
      </c>
      <c r="I33" t="n">
        <v>5083738</v>
      </c>
      <c r="J33" t="inlineStr">
        <is>
          <t>PROCESOS DISRUPTIVOS S DE RL DE CV</t>
        </is>
      </c>
      <c r="K33" t="inlineStr">
        <is>
          <t>Z04</t>
        </is>
      </c>
      <c r="L33" t="inlineStr">
        <is>
          <t>(AP) 30 Dias</t>
        </is>
      </c>
      <c r="M33" t="n">
        <v>10248791</v>
      </c>
      <c r="N33" t="inlineStr">
        <is>
          <t>GRAVA CALIZA TRIT 20MM-CARACOL INFRA</t>
        </is>
      </c>
      <c r="O33" t="inlineStr">
        <is>
          <t>DW75</t>
        </is>
      </c>
      <c r="P33" t="inlineStr">
        <is>
          <t>MX-CED. Q. ROO NORTE</t>
        </is>
      </c>
      <c r="Q33" t="n">
        <v>20240122</v>
      </c>
      <c r="R33" t="n">
        <v>20291231</v>
      </c>
      <c r="S33" t="n">
        <v>20250901</v>
      </c>
      <c r="T33" t="n">
        <v>20301231</v>
      </c>
      <c r="U33" t="n">
        <v>310</v>
      </c>
      <c r="V33" t="inlineStr">
        <is>
          <t>MXN</t>
        </is>
      </c>
      <c r="W33" t="inlineStr">
        <is>
          <t>M3</t>
        </is>
      </c>
      <c r="X33" t="n">
        <v>0</v>
      </c>
      <c r="Y33" t="inlineStr">
        <is>
          <t>MXN</t>
        </is>
      </c>
      <c r="Z33" t="inlineStr">
        <is>
          <t>M3</t>
        </is>
      </c>
      <c r="AC33" t="n">
        <v>56103637</v>
      </c>
      <c r="AD33" t="n">
        <v>6644321540</v>
      </c>
      <c r="AE33" t="n">
        <v>1</v>
      </c>
      <c r="AF33" t="inlineStr">
        <is>
          <t>ENTREGADO</t>
        </is>
      </c>
      <c r="AG33" t="n">
        <v>1.165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20250911</v>
      </c>
      <c r="AM33" t="inlineStr">
        <is>
          <t>DW75-900007598-10248791</t>
        </is>
      </c>
    </row>
    <row r="34">
      <c r="A34" t="inlineStr">
        <is>
          <t>900008644DW75D34310251252</t>
        </is>
      </c>
      <c r="B34" t="inlineStr">
        <is>
          <t>4600068853-60</t>
        </is>
      </c>
      <c r="C34" t="n">
        <v>4600068853</v>
      </c>
      <c r="D34" t="n">
        <v>60</v>
      </c>
      <c r="E34" t="inlineStr">
        <is>
          <t>MXPO</t>
        </is>
      </c>
      <c r="F34" t="inlineStr">
        <is>
          <t>MXL</t>
        </is>
      </c>
      <c r="G34" t="n">
        <v>900008644</v>
      </c>
      <c r="H34" t="inlineStr">
        <is>
          <t>SF TC-ED CGC JABALI PLAYA</t>
        </is>
      </c>
      <c r="I34" t="n">
        <v>5092440</v>
      </c>
      <c r="J34" t="inlineStr">
        <is>
          <t>FERNANDEZ HERNANDEZ YURI HERNAN</t>
        </is>
      </c>
      <c r="K34" t="inlineStr">
        <is>
          <t>Z06</t>
        </is>
      </c>
      <c r="L34" t="inlineStr">
        <is>
          <t>(AP) 45 Dias</t>
        </is>
      </c>
      <c r="M34" t="n">
        <v>10251252</v>
      </c>
      <c r="N34" t="inlineStr">
        <is>
          <t>ARENA TRITURADA CALIZA MALLA 4</t>
        </is>
      </c>
      <c r="O34" t="inlineStr">
        <is>
          <t>DW75</t>
        </is>
      </c>
      <c r="P34" t="inlineStr">
        <is>
          <t>MX-CED. Q. ROO NORTE</t>
        </is>
      </c>
      <c r="Q34" t="n">
        <v>20231130</v>
      </c>
      <c r="R34" t="n">
        <v>20281231</v>
      </c>
      <c r="S34" t="n">
        <v>20250906</v>
      </c>
      <c r="T34" t="n">
        <v>20301231</v>
      </c>
      <c r="U34" t="n">
        <v>699.9</v>
      </c>
      <c r="V34" t="inlineStr">
        <is>
          <t>MXN</t>
        </is>
      </c>
      <c r="W34" t="inlineStr">
        <is>
          <t>M3</t>
        </is>
      </c>
      <c r="X34" t="n">
        <v>249.9</v>
      </c>
      <c r="Y34" t="inlineStr">
        <is>
          <t>MXN</t>
        </is>
      </c>
      <c r="Z34" t="inlineStr">
        <is>
          <t>M3</t>
        </is>
      </c>
      <c r="AA34" t="inlineStr">
        <is>
          <t>D343</t>
        </is>
      </c>
      <c r="AB34" t="inlineStr">
        <is>
          <t>PD0270 RIVIERA MAYA</t>
        </is>
      </c>
      <c r="AC34" t="n">
        <v>56103638</v>
      </c>
      <c r="AD34" t="n">
        <v>6644321540</v>
      </c>
      <c r="AE34" t="n">
        <v>4</v>
      </c>
      <c r="AF34" t="inlineStr">
        <is>
          <t>ENTREGA DIRECTA</t>
        </is>
      </c>
      <c r="AG34" t="n">
        <v>1.406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20250911</v>
      </c>
      <c r="AM34" t="inlineStr">
        <is>
          <t>DW75-900008644-D343-10251252-4</t>
        </is>
      </c>
    </row>
    <row r="35">
      <c r="A35" t="inlineStr">
        <is>
          <t>900008644DW75D27810251252</t>
        </is>
      </c>
      <c r="B35" t="inlineStr">
        <is>
          <t>4600068853-40</t>
        </is>
      </c>
      <c r="C35" t="n">
        <v>4600068853</v>
      </c>
      <c r="D35" t="n">
        <v>40</v>
      </c>
      <c r="E35" t="inlineStr">
        <is>
          <t>MXPO</t>
        </is>
      </c>
      <c r="F35" t="inlineStr">
        <is>
          <t>MXL</t>
        </is>
      </c>
      <c r="G35" t="n">
        <v>900008644</v>
      </c>
      <c r="H35" t="inlineStr">
        <is>
          <t>SF TC-ED CGC JABALI PLAYA</t>
        </is>
      </c>
      <c r="I35" t="n">
        <v>5092440</v>
      </c>
      <c r="J35" t="inlineStr">
        <is>
          <t>FERNANDEZ HERNANDEZ YURI HERNAN</t>
        </is>
      </c>
      <c r="K35" t="inlineStr">
        <is>
          <t>Z06</t>
        </is>
      </c>
      <c r="L35" t="inlineStr">
        <is>
          <t>(AP) 45 Dias</t>
        </is>
      </c>
      <c r="M35" t="n">
        <v>10251252</v>
      </c>
      <c r="N35" t="inlineStr">
        <is>
          <t>ARENA TRITURADA CALIZA MALLA 4</t>
        </is>
      </c>
      <c r="O35" t="inlineStr">
        <is>
          <t>DW75</t>
        </is>
      </c>
      <c r="P35" t="inlineStr">
        <is>
          <t>MX-CED. Q. ROO NORTE</t>
        </is>
      </c>
      <c r="Q35" t="n">
        <v>20231130</v>
      </c>
      <c r="R35" t="n">
        <v>20281231</v>
      </c>
      <c r="S35" t="n">
        <v>20250906</v>
      </c>
      <c r="T35" t="n">
        <v>20301231</v>
      </c>
      <c r="U35" t="n">
        <v>768.5</v>
      </c>
      <c r="V35" t="inlineStr">
        <is>
          <t>MXN</t>
        </is>
      </c>
      <c r="W35" t="inlineStr">
        <is>
          <t>M3</t>
        </is>
      </c>
      <c r="X35" t="n">
        <v>318.5</v>
      </c>
      <c r="Y35" t="inlineStr">
        <is>
          <t>MXN</t>
        </is>
      </c>
      <c r="Z35" t="inlineStr">
        <is>
          <t>M3</t>
        </is>
      </c>
      <c r="AA35" t="inlineStr">
        <is>
          <t>D278</t>
        </is>
      </c>
      <c r="AB35" t="inlineStr">
        <is>
          <t>PD055 CANCUN</t>
        </is>
      </c>
      <c r="AC35" t="n">
        <v>56103638</v>
      </c>
      <c r="AD35" t="n">
        <v>6644321540</v>
      </c>
      <c r="AE35" t="n">
        <v>4</v>
      </c>
      <c r="AF35" t="inlineStr">
        <is>
          <t>ENTREGA DIRECTA</t>
        </is>
      </c>
      <c r="AG35" t="n">
        <v>1.406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20250911</v>
      </c>
      <c r="AM35" t="inlineStr">
        <is>
          <t>DW75-900008644-D278-10251252-4</t>
        </is>
      </c>
    </row>
    <row r="36">
      <c r="A36" t="inlineStr">
        <is>
          <t>900008643DW7510251252</t>
        </is>
      </c>
      <c r="B36" t="inlineStr">
        <is>
          <t>4600069807-20</t>
        </is>
      </c>
      <c r="C36" t="n">
        <v>4600069807</v>
      </c>
      <c r="D36" t="n">
        <v>20</v>
      </c>
      <c r="E36" t="inlineStr">
        <is>
          <t>MXPO</t>
        </is>
      </c>
      <c r="F36" t="inlineStr">
        <is>
          <t>MXL</t>
        </is>
      </c>
      <c r="G36" t="n">
        <v>900008643</v>
      </c>
      <c r="H36" t="inlineStr">
        <is>
          <t>SF TC-CGC JABALI PLAYA</t>
        </is>
      </c>
      <c r="I36" t="n">
        <v>5092440</v>
      </c>
      <c r="J36" t="inlineStr">
        <is>
          <t>FERNANDEZ HERNANDEZ YURI HERNAN</t>
        </is>
      </c>
      <c r="K36" t="inlineStr">
        <is>
          <t>Z06</t>
        </is>
      </c>
      <c r="L36" t="inlineStr">
        <is>
          <t>(AP) 45 Dias</t>
        </is>
      </c>
      <c r="M36" t="n">
        <v>10251252</v>
      </c>
      <c r="N36" t="inlineStr">
        <is>
          <t>ARENA TRITURADA CALIZA MALLA 4</t>
        </is>
      </c>
      <c r="O36" t="inlineStr">
        <is>
          <t>DW75</t>
        </is>
      </c>
      <c r="P36" t="inlineStr">
        <is>
          <t>MX-CED. Q. ROO NORTE</t>
        </is>
      </c>
      <c r="Q36" t="n">
        <v>20240703</v>
      </c>
      <c r="R36" t="n">
        <v>20291231</v>
      </c>
      <c r="S36" t="n">
        <v>20250906</v>
      </c>
      <c r="T36" t="n">
        <v>20301231</v>
      </c>
      <c r="U36" t="n">
        <v>450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56103638</v>
      </c>
      <c r="AD36" t="n">
        <v>6644321540</v>
      </c>
      <c r="AE36" t="n">
        <v>1</v>
      </c>
      <c r="AF36" t="inlineStr">
        <is>
          <t>ENTREGADO</t>
        </is>
      </c>
      <c r="AG36" t="n">
        <v>1.298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20250911</v>
      </c>
      <c r="AM36" t="inlineStr">
        <is>
          <t>DW75-900008643-10251252</t>
        </is>
      </c>
    </row>
    <row r="37">
      <c r="A37" t="inlineStr">
        <is>
          <t>900005845DW7510161246</t>
        </is>
      </c>
      <c r="B37" t="inlineStr">
        <is>
          <t>4600050640-10</t>
        </is>
      </c>
      <c r="C37" t="n">
        <v>4600050640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900005845</v>
      </c>
      <c r="H37" t="inlineStr">
        <is>
          <t>SF TC-TRICOBLOCKS</t>
        </is>
      </c>
      <c r="I37" t="n">
        <v>5070947</v>
      </c>
      <c r="J37" t="inlineStr">
        <is>
          <t>TRICOBLOCKS DEL SURESTE SA DE CV</t>
        </is>
      </c>
      <c r="K37" t="inlineStr">
        <is>
          <t>N90</t>
        </is>
      </c>
      <c r="L37" t="inlineStr">
        <is>
          <t>(AP) NAFIN 90 Dias</t>
        </is>
      </c>
      <c r="M37" t="n">
        <v>10161246</v>
      </c>
      <c r="N37" t="inlineStr">
        <is>
          <t>GRAVA CALIZA 20 MM (3/4")</t>
        </is>
      </c>
      <c r="O37" t="inlineStr">
        <is>
          <t>DW75</t>
        </is>
      </c>
      <c r="P37" t="inlineStr">
        <is>
          <t>MX-CED. Q. ROO NORTE</t>
        </is>
      </c>
      <c r="Q37" t="n">
        <v>20210712</v>
      </c>
      <c r="R37" t="n">
        <v>20261231</v>
      </c>
      <c r="S37" t="n">
        <v>20220306</v>
      </c>
      <c r="T37" t="n">
        <v>20271231</v>
      </c>
      <c r="U37" t="n">
        <v>275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56103637</v>
      </c>
      <c r="AD37" t="n">
        <v>6644321540</v>
      </c>
      <c r="AE37" t="n">
        <v>1</v>
      </c>
      <c r="AF37" t="inlineStr">
        <is>
          <t>ENTREGADO</t>
        </is>
      </c>
      <c r="AG37" t="n">
        <v>1.159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DW75-900005845-10161246</t>
        </is>
      </c>
    </row>
    <row r="38">
      <c r="A38" t="inlineStr">
        <is>
          <t>900005845DW7510009436</t>
        </is>
      </c>
      <c r="B38" t="inlineStr">
        <is>
          <t>4600050640-30</t>
        </is>
      </c>
      <c r="C38" t="n">
        <v>4600050640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900005845</v>
      </c>
      <c r="H38" t="inlineStr">
        <is>
          <t>SF TC-TRICOBLOCKS</t>
        </is>
      </c>
      <c r="I38" t="n">
        <v>5070947</v>
      </c>
      <c r="J38" t="inlineStr">
        <is>
          <t>TRICOBLOCKS DEL SURESTE SA DE CV</t>
        </is>
      </c>
      <c r="K38" t="inlineStr">
        <is>
          <t>N90</t>
        </is>
      </c>
      <c r="L38" t="inlineStr">
        <is>
          <t>(AP) NAFIN 90 Dias</t>
        </is>
      </c>
      <c r="M38" t="n">
        <v>10009436</v>
      </c>
      <c r="N38" t="inlineStr">
        <is>
          <t>Arena Triturada Caliza Malla 4 Lavado</t>
        </is>
      </c>
      <c r="O38" t="inlineStr">
        <is>
          <t>DW75</t>
        </is>
      </c>
      <c r="P38" t="inlineStr">
        <is>
          <t>MX-CED. Q. ROO NORTE</t>
        </is>
      </c>
      <c r="Q38" t="n">
        <v>20210712</v>
      </c>
      <c r="R38" t="n">
        <v>20261231</v>
      </c>
      <c r="S38" t="n">
        <v>20220306</v>
      </c>
      <c r="T38" t="n">
        <v>20271231</v>
      </c>
      <c r="U38" t="n">
        <v>330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56103638</v>
      </c>
      <c r="AD38" t="n">
        <v>6644321540</v>
      </c>
      <c r="AE38" t="n">
        <v>1</v>
      </c>
      <c r="AF38" t="inlineStr">
        <is>
          <t>ENTREGADO</t>
        </is>
      </c>
      <c r="AG38" t="n">
        <v>1.286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DW75-900005845-10009436</t>
        </is>
      </c>
    </row>
    <row r="39">
      <c r="A39" t="inlineStr">
        <is>
          <t>900005845DW7510032115</t>
        </is>
      </c>
      <c r="B39" t="inlineStr">
        <is>
          <t>4600050640-40</t>
        </is>
      </c>
      <c r="C39" t="n">
        <v>4600050640</v>
      </c>
      <c r="D39" t="n">
        <v>40</v>
      </c>
      <c r="E39" t="inlineStr">
        <is>
          <t>MXPO</t>
        </is>
      </c>
      <c r="F39" t="inlineStr">
        <is>
          <t>MXL</t>
        </is>
      </c>
      <c r="G39" t="n">
        <v>900005845</v>
      </c>
      <c r="H39" t="inlineStr">
        <is>
          <t>SF TC-TRICOBLOCKS</t>
        </is>
      </c>
      <c r="I39" t="n">
        <v>5070947</v>
      </c>
      <c r="J39" t="inlineStr">
        <is>
          <t>TRICOBLOCKS DEL SURESTE SA DE CV</t>
        </is>
      </c>
      <c r="K39" t="inlineStr">
        <is>
          <t>N90</t>
        </is>
      </c>
      <c r="L39" t="inlineStr">
        <is>
          <t>(AP) NAFIN 90 Dias</t>
        </is>
      </c>
      <c r="M39" t="n">
        <v>10032115</v>
      </c>
      <c r="N39" t="inlineStr">
        <is>
          <t>Grava Triturada Caliza 10 mm - 3/8"</t>
        </is>
      </c>
      <c r="O39" t="inlineStr">
        <is>
          <t>DW75</t>
        </is>
      </c>
      <c r="P39" t="inlineStr">
        <is>
          <t>MX-CED. Q. ROO NORTE</t>
        </is>
      </c>
      <c r="Q39" t="n">
        <v>20210712</v>
      </c>
      <c r="R39" t="n">
        <v>20261231</v>
      </c>
      <c r="S39" t="n">
        <v>20220306</v>
      </c>
      <c r="T39" t="n">
        <v>20271231</v>
      </c>
      <c r="U39" t="n">
        <v>275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56103637</v>
      </c>
      <c r="AD39" t="n">
        <v>6644321540</v>
      </c>
      <c r="AE39" t="n">
        <v>1</v>
      </c>
      <c r="AF39" t="inlineStr">
        <is>
          <t>ENTREGADO</t>
        </is>
      </c>
      <c r="AG39" t="n">
        <v>1.165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DW75-900005845-10032115</t>
        </is>
      </c>
    </row>
    <row r="40">
      <c r="A40" t="inlineStr">
        <is>
          <t>900005845DW7510000742</t>
        </is>
      </c>
      <c r="B40" t="inlineStr">
        <is>
          <t>4600050640-20</t>
        </is>
      </c>
      <c r="C40" t="n">
        <v>4600050640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900005845</v>
      </c>
      <c r="H40" t="inlineStr">
        <is>
          <t>SF TC-TRICOBLOCKS</t>
        </is>
      </c>
      <c r="I40" t="n">
        <v>5070947</v>
      </c>
      <c r="J40" t="inlineStr">
        <is>
          <t>TRICOBLOCKS DEL SURESTE SA DE CV</t>
        </is>
      </c>
      <c r="K40" t="inlineStr">
        <is>
          <t>N90</t>
        </is>
      </c>
      <c r="L40" t="inlineStr">
        <is>
          <t>(AP) NAFIN 90 Dias</t>
        </is>
      </c>
      <c r="M40" t="n">
        <v>10000742</v>
      </c>
      <c r="N40" t="inlineStr">
        <is>
          <t>Arena Triturada Caliza Malla 4</t>
        </is>
      </c>
      <c r="O40" t="inlineStr">
        <is>
          <t>DW75</t>
        </is>
      </c>
      <c r="P40" t="inlineStr">
        <is>
          <t>MX-CED. Q. ROO NORTE</t>
        </is>
      </c>
      <c r="Q40" t="n">
        <v>20210712</v>
      </c>
      <c r="R40" t="n">
        <v>20261231</v>
      </c>
      <c r="S40" t="n">
        <v>20220306</v>
      </c>
      <c r="T40" t="n">
        <v>20271231</v>
      </c>
      <c r="U40" t="n">
        <v>340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56103638</v>
      </c>
      <c r="AD40" t="n">
        <v>6644321540</v>
      </c>
      <c r="AE40" t="n">
        <v>1</v>
      </c>
      <c r="AF40" t="inlineStr">
        <is>
          <t>ENTREGADO</t>
        </is>
      </c>
      <c r="AG40" t="n">
        <v>1.375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DW75-900005845-10000742</t>
        </is>
      </c>
    </row>
    <row r="41">
      <c r="A41" t="inlineStr">
        <is>
          <t>900002370DW7510189747</t>
        </is>
      </c>
      <c r="B41" t="inlineStr">
        <is>
          <t>4600050628-70</t>
        </is>
      </c>
      <c r="C41" t="n">
        <v>4600050628</v>
      </c>
      <c r="D41" t="n">
        <v>70</v>
      </c>
      <c r="E41" t="inlineStr">
        <is>
          <t>MXPO</t>
        </is>
      </c>
      <c r="F41" t="inlineStr">
        <is>
          <t>MXL</t>
        </is>
      </c>
      <c r="G41" t="n">
        <v>900002370</v>
      </c>
      <c r="H41" t="inlineStr">
        <is>
          <t>TC-MOSECA</t>
        </is>
      </c>
      <c r="I41" t="n">
        <v>5046324</v>
      </c>
      <c r="J41" t="inlineStr">
        <is>
          <t>MORTEROS SECOS DEL CARIBE SA DE CV</t>
        </is>
      </c>
      <c r="K41" t="inlineStr">
        <is>
          <t>Z06</t>
        </is>
      </c>
      <c r="L41" t="inlineStr">
        <is>
          <t>(AP) 45 Dias</t>
        </is>
      </c>
      <c r="M41" t="n">
        <v>10189747</v>
      </c>
      <c r="N41" t="inlineStr">
        <is>
          <t>GRAVA CALIZA 10MM 3/8</t>
        </is>
      </c>
      <c r="O41" t="inlineStr">
        <is>
          <t>DW75</t>
        </is>
      </c>
      <c r="P41" t="inlineStr">
        <is>
          <t>MX-CED. Q. ROO NORTE</t>
        </is>
      </c>
      <c r="Q41" t="n">
        <v>20210712</v>
      </c>
      <c r="R41" t="n">
        <v>20291231</v>
      </c>
      <c r="S41" t="n">
        <v>20240215</v>
      </c>
      <c r="T41" t="n">
        <v>20291231</v>
      </c>
      <c r="U41" t="n">
        <v>278.18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56103637</v>
      </c>
      <c r="AD41" t="n">
        <v>6644321540</v>
      </c>
      <c r="AE41" t="n">
        <v>1</v>
      </c>
      <c r="AF41" t="inlineStr">
        <is>
          <t>ENTREGADO</t>
        </is>
      </c>
      <c r="AG41" t="n">
        <v>1.182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20240308</v>
      </c>
      <c r="AM41" t="inlineStr">
        <is>
          <t>DW75-900002370-10189747</t>
        </is>
      </c>
    </row>
    <row r="42">
      <c r="A42" t="inlineStr">
        <is>
          <t>900008654DW75D34910251250</t>
        </is>
      </c>
      <c r="B42" t="inlineStr">
        <is>
          <t>4600068856-10</t>
        </is>
      </c>
      <c r="C42" t="n">
        <v>4600068856</v>
      </c>
      <c r="D42" t="n">
        <v>10</v>
      </c>
      <c r="E42" t="inlineStr">
        <is>
          <t>MXPO</t>
        </is>
      </c>
      <c r="F42" t="inlineStr">
        <is>
          <t>MXL</t>
        </is>
      </c>
      <c r="G42" t="n">
        <v>900008654</v>
      </c>
      <c r="H42" t="inlineStr">
        <is>
          <t>SF TC-ED IFLORES REY MESTIZO</t>
        </is>
      </c>
      <c r="I42" t="n">
        <v>5005320</v>
      </c>
      <c r="J42" t="inlineStr">
        <is>
          <t>FLORES CAUICH ISMAEL</t>
        </is>
      </c>
      <c r="K42" t="inlineStr">
        <is>
          <t>N90</t>
        </is>
      </c>
      <c r="L42" t="inlineStr">
        <is>
          <t>(AP) NAFIN 90 Dias</t>
        </is>
      </c>
      <c r="M42" t="n">
        <v>10251250</v>
      </c>
      <c r="N42" t="inlineStr">
        <is>
          <t>ARENA TRITURADA CALIZA MALLA 4</t>
        </is>
      </c>
      <c r="O42" t="inlineStr">
        <is>
          <t>DW75</t>
        </is>
      </c>
      <c r="P42" t="inlineStr">
        <is>
          <t>MX-CED. Q. ROO NORTE</t>
        </is>
      </c>
      <c r="Q42" t="n">
        <v>20231130</v>
      </c>
      <c r="R42" t="n">
        <v>20281231</v>
      </c>
      <c r="S42" t="n">
        <v>20231130</v>
      </c>
      <c r="T42" t="n">
        <v>20281231</v>
      </c>
      <c r="U42" t="n">
        <v>801</v>
      </c>
      <c r="V42" t="inlineStr">
        <is>
          <t>MXN</t>
        </is>
      </c>
      <c r="W42" t="inlineStr">
        <is>
          <t>M3</t>
        </is>
      </c>
      <c r="X42" t="n">
        <v>186</v>
      </c>
      <c r="Y42" t="inlineStr">
        <is>
          <t>MXN</t>
        </is>
      </c>
      <c r="Z42" t="inlineStr">
        <is>
          <t>M3</t>
        </is>
      </c>
      <c r="AA42" t="inlineStr">
        <is>
          <t>D349</t>
        </is>
      </c>
      <c r="AB42" t="inlineStr">
        <is>
          <t>PD0300 PETEMPICH</t>
        </is>
      </c>
      <c r="AC42" t="n">
        <v>56103638</v>
      </c>
      <c r="AD42" t="n">
        <v>6644321540</v>
      </c>
      <c r="AE42" t="n">
        <v>4</v>
      </c>
      <c r="AF42" t="inlineStr">
        <is>
          <t>ENTREGA DIRECTA</t>
        </is>
      </c>
      <c r="AG42" t="n">
        <v>1.404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20231204</v>
      </c>
      <c r="AM42" t="inlineStr">
        <is>
          <t>DW75-900008654-D349-10251250-4</t>
        </is>
      </c>
    </row>
    <row r="43">
      <c r="A43" t="inlineStr">
        <is>
          <t>900008652DW75D34910251252</t>
        </is>
      </c>
      <c r="B43" t="inlineStr">
        <is>
          <t>4600068855-10</t>
        </is>
      </c>
      <c r="C43" t="n">
        <v>4600068855</v>
      </c>
      <c r="D43" t="n">
        <v>10</v>
      </c>
      <c r="E43" t="inlineStr">
        <is>
          <t>MXPO</t>
        </is>
      </c>
      <c r="F43" t="inlineStr">
        <is>
          <t>MXL</t>
        </is>
      </c>
      <c r="G43" t="n">
        <v>900008652</v>
      </c>
      <c r="H43" t="inlineStr">
        <is>
          <t>SF TC-ED IFLORES JABALI PLAYA</t>
        </is>
      </c>
      <c r="I43" t="n">
        <v>5005320</v>
      </c>
      <c r="J43" t="inlineStr">
        <is>
          <t>FLORES CAUICH ISMAEL</t>
        </is>
      </c>
      <c r="K43" t="inlineStr">
        <is>
          <t>N90</t>
        </is>
      </c>
      <c r="L43" t="inlineStr">
        <is>
          <t>(AP) NAFIN 90 Dias</t>
        </is>
      </c>
      <c r="M43" t="n">
        <v>10251252</v>
      </c>
      <c r="N43" t="inlineStr">
        <is>
          <t>ARENA TRITURADA CALIZA MALLA 4</t>
        </is>
      </c>
      <c r="O43" t="inlineStr">
        <is>
          <t>DW75</t>
        </is>
      </c>
      <c r="P43" t="inlineStr">
        <is>
          <t>MX-CED. Q. ROO NORTE</t>
        </is>
      </c>
      <c r="Q43" t="n">
        <v>20231130</v>
      </c>
      <c r="R43" t="n">
        <v>20281231</v>
      </c>
      <c r="S43" t="n">
        <v>20231130</v>
      </c>
      <c r="T43" t="n">
        <v>20281231</v>
      </c>
      <c r="U43" t="n">
        <v>803</v>
      </c>
      <c r="V43" t="inlineStr">
        <is>
          <t>MXN</t>
        </is>
      </c>
      <c r="W43" t="inlineStr">
        <is>
          <t>M3</t>
        </is>
      </c>
      <c r="X43" t="n">
        <v>177</v>
      </c>
      <c r="Y43" t="inlineStr">
        <is>
          <t>MXN</t>
        </is>
      </c>
      <c r="Z43" t="inlineStr">
        <is>
          <t>M3</t>
        </is>
      </c>
      <c r="AA43" t="inlineStr">
        <is>
          <t>D349</t>
        </is>
      </c>
      <c r="AB43" t="inlineStr">
        <is>
          <t>PD0300 PETEMPICH</t>
        </is>
      </c>
      <c r="AC43" t="n">
        <v>56103638</v>
      </c>
      <c r="AD43" t="n">
        <v>6644321540</v>
      </c>
      <c r="AE43" t="n">
        <v>4</v>
      </c>
      <c r="AF43" t="inlineStr">
        <is>
          <t>ENTREGA DIRECTA</t>
        </is>
      </c>
      <c r="AG43" t="n">
        <v>1.406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20231204</v>
      </c>
      <c r="AM43" t="inlineStr">
        <is>
          <t>DW75-900008652-D349-10251252-4</t>
        </is>
      </c>
    </row>
    <row r="44">
      <c r="A44" t="inlineStr">
        <is>
          <t>900009313DW75D34910043601</t>
        </is>
      </c>
      <c r="B44" t="inlineStr">
        <is>
          <t>4600071608-10</t>
        </is>
      </c>
      <c r="C44" t="n">
        <v>4600071608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900009313</v>
      </c>
      <c r="H44" t="inlineStr">
        <is>
          <t>SF TC-ED DELTA</t>
        </is>
      </c>
      <c r="I44" t="n">
        <v>5001811</v>
      </c>
      <c r="J44" t="inlineStr">
        <is>
          <t>DELTA PREMEZCLADO SA DE CV</t>
        </is>
      </c>
      <c r="K44" t="inlineStr">
        <is>
          <t>N90</t>
        </is>
      </c>
      <c r="L44" t="inlineStr">
        <is>
          <t>(AP) NAFIN 90 Dias</t>
        </is>
      </c>
      <c r="M44" t="n">
        <v>10043601</v>
      </c>
      <c r="N44" t="inlineStr">
        <is>
          <t>Grava Triturada Caliza 20 mm - 3/4"</t>
        </is>
      </c>
      <c r="O44" t="inlineStr">
        <is>
          <t>DW75</t>
        </is>
      </c>
      <c r="P44" t="inlineStr">
        <is>
          <t>MX-CED. Q. ROO NORTE</t>
        </is>
      </c>
      <c r="Q44" t="n">
        <v>20250902</v>
      </c>
      <c r="R44" t="n">
        <v>20301231</v>
      </c>
      <c r="S44" t="n">
        <v>20250902</v>
      </c>
      <c r="T44" t="n">
        <v>20301231</v>
      </c>
      <c r="U44" t="n">
        <v>381.2</v>
      </c>
      <c r="V44" t="inlineStr">
        <is>
          <t>MXN</t>
        </is>
      </c>
      <c r="W44" t="inlineStr">
        <is>
          <t>M3</t>
        </is>
      </c>
      <c r="X44" t="n">
        <v>50</v>
      </c>
      <c r="Y44" t="inlineStr">
        <is>
          <t>MXN</t>
        </is>
      </c>
      <c r="Z44" t="inlineStr">
        <is>
          <t>M3</t>
        </is>
      </c>
      <c r="AA44" t="inlineStr">
        <is>
          <t>D349</t>
        </is>
      </c>
      <c r="AB44" t="inlineStr">
        <is>
          <t>PD0300 PETEMPICH</t>
        </is>
      </c>
      <c r="AC44" t="n">
        <v>56103637</v>
      </c>
      <c r="AD44" t="n">
        <v>6644321540</v>
      </c>
      <c r="AE44" t="n">
        <v>4</v>
      </c>
      <c r="AF44" t="inlineStr">
        <is>
          <t>ENTREGA DIRECTA</t>
        </is>
      </c>
      <c r="AG44" t="n">
        <v>1.175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20250903</v>
      </c>
      <c r="AM44" t="inlineStr">
        <is>
          <t>DW75-900009313-D349-10043601-4</t>
        </is>
      </c>
    </row>
    <row r="45">
      <c r="A45" t="inlineStr">
        <is>
          <t>900008642DW75D34910251250</t>
        </is>
      </c>
      <c r="B45" t="inlineStr">
        <is>
          <t>4600068854-10</t>
        </is>
      </c>
      <c r="C45" t="n">
        <v>4600068854</v>
      </c>
      <c r="D45" t="n">
        <v>10</v>
      </c>
      <c r="E45" t="inlineStr">
        <is>
          <t>MXPO</t>
        </is>
      </c>
      <c r="F45" t="inlineStr">
        <is>
          <t>MXL</t>
        </is>
      </c>
      <c r="G45" t="n">
        <v>900008642</v>
      </c>
      <c r="H45" t="inlineStr">
        <is>
          <t>SF TC-ED CGC REY MESTIZO</t>
        </is>
      </c>
      <c r="I45" t="n">
        <v>5092440</v>
      </c>
      <c r="J45" t="inlineStr">
        <is>
          <t>FERNANDEZ HERNANDEZ YURI HERNAN</t>
        </is>
      </c>
      <c r="K45" t="inlineStr">
        <is>
          <t>Z06</t>
        </is>
      </c>
      <c r="L45" t="inlineStr">
        <is>
          <t>(AP) 45 Dias</t>
        </is>
      </c>
      <c r="M45" t="n">
        <v>10251250</v>
      </c>
      <c r="N45" t="inlineStr">
        <is>
          <t>ARENA TRITURADA CALIZA MALLA 4</t>
        </is>
      </c>
      <c r="O45" t="inlineStr">
        <is>
          <t>DW75</t>
        </is>
      </c>
      <c r="P45" t="inlineStr">
        <is>
          <t>MX-CED. Q. ROO NORTE</t>
        </is>
      </c>
      <c r="Q45" t="n">
        <v>20231130</v>
      </c>
      <c r="R45" t="n">
        <v>20281231</v>
      </c>
      <c r="S45" t="n">
        <v>20231130</v>
      </c>
      <c r="T45" t="n">
        <v>20281231</v>
      </c>
      <c r="U45" t="n">
        <v>706.4</v>
      </c>
      <c r="V45" t="inlineStr">
        <is>
          <t>MXN</t>
        </is>
      </c>
      <c r="W45" t="inlineStr">
        <is>
          <t>M3</t>
        </is>
      </c>
      <c r="X45" t="n">
        <v>176.4</v>
      </c>
      <c r="Y45" t="inlineStr">
        <is>
          <t>MXN</t>
        </is>
      </c>
      <c r="Z45" t="inlineStr">
        <is>
          <t>M3</t>
        </is>
      </c>
      <c r="AA45" t="inlineStr">
        <is>
          <t>D349</t>
        </is>
      </c>
      <c r="AB45" t="inlineStr">
        <is>
          <t>PD0300 PETEMPICH</t>
        </is>
      </c>
      <c r="AC45" t="n">
        <v>56103638</v>
      </c>
      <c r="AD45" t="n">
        <v>6644321540</v>
      </c>
      <c r="AE45" t="n">
        <v>4</v>
      </c>
      <c r="AF45" t="inlineStr">
        <is>
          <t>ENTREGA DIRECTA</t>
        </is>
      </c>
      <c r="AG45" t="n">
        <v>1.404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20231204</v>
      </c>
      <c r="AM45" t="inlineStr">
        <is>
          <t>DW75-900008642-D349-10251250-4</t>
        </is>
      </c>
    </row>
    <row r="46">
      <c r="A46" t="inlineStr">
        <is>
          <t>900005845DW7510266819</t>
        </is>
      </c>
      <c r="B46" t="inlineStr">
        <is>
          <t>4600050640-50</t>
        </is>
      </c>
      <c r="C46" t="n">
        <v>4600050640</v>
      </c>
      <c r="D46" t="n">
        <v>50</v>
      </c>
      <c r="E46" t="inlineStr">
        <is>
          <t>MXPO</t>
        </is>
      </c>
      <c r="F46" t="inlineStr">
        <is>
          <t>MXL</t>
        </is>
      </c>
      <c r="G46" t="n">
        <v>900005845</v>
      </c>
      <c r="H46" t="inlineStr">
        <is>
          <t>SF TC-TRICOBLOCKS</t>
        </is>
      </c>
      <c r="I46" t="n">
        <v>5070947</v>
      </c>
      <c r="J46" t="inlineStr">
        <is>
          <t>TRICOBLOCKS DEL SURESTE SA DE CV</t>
        </is>
      </c>
      <c r="K46" t="inlineStr">
        <is>
          <t>N90</t>
        </is>
      </c>
      <c r="L46" t="inlineStr">
        <is>
          <t>(AP) NAFIN 90 Dias</t>
        </is>
      </c>
      <c r="M46" t="n">
        <v>10266819</v>
      </c>
      <c r="N46" t="inlineStr">
        <is>
          <t>MP BASE H. 40MM A FINOS -SCT ASUR</t>
        </is>
      </c>
      <c r="O46" t="inlineStr">
        <is>
          <t>DW75</t>
        </is>
      </c>
      <c r="P46" t="inlineStr">
        <is>
          <t>MX-CED. Q. ROO NORTE</t>
        </is>
      </c>
      <c r="Q46" t="n">
        <v>20210712</v>
      </c>
      <c r="R46" t="n">
        <v>20261231</v>
      </c>
      <c r="S46" t="n">
        <v>20251010</v>
      </c>
      <c r="T46" t="n">
        <v>20301231</v>
      </c>
      <c r="U46" t="n">
        <v>400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56103590</v>
      </c>
      <c r="AD46" t="n">
        <v>6644321540</v>
      </c>
      <c r="AE46" t="n">
        <v>1</v>
      </c>
      <c r="AF46" t="inlineStr">
        <is>
          <t>ENTREGADO</t>
        </is>
      </c>
      <c r="AG46" t="n">
        <v>1.377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20251014</v>
      </c>
      <c r="AM46" t="inlineStr">
        <is>
          <t>DW75-900005845-10266819</t>
        </is>
      </c>
    </row>
    <row r="47">
      <c r="A47" t="inlineStr">
        <is>
          <t>900007756DW7510221763</t>
        </is>
      </c>
      <c r="B47" t="inlineStr">
        <is>
          <t>4600055508-10</t>
        </is>
      </c>
      <c r="C47" t="n">
        <v>4600055508</v>
      </c>
      <c r="D47" t="n">
        <v>10</v>
      </c>
      <c r="E47" t="inlineStr">
        <is>
          <t>MXPO</t>
        </is>
      </c>
      <c r="F47" t="inlineStr">
        <is>
          <t>MXL</t>
        </is>
      </c>
      <c r="G47" t="n">
        <v>900007756</v>
      </c>
      <c r="H47" t="inlineStr">
        <is>
          <t>SF TC-MYM SANTA FE</t>
        </is>
      </c>
      <c r="I47" t="n">
        <v>5086859</v>
      </c>
      <c r="J47" t="inlineStr">
        <is>
          <t>M Y M CARIBE SA DE CV</t>
        </is>
      </c>
      <c r="K47" t="inlineStr">
        <is>
          <t>Z04</t>
        </is>
      </c>
      <c r="L47" t="inlineStr">
        <is>
          <t>(AP) 30 Dias</t>
        </is>
      </c>
      <c r="M47" t="n">
        <v>10221763</v>
      </c>
      <c r="N47" t="inlineStr">
        <is>
          <t>ARENA TRITURADA CALIZA MALLA 4</t>
        </is>
      </c>
      <c r="O47" t="inlineStr">
        <is>
          <t>DW75</t>
        </is>
      </c>
      <c r="P47" t="inlineStr">
        <is>
          <t>MX-CED. Q. ROO NORTE</t>
        </is>
      </c>
      <c r="Q47" t="n">
        <v>20220901</v>
      </c>
      <c r="R47" t="n">
        <v>20291231</v>
      </c>
      <c r="S47" t="n">
        <v>20240122</v>
      </c>
      <c r="T47" t="n">
        <v>20291231</v>
      </c>
      <c r="U47" t="n">
        <v>515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56103638</v>
      </c>
      <c r="AD47" t="n">
        <v>6644321540</v>
      </c>
      <c r="AE47" t="n">
        <v>1</v>
      </c>
      <c r="AF47" t="inlineStr">
        <is>
          <t>ENTREGADO</t>
        </is>
      </c>
      <c r="AG47" t="n">
        <v>1.331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20240125</v>
      </c>
      <c r="AM47" t="inlineStr">
        <is>
          <t>DW75-900007756-10221763</t>
        </is>
      </c>
    </row>
    <row r="48">
      <c r="A48" t="inlineStr">
        <is>
          <t>900007058DW7510000365</t>
        </is>
      </c>
      <c r="B48" t="inlineStr">
        <is>
          <t>4600050653-40</t>
        </is>
      </c>
      <c r="C48" t="n">
        <v>4600050653</v>
      </c>
      <c r="D48" t="n">
        <v>40</v>
      </c>
      <c r="E48" t="inlineStr">
        <is>
          <t>MXPO</t>
        </is>
      </c>
      <c r="F48" t="inlineStr">
        <is>
          <t>MXL</t>
        </is>
      </c>
      <c r="G48" t="n">
        <v>900007058</v>
      </c>
      <c r="H48" t="inlineStr">
        <is>
          <t>SF TC-ABC COMERICIALIZADORA CUN</t>
        </is>
      </c>
      <c r="I48" t="n">
        <v>5080208</v>
      </c>
      <c r="J48" t="inlineStr">
        <is>
          <t>ARENAS Y BLOQUES COMERCIALIZADORA</t>
        </is>
      </c>
      <c r="K48" t="inlineStr">
        <is>
          <t>Z04</t>
        </is>
      </c>
      <c r="L48" t="inlineStr">
        <is>
          <t>(AP) 30 Dias</t>
        </is>
      </c>
      <c r="M48" t="n">
        <v>10000365</v>
      </c>
      <c r="N48" t="inlineStr">
        <is>
          <t>Grava Triturada Caliza 20 mm - 3/4"</t>
        </is>
      </c>
      <c r="O48" t="inlineStr">
        <is>
          <t>DW75</t>
        </is>
      </c>
      <c r="P48" t="inlineStr">
        <is>
          <t>MX-CED. Q. ROO NORTE</t>
        </is>
      </c>
      <c r="Q48" t="n">
        <v>20210712</v>
      </c>
      <c r="R48" t="n">
        <v>20291231</v>
      </c>
      <c r="S48" t="n">
        <v>20241105</v>
      </c>
      <c r="T48" t="n">
        <v>20291231</v>
      </c>
      <c r="U48" t="n">
        <v>403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56103637</v>
      </c>
      <c r="AD48" t="n">
        <v>6644321540</v>
      </c>
      <c r="AE48" t="n">
        <v>1</v>
      </c>
      <c r="AF48" t="inlineStr">
        <is>
          <t>ENTREGADO</t>
        </is>
      </c>
      <c r="AG48" t="n">
        <v>1.176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20241107</v>
      </c>
      <c r="AM48" t="inlineStr">
        <is>
          <t>DW75-900007058-10000365</t>
        </is>
      </c>
    </row>
    <row r="49">
      <c r="A49" t="inlineStr">
        <is>
          <t>900007058DW7510000364</t>
        </is>
      </c>
      <c r="B49" t="inlineStr">
        <is>
          <t>4600050653-30</t>
        </is>
      </c>
      <c r="C49" t="n">
        <v>4600050653</v>
      </c>
      <c r="D49" t="n">
        <v>30</v>
      </c>
      <c r="E49" t="inlineStr">
        <is>
          <t>MXPO</t>
        </is>
      </c>
      <c r="F49" t="inlineStr">
        <is>
          <t>MXL</t>
        </is>
      </c>
      <c r="G49" t="n">
        <v>900007058</v>
      </c>
      <c r="H49" t="inlineStr">
        <is>
          <t>SF TC-ABC COMERICIALIZADORA CUN</t>
        </is>
      </c>
      <c r="I49" t="n">
        <v>5080208</v>
      </c>
      <c r="J49" t="inlineStr">
        <is>
          <t>ARENAS Y BLOQUES COMERCIALIZADORA</t>
        </is>
      </c>
      <c r="K49" t="inlineStr">
        <is>
          <t>Z04</t>
        </is>
      </c>
      <c r="L49" t="inlineStr">
        <is>
          <t>(AP) 30 Dias</t>
        </is>
      </c>
      <c r="M49" t="n">
        <v>10000364</v>
      </c>
      <c r="N49" t="inlineStr">
        <is>
          <t>Arena Triturada Caliza Malla 4</t>
        </is>
      </c>
      <c r="O49" t="inlineStr">
        <is>
          <t>DW75</t>
        </is>
      </c>
      <c r="P49" t="inlineStr">
        <is>
          <t>MX-CED. Q. ROO NORTE</t>
        </is>
      </c>
      <c r="Q49" t="n">
        <v>20210712</v>
      </c>
      <c r="R49" t="n">
        <v>20291231</v>
      </c>
      <c r="S49" t="n">
        <v>20241105</v>
      </c>
      <c r="T49" t="n">
        <v>20291231</v>
      </c>
      <c r="U49" t="n">
        <v>475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56103638</v>
      </c>
      <c r="AD49" t="n">
        <v>6644321540</v>
      </c>
      <c r="AE49" t="n">
        <v>1</v>
      </c>
      <c r="AF49" t="inlineStr">
        <is>
          <t>ENTREGADO</t>
        </is>
      </c>
      <c r="AG49" t="n">
        <v>1.434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20241107</v>
      </c>
      <c r="AM49" t="inlineStr">
        <is>
          <t>DW75-900007058-10000364</t>
        </is>
      </c>
    </row>
    <row r="50">
      <c r="A50" t="inlineStr">
        <is>
          <t>900007756DW7510246797</t>
        </is>
      </c>
      <c r="B50" t="inlineStr">
        <is>
          <t>4600055508-20</t>
        </is>
      </c>
      <c r="C50" t="n">
        <v>4600055508</v>
      </c>
      <c r="D50" t="n">
        <v>20</v>
      </c>
      <c r="E50" t="inlineStr">
        <is>
          <t>MXPO</t>
        </is>
      </c>
      <c r="F50" t="inlineStr">
        <is>
          <t>MXL</t>
        </is>
      </c>
      <c r="G50" t="n">
        <v>900007756</v>
      </c>
      <c r="H50" t="inlineStr">
        <is>
          <t>SF TC-MYM SANTA FE</t>
        </is>
      </c>
      <c r="I50" t="n">
        <v>5086859</v>
      </c>
      <c r="J50" t="inlineStr">
        <is>
          <t>M Y M CARIBE SA DE CV</t>
        </is>
      </c>
      <c r="K50" t="inlineStr">
        <is>
          <t>Z04</t>
        </is>
      </c>
      <c r="L50" t="inlineStr">
        <is>
          <t>(AP) 30 Dias</t>
        </is>
      </c>
      <c r="M50" t="n">
        <v>10246797</v>
      </c>
      <c r="N50" t="inlineStr">
        <is>
          <t>ARENA CALIZA TRIT MALLA 4 - MYM INFRA</t>
        </is>
      </c>
      <c r="O50" t="inlineStr">
        <is>
          <t>DW75</t>
        </is>
      </c>
      <c r="P50" t="inlineStr">
        <is>
          <t>MX-CED. Q. ROO NORTE</t>
        </is>
      </c>
      <c r="Q50" t="n">
        <v>20220901</v>
      </c>
      <c r="R50" t="n">
        <v>20291231</v>
      </c>
      <c r="S50" t="n">
        <v>20231001</v>
      </c>
      <c r="T50" t="n">
        <v>20281231</v>
      </c>
      <c r="U50" t="n">
        <v>460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56103638</v>
      </c>
      <c r="AD50" t="n">
        <v>6644321540</v>
      </c>
      <c r="AE50" t="n">
        <v>1</v>
      </c>
      <c r="AF50" t="inlineStr">
        <is>
          <t>ENTREGADO</t>
        </is>
      </c>
      <c r="AG50" t="n">
        <v>1.265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20231110</v>
      </c>
      <c r="AM50" t="inlineStr">
        <is>
          <t>DW75-900007756-10246797</t>
        </is>
      </c>
    </row>
    <row r="51">
      <c r="A51" t="inlineStr">
        <is>
          <t>900008643DW7510252010</t>
        </is>
      </c>
      <c r="B51" t="inlineStr">
        <is>
          <t>4600069807-10</t>
        </is>
      </c>
      <c r="C51" t="n">
        <v>4600069807</v>
      </c>
      <c r="D51" t="n">
        <v>10</v>
      </c>
      <c r="E51" t="inlineStr">
        <is>
          <t>MXPO</t>
        </is>
      </c>
      <c r="F51" t="inlineStr">
        <is>
          <t>MXL</t>
        </is>
      </c>
      <c r="G51" t="n">
        <v>900008643</v>
      </c>
      <c r="H51" t="inlineStr">
        <is>
          <t>SF TC-CGC JABALI PLAYA</t>
        </is>
      </c>
      <c r="I51" t="n">
        <v>5092440</v>
      </c>
      <c r="J51" t="inlineStr">
        <is>
          <t>FERNANDEZ HERNANDEZ YURI HERNAN</t>
        </is>
      </c>
      <c r="K51" t="inlineStr">
        <is>
          <t>Z06</t>
        </is>
      </c>
      <c r="L51" t="inlineStr">
        <is>
          <t>(AP) 45 Dias</t>
        </is>
      </c>
      <c r="M51" t="n">
        <v>10252010</v>
      </c>
      <c r="N51" t="inlineStr">
        <is>
          <t>GRAVA TRIT CALIZA 20MM 3/4" - I JABALI P</t>
        </is>
      </c>
      <c r="O51" t="inlineStr">
        <is>
          <t>DW75</t>
        </is>
      </c>
      <c r="P51" t="inlineStr">
        <is>
          <t>MX-CED. Q. ROO NORTE</t>
        </is>
      </c>
      <c r="Q51" t="n">
        <v>20240703</v>
      </c>
      <c r="R51" t="n">
        <v>20291231</v>
      </c>
      <c r="S51" t="n">
        <v>20240703</v>
      </c>
      <c r="T51" t="n">
        <v>20291231</v>
      </c>
      <c r="U51" t="n">
        <v>410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56103637</v>
      </c>
      <c r="AD51" t="n">
        <v>6644321540</v>
      </c>
      <c r="AE51" t="n">
        <v>1</v>
      </c>
      <c r="AF51" t="inlineStr">
        <is>
          <t>ENTREGADO</t>
        </is>
      </c>
      <c r="AG51" t="n">
        <v>1.083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20240704</v>
      </c>
      <c r="AM51" t="inlineStr">
        <is>
          <t>DW75-900008643-10252010</t>
        </is>
      </c>
    </row>
    <row r="52">
      <c r="A52" t="inlineStr">
        <is>
          <t>900007757DW7510221764</t>
        </is>
      </c>
      <c r="B52" t="inlineStr">
        <is>
          <t>4600055509-10</t>
        </is>
      </c>
      <c r="C52" t="n">
        <v>4600055509</v>
      </c>
      <c r="D52" t="n">
        <v>10</v>
      </c>
      <c r="E52" t="inlineStr">
        <is>
          <t>MXPO</t>
        </is>
      </c>
      <c r="F52" t="inlineStr">
        <is>
          <t>MXL</t>
        </is>
      </c>
      <c r="G52" t="n">
        <v>900007757</v>
      </c>
      <c r="H52" t="inlineStr">
        <is>
          <t>SF TC-MYM BANCO DE PIEDRA</t>
        </is>
      </c>
      <c r="I52" t="n">
        <v>5086859</v>
      </c>
      <c r="J52" t="inlineStr">
        <is>
          <t>M Y M CARIBE SA DE CV</t>
        </is>
      </c>
      <c r="K52" t="inlineStr">
        <is>
          <t>Z04</t>
        </is>
      </c>
      <c r="L52" t="inlineStr">
        <is>
          <t>(AP) 30 Dias</t>
        </is>
      </c>
      <c r="M52" t="n">
        <v>10221764</v>
      </c>
      <c r="N52" t="inlineStr">
        <is>
          <t>ARENA TRITURADA CALIZA MALLA 4</t>
        </is>
      </c>
      <c r="O52" t="inlineStr">
        <is>
          <t>DW75</t>
        </is>
      </c>
      <c r="P52" t="inlineStr">
        <is>
          <t>MX-CED. Q. ROO NORTE</t>
        </is>
      </c>
      <c r="Q52" t="n">
        <v>20220901</v>
      </c>
      <c r="R52" t="n">
        <v>20291231</v>
      </c>
      <c r="S52" t="n">
        <v>20250120</v>
      </c>
      <c r="T52" t="n">
        <v>20301231</v>
      </c>
      <c r="U52" t="n">
        <v>450</v>
      </c>
      <c r="V52" t="inlineStr">
        <is>
          <t>MXN</t>
        </is>
      </c>
      <c r="W52" t="inlineStr">
        <is>
          <t>M3</t>
        </is>
      </c>
      <c r="X52" t="n">
        <v>0</v>
      </c>
      <c r="Y52" t="inlineStr">
        <is>
          <t>MXN</t>
        </is>
      </c>
      <c r="Z52" t="inlineStr">
        <is>
          <t>M3</t>
        </is>
      </c>
      <c r="AC52" t="n">
        <v>56103638</v>
      </c>
      <c r="AD52" t="n">
        <v>6644321540</v>
      </c>
      <c r="AE52" t="n">
        <v>1</v>
      </c>
      <c r="AF52" t="inlineStr">
        <is>
          <t>ENTREGADO</t>
        </is>
      </c>
      <c r="AG52" t="n">
        <v>1.414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20250122</v>
      </c>
      <c r="AM52" t="inlineStr">
        <is>
          <t>DW75-900007757-10221764</t>
        </is>
      </c>
    </row>
    <row r="53">
      <c r="A53" t="inlineStr">
        <is>
          <t>900008197DW7510234149</t>
        </is>
      </c>
      <c r="B53" t="inlineStr">
        <is>
          <t>4600071062-10</t>
        </is>
      </c>
      <c r="C53" t="n">
        <v>4600071062</v>
      </c>
      <c r="D53" t="n">
        <v>10</v>
      </c>
      <c r="E53" t="inlineStr">
        <is>
          <t>MXPO</t>
        </is>
      </c>
      <c r="F53" t="inlineStr">
        <is>
          <t>MXL</t>
        </is>
      </c>
      <c r="G53" t="n">
        <v>900008197</v>
      </c>
      <c r="H53" t="inlineStr">
        <is>
          <t>SF TC-MYM BANCO DE PIEDRA INFRA</t>
        </is>
      </c>
      <c r="I53" t="n">
        <v>5086859</v>
      </c>
      <c r="J53" t="inlineStr">
        <is>
          <t>M Y M CARIBE SA DE CV</t>
        </is>
      </c>
      <c r="K53" t="inlineStr">
        <is>
          <t>Z04</t>
        </is>
      </c>
      <c r="L53" t="inlineStr">
        <is>
          <t>(AP) 30 Dias</t>
        </is>
      </c>
      <c r="M53" t="n">
        <v>10234149</v>
      </c>
      <c r="N53" t="inlineStr">
        <is>
          <t>ARENA TRITURADA CALIZA MALLA 4 - MYM INF</t>
        </is>
      </c>
      <c r="O53" t="inlineStr">
        <is>
          <t>DW75</t>
        </is>
      </c>
      <c r="P53" t="inlineStr">
        <is>
          <t>MX-CED. Q. ROO NORTE</t>
        </is>
      </c>
      <c r="Q53" t="n">
        <v>20250321</v>
      </c>
      <c r="R53" t="n">
        <v>20301231</v>
      </c>
      <c r="S53" t="n">
        <v>20250321</v>
      </c>
      <c r="T53" t="n">
        <v>20301231</v>
      </c>
      <c r="U53" t="n">
        <v>450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56103638</v>
      </c>
      <c r="AD53" t="n">
        <v>6644321540</v>
      </c>
      <c r="AE53" t="n">
        <v>1</v>
      </c>
      <c r="AF53" t="inlineStr">
        <is>
          <t>ENTREGADO</t>
        </is>
      </c>
      <c r="AG53" t="n">
        <v>1.394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20250325</v>
      </c>
      <c r="AM53" t="inlineStr">
        <is>
          <t>DW75-900008197-10234149</t>
        </is>
      </c>
    </row>
    <row r="54">
      <c r="A54" t="inlineStr">
        <is>
          <t>900008197DW7510266819</t>
        </is>
      </c>
      <c r="B54" t="inlineStr">
        <is>
          <t>4600071062-20</t>
        </is>
      </c>
      <c r="C54" t="n">
        <v>4600071062</v>
      </c>
      <c r="D54" t="n">
        <v>20</v>
      </c>
      <c r="E54" t="inlineStr">
        <is>
          <t>MXPO</t>
        </is>
      </c>
      <c r="F54" t="inlineStr">
        <is>
          <t>MXL</t>
        </is>
      </c>
      <c r="G54" t="n">
        <v>900008197</v>
      </c>
      <c r="H54" t="inlineStr">
        <is>
          <t>SF TC-MYM BANCO DE PIEDRA INFRA</t>
        </is>
      </c>
      <c r="I54" t="n">
        <v>5086859</v>
      </c>
      <c r="J54" t="inlineStr">
        <is>
          <t>M Y M CARIBE SA DE CV</t>
        </is>
      </c>
      <c r="K54" t="inlineStr">
        <is>
          <t>Z04</t>
        </is>
      </c>
      <c r="L54" t="inlineStr">
        <is>
          <t>(AP) 30 Dias</t>
        </is>
      </c>
      <c r="M54" t="n">
        <v>10266819</v>
      </c>
      <c r="N54" t="inlineStr">
        <is>
          <t>MP BASE H. 40MM A FINOS -SCT ASUR</t>
        </is>
      </c>
      <c r="O54" t="inlineStr">
        <is>
          <t>DW75</t>
        </is>
      </c>
      <c r="P54" t="inlineStr">
        <is>
          <t>MX-CED. Q. ROO NORTE</t>
        </is>
      </c>
      <c r="Q54" t="n">
        <v>20250321</v>
      </c>
      <c r="R54" t="n">
        <v>20301231</v>
      </c>
      <c r="S54" t="n">
        <v>20250514</v>
      </c>
      <c r="T54" t="n">
        <v>20301231</v>
      </c>
      <c r="U54" t="n">
        <v>380</v>
      </c>
      <c r="V54" t="inlineStr">
        <is>
          <t>MXN</t>
        </is>
      </c>
      <c r="W54" t="inlineStr">
        <is>
          <t>M3</t>
        </is>
      </c>
      <c r="X54" t="n">
        <v>0</v>
      </c>
      <c r="Y54" t="inlineStr">
        <is>
          <t>MXN</t>
        </is>
      </c>
      <c r="Z54" t="inlineStr">
        <is>
          <t>M3</t>
        </is>
      </c>
      <c r="AC54" t="n">
        <v>56103590</v>
      </c>
      <c r="AD54" t="n">
        <v>6644321540</v>
      </c>
      <c r="AE54" t="n">
        <v>1</v>
      </c>
      <c r="AF54" t="inlineStr">
        <is>
          <t>ENTREGADO</t>
        </is>
      </c>
      <c r="AG54" t="n">
        <v>1.377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20250515</v>
      </c>
      <c r="AM54" t="inlineStr">
        <is>
          <t>DW75-900008197-10266819</t>
        </is>
      </c>
    </row>
    <row r="55">
      <c r="A55" t="inlineStr">
        <is>
          <t>900007778DW7510224750</t>
        </is>
      </c>
      <c r="B55" t="inlineStr">
        <is>
          <t>4600055907-10</t>
        </is>
      </c>
      <c r="C55" t="n">
        <v>4600055907</v>
      </c>
      <c r="D55" t="n">
        <v>10</v>
      </c>
      <c r="E55" t="inlineStr">
        <is>
          <t>MXPO</t>
        </is>
      </c>
      <c r="F55" t="inlineStr">
        <is>
          <t>MXL</t>
        </is>
      </c>
      <c r="G55" t="n">
        <v>900007778</v>
      </c>
      <c r="H55" t="inlineStr">
        <is>
          <t>SF TC-ALIANCO MAQAR</t>
        </is>
      </c>
      <c r="I55" t="n">
        <v>5086713</v>
      </c>
      <c r="J55" t="inlineStr">
        <is>
          <t>MINERIA Y SERVICIOS INDUSTRIALES AL</t>
        </is>
      </c>
      <c r="K55" t="inlineStr">
        <is>
          <t>N30</t>
        </is>
      </c>
      <c r="L55" t="inlineStr">
        <is>
          <t>(AP) NAFIN 30 Dias</t>
        </is>
      </c>
      <c r="M55" t="n">
        <v>10224750</v>
      </c>
      <c r="N55" t="inlineStr">
        <is>
          <t>ARENA TRITURADA CALIZA MALLA 4</t>
        </is>
      </c>
      <c r="O55" t="inlineStr">
        <is>
          <t>DW75</t>
        </is>
      </c>
      <c r="P55" t="inlineStr">
        <is>
          <t>MX-CED. Q. ROO NORTE</t>
        </is>
      </c>
      <c r="Q55" t="n">
        <v>20221110</v>
      </c>
      <c r="R55" t="n">
        <v>20271231</v>
      </c>
      <c r="S55" t="n">
        <v>20221110</v>
      </c>
      <c r="T55" t="n">
        <v>20271231</v>
      </c>
      <c r="U55" t="n">
        <v>230.57</v>
      </c>
      <c r="V55" t="inlineStr">
        <is>
          <t>MXN</t>
        </is>
      </c>
      <c r="W55" t="inlineStr">
        <is>
          <t>M3</t>
        </is>
      </c>
      <c r="X55" t="n">
        <v>0</v>
      </c>
      <c r="Y55" t="inlineStr">
        <is>
          <t>MXN</t>
        </is>
      </c>
      <c r="Z55" t="inlineStr">
        <is>
          <t>M3</t>
        </is>
      </c>
      <c r="AC55" t="n">
        <v>56103638</v>
      </c>
      <c r="AD55" t="n">
        <v>6644321540</v>
      </c>
      <c r="AE55" t="n">
        <v>1</v>
      </c>
      <c r="AF55" t="inlineStr">
        <is>
          <t>ENTREGADO</t>
        </is>
      </c>
      <c r="AG55" t="n">
        <v>1.322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DW75-900007778-10224750</t>
        </is>
      </c>
    </row>
    <row r="56">
      <c r="A56" t="inlineStr">
        <is>
          <t>900003833DW7510222859</t>
        </is>
      </c>
      <c r="B56" t="inlineStr">
        <is>
          <t>4600055439-10</t>
        </is>
      </c>
      <c r="C56" t="n">
        <v>4600055439</v>
      </c>
      <c r="D56" t="n">
        <v>10</v>
      </c>
      <c r="E56" t="inlineStr">
        <is>
          <t>MXPO</t>
        </is>
      </c>
      <c r="F56" t="inlineStr">
        <is>
          <t>MXL</t>
        </is>
      </c>
      <c r="G56" t="n">
        <v>900003833</v>
      </c>
      <c r="H56" t="inlineStr">
        <is>
          <t>TC-TRIVASA MERIDA</t>
        </is>
      </c>
      <c r="I56" t="n">
        <v>5006784</v>
      </c>
      <c r="J56" t="inlineStr">
        <is>
          <t>TRIVASA SA DE CV</t>
        </is>
      </c>
      <c r="K56" t="inlineStr">
        <is>
          <t>N90</t>
        </is>
      </c>
      <c r="L56" t="inlineStr">
        <is>
          <t>(AP) NAFIN 90 Dias</t>
        </is>
      </c>
      <c r="M56" t="n">
        <v>10222859</v>
      </c>
      <c r="N56" t="inlineStr">
        <is>
          <t>ARENA TRITURADA T.M.N.A 04 MM</t>
        </is>
      </c>
      <c r="O56" t="inlineStr">
        <is>
          <t>DW75</t>
        </is>
      </c>
      <c r="P56" t="inlineStr">
        <is>
          <t>MX-CED. Q. ROO NORTE</t>
        </is>
      </c>
      <c r="Q56" t="n">
        <v>20221003</v>
      </c>
      <c r="R56" t="n">
        <v>20291231</v>
      </c>
      <c r="S56" t="n">
        <v>20221003</v>
      </c>
      <c r="T56" t="n">
        <v>20271231</v>
      </c>
      <c r="U56" t="n">
        <v>267.24</v>
      </c>
      <c r="V56" t="inlineStr">
        <is>
          <t>MXN</t>
        </is>
      </c>
      <c r="W56" t="inlineStr">
        <is>
          <t>M3</t>
        </is>
      </c>
      <c r="X56" t="n">
        <v>0</v>
      </c>
      <c r="Y56" t="inlineStr">
        <is>
          <t>MXN</t>
        </is>
      </c>
      <c r="Z56" t="inlineStr">
        <is>
          <t>M3</t>
        </is>
      </c>
      <c r="AC56" t="n">
        <v>56103638</v>
      </c>
      <c r="AD56" t="n">
        <v>6644321540</v>
      </c>
      <c r="AE56" t="n">
        <v>1</v>
      </c>
      <c r="AF56" t="inlineStr">
        <is>
          <t>ENTREGADO</t>
        </is>
      </c>
      <c r="AG56" t="n">
        <v>1.62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DW75-900003833-10222859</t>
        </is>
      </c>
    </row>
    <row r="57">
      <c r="A57" t="inlineStr">
        <is>
          <t>900008636DW7510251586</t>
        </is>
      </c>
      <c r="B57" t="inlineStr">
        <is>
          <t>4600068838-10</t>
        </is>
      </c>
      <c r="C57" t="n">
        <v>4600068838</v>
      </c>
      <c r="D57" t="n">
        <v>10</v>
      </c>
      <c r="E57" t="inlineStr">
        <is>
          <t>MXPO</t>
        </is>
      </c>
      <c r="F57" t="inlineStr">
        <is>
          <t>MXL</t>
        </is>
      </c>
      <c r="G57" t="n">
        <v>900008636</v>
      </c>
      <c r="H57" t="inlineStr">
        <is>
          <t>SF TC-IASSO JABALI TULUM</t>
        </is>
      </c>
      <c r="I57" t="n">
        <v>5086846</v>
      </c>
      <c r="J57" t="inlineStr">
        <is>
          <t>IASSO CONSTRUCCIONES SA DE CV</t>
        </is>
      </c>
      <c r="K57" t="inlineStr">
        <is>
          <t>N90</t>
        </is>
      </c>
      <c r="L57" t="inlineStr">
        <is>
          <t>(AP) NAFIN 90 Dias</t>
        </is>
      </c>
      <c r="M57" t="n">
        <v>10251586</v>
      </c>
      <c r="N57" t="inlineStr">
        <is>
          <t>ARENA CALIZA TRIT MALLA 4 - I JABALI T</t>
        </is>
      </c>
      <c r="O57" t="inlineStr">
        <is>
          <t>DW75</t>
        </is>
      </c>
      <c r="P57" t="inlineStr">
        <is>
          <t>MX-CED. Q. ROO NORTE</t>
        </is>
      </c>
      <c r="Q57" t="n">
        <v>20231130</v>
      </c>
      <c r="R57" t="n">
        <v>20281231</v>
      </c>
      <c r="S57" t="n">
        <v>20231130</v>
      </c>
      <c r="T57" t="n">
        <v>20281231</v>
      </c>
      <c r="U57" t="n">
        <v>410</v>
      </c>
      <c r="V57" t="inlineStr">
        <is>
          <t>MXN</t>
        </is>
      </c>
      <c r="W57" t="inlineStr">
        <is>
          <t>M3</t>
        </is>
      </c>
      <c r="X57" t="n">
        <v>0</v>
      </c>
      <c r="Y57" t="inlineStr">
        <is>
          <t>MXN</t>
        </is>
      </c>
      <c r="Z57" t="inlineStr">
        <is>
          <t>M3</t>
        </is>
      </c>
      <c r="AC57" t="n">
        <v>56103638</v>
      </c>
      <c r="AD57" t="n">
        <v>6644321540</v>
      </c>
      <c r="AE57" t="n">
        <v>1</v>
      </c>
      <c r="AF57" t="inlineStr">
        <is>
          <t>ENTREGADO</t>
        </is>
      </c>
      <c r="AG57" t="n">
        <v>1.335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20231201</v>
      </c>
      <c r="AM57" t="inlineStr">
        <is>
          <t>DW75-900008636-10251586</t>
        </is>
      </c>
    </row>
    <row r="58">
      <c r="A58" t="inlineStr">
        <is>
          <t>900008588DW7510251199</t>
        </is>
      </c>
      <c r="B58" t="inlineStr">
        <is>
          <t>4600068811-10</t>
        </is>
      </c>
      <c r="C58" t="n">
        <v>4600068811</v>
      </c>
      <c r="D58" t="n">
        <v>10</v>
      </c>
      <c r="E58" t="inlineStr">
        <is>
          <t>MXPO</t>
        </is>
      </c>
      <c r="F58" t="inlineStr">
        <is>
          <t>MXL</t>
        </is>
      </c>
      <c r="G58" t="n">
        <v>900008588</v>
      </c>
      <c r="H58" t="inlineStr">
        <is>
          <t>SF TC-TRICOBLOCKS PAAMUL</t>
        </is>
      </c>
      <c r="I58" t="n">
        <v>5070947</v>
      </c>
      <c r="J58" t="inlineStr">
        <is>
          <t>TRICOBLOCKS DEL SURESTE SA DE CV</t>
        </is>
      </c>
      <c r="K58" t="inlineStr">
        <is>
          <t>N90</t>
        </is>
      </c>
      <c r="L58" t="inlineStr">
        <is>
          <t>(AP) NAFIN 90 Dias</t>
        </is>
      </c>
      <c r="M58" t="n">
        <v>10251199</v>
      </c>
      <c r="N58" t="inlineStr">
        <is>
          <t>ARENA TRITURADA CALIZA M.4 TRICO PAAMUL</t>
        </is>
      </c>
      <c r="O58" t="inlineStr">
        <is>
          <t>DW75</t>
        </is>
      </c>
      <c r="P58" t="inlineStr">
        <is>
          <t>MX-CED. Q. ROO NORTE</t>
        </is>
      </c>
      <c r="Q58" t="n">
        <v>20231124</v>
      </c>
      <c r="R58" t="n">
        <v>20281231</v>
      </c>
      <c r="S58" t="n">
        <v>20260327</v>
      </c>
      <c r="T58" t="n">
        <v>20301231</v>
      </c>
      <c r="U58" t="n">
        <v>425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56103638</v>
      </c>
      <c r="AD58" t="n">
        <v>6644321540</v>
      </c>
      <c r="AE58" t="n">
        <v>1</v>
      </c>
      <c r="AF58" t="inlineStr">
        <is>
          <t>ENTREGADO</t>
        </is>
      </c>
      <c r="AG58" t="n">
        <v>1.487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20260331</v>
      </c>
      <c r="AM58" t="inlineStr">
        <is>
          <t>DW75-900008588-10251199</t>
        </is>
      </c>
    </row>
    <row r="59">
      <c r="A59" t="inlineStr">
        <is>
          <t>900008636DW7510251587</t>
        </is>
      </c>
      <c r="B59" t="inlineStr">
        <is>
          <t>4600068838-20</t>
        </is>
      </c>
      <c r="C59" t="n">
        <v>4600068838</v>
      </c>
      <c r="D59" t="n">
        <v>20</v>
      </c>
      <c r="E59" t="inlineStr">
        <is>
          <t>MXPO</t>
        </is>
      </c>
      <c r="F59" t="inlineStr">
        <is>
          <t>MXL</t>
        </is>
      </c>
      <c r="G59" t="n">
        <v>900008636</v>
      </c>
      <c r="H59" t="inlineStr">
        <is>
          <t>SF TC-IASSO JABALI TULUM</t>
        </is>
      </c>
      <c r="I59" t="n">
        <v>5086846</v>
      </c>
      <c r="J59" t="inlineStr">
        <is>
          <t>IASSO CONSTRUCCIONES SA DE CV</t>
        </is>
      </c>
      <c r="K59" t="inlineStr">
        <is>
          <t>N90</t>
        </is>
      </c>
      <c r="L59" t="inlineStr">
        <is>
          <t>(AP) NAFIN 90 Dias</t>
        </is>
      </c>
      <c r="M59" t="n">
        <v>10251587</v>
      </c>
      <c r="N59" t="inlineStr">
        <is>
          <t>GRAVA TRIT CALIZA 20MM 3/4" - I JABALI T</t>
        </is>
      </c>
      <c r="O59" t="inlineStr">
        <is>
          <t>DW75</t>
        </is>
      </c>
      <c r="P59" t="inlineStr">
        <is>
          <t>MX-CED. Q. ROO NORTE</t>
        </is>
      </c>
      <c r="Q59" t="n">
        <v>20231130</v>
      </c>
      <c r="R59" t="n">
        <v>20281231</v>
      </c>
      <c r="S59" t="n">
        <v>20231130</v>
      </c>
      <c r="T59" t="n">
        <v>20281231</v>
      </c>
      <c r="U59" t="n">
        <v>370</v>
      </c>
      <c r="V59" t="inlineStr">
        <is>
          <t>MXN</t>
        </is>
      </c>
      <c r="W59" t="inlineStr">
        <is>
          <t>M3</t>
        </is>
      </c>
      <c r="X59" t="n">
        <v>0</v>
      </c>
      <c r="Y59" t="inlineStr">
        <is>
          <t>MXN</t>
        </is>
      </c>
      <c r="Z59" t="inlineStr">
        <is>
          <t>M3</t>
        </is>
      </c>
      <c r="AC59" t="n">
        <v>56103637</v>
      </c>
      <c r="AD59" t="n">
        <v>6644321540</v>
      </c>
      <c r="AE59" t="n">
        <v>1</v>
      </c>
      <c r="AF59" t="inlineStr">
        <is>
          <t>ENTREGADO</t>
        </is>
      </c>
      <c r="AG59" t="n">
        <v>1.325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20231201</v>
      </c>
      <c r="AM59" t="inlineStr">
        <is>
          <t>DW75-900008636-10251587</t>
        </is>
      </c>
    </row>
    <row r="60">
      <c r="A60" t="inlineStr">
        <is>
          <t>900008652DW75D34310251252</t>
        </is>
      </c>
      <c r="B60" t="inlineStr">
        <is>
          <t>4600068855-60</t>
        </is>
      </c>
      <c r="C60" t="n">
        <v>4600068855</v>
      </c>
      <c r="D60" t="n">
        <v>60</v>
      </c>
      <c r="E60" t="inlineStr">
        <is>
          <t>MXPO</t>
        </is>
      </c>
      <c r="F60" t="inlineStr">
        <is>
          <t>MXL</t>
        </is>
      </c>
      <c r="G60" t="n">
        <v>900008652</v>
      </c>
      <c r="H60" t="inlineStr">
        <is>
          <t>SF TC-ED IFLORES JABALI PLAYA</t>
        </is>
      </c>
      <c r="I60" t="n">
        <v>5005320</v>
      </c>
      <c r="J60" t="inlineStr">
        <is>
          <t>FLORES CAUICH ISMAEL</t>
        </is>
      </c>
      <c r="K60" t="inlineStr">
        <is>
          <t>N90</t>
        </is>
      </c>
      <c r="L60" t="inlineStr">
        <is>
          <t>(AP) NAFIN 90 Dias</t>
        </is>
      </c>
      <c r="M60" t="n">
        <v>10251252</v>
      </c>
      <c r="N60" t="inlineStr">
        <is>
          <t>ARENA TRITURADA CALIZA MALLA 4</t>
        </is>
      </c>
      <c r="O60" t="inlineStr">
        <is>
          <t>DW75</t>
        </is>
      </c>
      <c r="P60" t="inlineStr">
        <is>
          <t>MX-CED. Q. ROO NORTE</t>
        </is>
      </c>
      <c r="Q60" t="n">
        <v>20231130</v>
      </c>
      <c r="R60" t="n">
        <v>20281231</v>
      </c>
      <c r="S60" t="n">
        <v>20240126</v>
      </c>
      <c r="T60" t="n">
        <v>20291231</v>
      </c>
      <c r="U60" t="n">
        <v>885.6</v>
      </c>
      <c r="V60" t="inlineStr">
        <is>
          <t>MXN</t>
        </is>
      </c>
      <c r="W60" t="inlineStr">
        <is>
          <t>M3</t>
        </is>
      </c>
      <c r="X60" t="n">
        <v>259.6</v>
      </c>
      <c r="Y60" t="inlineStr">
        <is>
          <t>MXN</t>
        </is>
      </c>
      <c r="Z60" t="inlineStr">
        <is>
          <t>M3</t>
        </is>
      </c>
      <c r="AA60" t="inlineStr">
        <is>
          <t>D343</t>
        </is>
      </c>
      <c r="AB60" t="inlineStr">
        <is>
          <t>PD0270 RIVIERA MAYA</t>
        </is>
      </c>
      <c r="AC60" t="n">
        <v>56103638</v>
      </c>
      <c r="AD60" t="n">
        <v>6644321540</v>
      </c>
      <c r="AE60" t="n">
        <v>4</v>
      </c>
      <c r="AF60" t="inlineStr">
        <is>
          <t>ENTREGA DIRECTA</t>
        </is>
      </c>
      <c r="AG60" t="n">
        <v>1.406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20240129</v>
      </c>
      <c r="AM60" t="inlineStr">
        <is>
          <t>DW75-900008652-D343-10251252-4</t>
        </is>
      </c>
    </row>
    <row r="61">
      <c r="A61" t="inlineStr">
        <is>
          <t>900007058DW7510000328</t>
        </is>
      </c>
      <c r="B61" t="inlineStr">
        <is>
          <t>4600050653-10</t>
        </is>
      </c>
      <c r="C61" t="n">
        <v>4600050653</v>
      </c>
      <c r="D61" t="n">
        <v>10</v>
      </c>
      <c r="E61" t="inlineStr">
        <is>
          <t>MXPO</t>
        </is>
      </c>
      <c r="F61" t="inlineStr">
        <is>
          <t>MXL</t>
        </is>
      </c>
      <c r="G61" t="n">
        <v>900007058</v>
      </c>
      <c r="H61" t="inlineStr">
        <is>
          <t>SF TC-ABC COMERICIALIZADORA CUN</t>
        </is>
      </c>
      <c r="I61" t="n">
        <v>5080208</v>
      </c>
      <c r="J61" t="inlineStr">
        <is>
          <t>ARENAS Y BLOQUES COMERCIALIZADORA</t>
        </is>
      </c>
      <c r="K61" t="inlineStr">
        <is>
          <t>Z04</t>
        </is>
      </c>
      <c r="L61" t="inlineStr">
        <is>
          <t>(AP) 30 Dias</t>
        </is>
      </c>
      <c r="M61" t="n">
        <v>10000328</v>
      </c>
      <c r="N61" t="inlineStr">
        <is>
          <t>Arena Triturada Caliza Malla 4 Lavado</t>
        </is>
      </c>
      <c r="O61" t="inlineStr">
        <is>
          <t>DW75</t>
        </is>
      </c>
      <c r="P61" t="inlineStr">
        <is>
          <t>MX-CED. Q. ROO NORTE</t>
        </is>
      </c>
      <c r="Q61" t="n">
        <v>20210712</v>
      </c>
      <c r="R61" t="n">
        <v>20291231</v>
      </c>
      <c r="S61" t="n">
        <v>20210712</v>
      </c>
      <c r="T61" t="n">
        <v>20251231</v>
      </c>
      <c r="U61" t="n">
        <v>242.55</v>
      </c>
      <c r="V61" t="inlineStr">
        <is>
          <t>MXN</t>
        </is>
      </c>
      <c r="W61" t="inlineStr">
        <is>
          <t>M3</t>
        </is>
      </c>
      <c r="X61" t="n">
        <v>0</v>
      </c>
      <c r="Y61" t="inlineStr">
        <is>
          <t>MXN</t>
        </is>
      </c>
      <c r="Z61" t="inlineStr">
        <is>
          <t>M3</t>
        </is>
      </c>
      <c r="AC61" t="n">
        <v>56103638</v>
      </c>
      <c r="AD61" t="n">
        <v>6644321540</v>
      </c>
      <c r="AE61" t="n">
        <v>1</v>
      </c>
      <c r="AF61" t="inlineStr">
        <is>
          <t>ENTREGADO</t>
        </is>
      </c>
      <c r="AG61" t="n">
        <v>1.489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DW75-900007058-10000328</t>
        </is>
      </c>
    </row>
    <row r="62">
      <c r="A62" t="inlineStr">
        <is>
          <t>900002370DW7510000587</t>
        </is>
      </c>
      <c r="B62" t="inlineStr">
        <is>
          <t>4600050628-50</t>
        </is>
      </c>
      <c r="C62" t="n">
        <v>4600050628</v>
      </c>
      <c r="D62" t="n">
        <v>50</v>
      </c>
      <c r="E62" t="inlineStr">
        <is>
          <t>MXPO</t>
        </is>
      </c>
      <c r="F62" t="inlineStr">
        <is>
          <t>MXL</t>
        </is>
      </c>
      <c r="G62" t="n">
        <v>900002370</v>
      </c>
      <c r="H62" t="inlineStr">
        <is>
          <t>TC-MOSECA</t>
        </is>
      </c>
      <c r="I62" t="n">
        <v>5046324</v>
      </c>
      <c r="J62" t="inlineStr">
        <is>
          <t>MORTEROS SECOS DEL CARIBE SA DE CV</t>
        </is>
      </c>
      <c r="K62" t="inlineStr">
        <is>
          <t>Z06</t>
        </is>
      </c>
      <c r="L62" t="inlineStr">
        <is>
          <t>(AP) 45 Dias</t>
        </is>
      </c>
      <c r="M62" t="n">
        <v>10000587</v>
      </c>
      <c r="N62" t="inlineStr">
        <is>
          <t>Base H Triturada Caliza 3/4"" a Finos"</t>
        </is>
      </c>
      <c r="O62" t="inlineStr">
        <is>
          <t>DW75</t>
        </is>
      </c>
      <c r="P62" t="inlineStr">
        <is>
          <t>MX-CED. Q. ROO NORTE</t>
        </is>
      </c>
      <c r="Q62" t="n">
        <v>20210712</v>
      </c>
      <c r="R62" t="n">
        <v>20291231</v>
      </c>
      <c r="S62" t="n">
        <v>20210712</v>
      </c>
      <c r="T62" t="n">
        <v>20251231</v>
      </c>
      <c r="U62" t="n">
        <v>104.2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56103590</v>
      </c>
      <c r="AD62" t="n">
        <v>6644321540</v>
      </c>
      <c r="AE62" t="n">
        <v>1</v>
      </c>
      <c r="AF62" t="inlineStr">
        <is>
          <t>ENTREGADO</t>
        </is>
      </c>
      <c r="AG62" t="n">
        <v>1.5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DW75-900002370-10000587</t>
        </is>
      </c>
    </row>
    <row r="63">
      <c r="A63" t="inlineStr">
        <is>
          <t>900006554DW75D34910189747</t>
        </is>
      </c>
      <c r="B63" t="inlineStr">
        <is>
          <t>4600050647-60</t>
        </is>
      </c>
      <c r="C63" t="n">
        <v>4600050647</v>
      </c>
      <c r="D63" t="n">
        <v>60</v>
      </c>
      <c r="E63" t="inlineStr">
        <is>
          <t>MXPO</t>
        </is>
      </c>
      <c r="F63" t="inlineStr">
        <is>
          <t>MXL</t>
        </is>
      </c>
      <c r="G63" t="n">
        <v>900006554</v>
      </c>
      <c r="H63" t="inlineStr">
        <is>
          <t>TC-ED- MOSECA</t>
        </is>
      </c>
      <c r="I63" t="n">
        <v>5046324</v>
      </c>
      <c r="J63" t="inlineStr">
        <is>
          <t>MORTEROS SECOS DEL CARIBE SA DE CV</t>
        </is>
      </c>
      <c r="K63" t="inlineStr">
        <is>
          <t>Z06</t>
        </is>
      </c>
      <c r="L63" t="inlineStr">
        <is>
          <t>(AP) 45 Dias</t>
        </is>
      </c>
      <c r="M63" t="n">
        <v>10189747</v>
      </c>
      <c r="N63" t="inlineStr">
        <is>
          <t>GRAVA CALIZA 10MM 3/8</t>
        </is>
      </c>
      <c r="O63" t="inlineStr">
        <is>
          <t>DW75</t>
        </is>
      </c>
      <c r="P63" t="inlineStr">
        <is>
          <t>MX-CED. Q. ROO NORTE</t>
        </is>
      </c>
      <c r="Q63" t="n">
        <v>20210712</v>
      </c>
      <c r="R63" t="n">
        <v>20291231</v>
      </c>
      <c r="S63" t="n">
        <v>20250301</v>
      </c>
      <c r="T63" t="n">
        <v>20301231</v>
      </c>
      <c r="U63" t="n">
        <v>417.54</v>
      </c>
      <c r="V63" t="inlineStr">
        <is>
          <t>MXN</t>
        </is>
      </c>
      <c r="W63" t="inlineStr">
        <is>
          <t>M3</t>
        </is>
      </c>
      <c r="X63" t="n">
        <v>125.28</v>
      </c>
      <c r="Y63" t="inlineStr">
        <is>
          <t>MXN</t>
        </is>
      </c>
      <c r="Z63" t="inlineStr">
        <is>
          <t>M3</t>
        </is>
      </c>
      <c r="AA63" t="inlineStr">
        <is>
          <t>D349</t>
        </is>
      </c>
      <c r="AB63" t="inlineStr">
        <is>
          <t>PD0300 PETEMPICH</t>
        </is>
      </c>
      <c r="AC63" t="n">
        <v>56103637</v>
      </c>
      <c r="AD63" t="n">
        <v>6644321540</v>
      </c>
      <c r="AE63" t="n">
        <v>4</v>
      </c>
      <c r="AF63" t="inlineStr">
        <is>
          <t>ENTREGA DIRECTA</t>
        </is>
      </c>
      <c r="AG63" t="n">
        <v>1.182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20250313</v>
      </c>
      <c r="AM63" t="inlineStr">
        <is>
          <t>DW75-900006554-D349-10189747-4</t>
        </is>
      </c>
    </row>
    <row r="64">
      <c r="A64" t="inlineStr">
        <is>
          <t>900006554DW75D30610043601</t>
        </is>
      </c>
      <c r="B64" t="inlineStr">
        <is>
          <t>4600050647-270</t>
        </is>
      </c>
      <c r="C64" t="n">
        <v>4600050647</v>
      </c>
      <c r="D64" t="n">
        <v>270</v>
      </c>
      <c r="E64" t="inlineStr">
        <is>
          <t>MXPO</t>
        </is>
      </c>
      <c r="F64" t="inlineStr">
        <is>
          <t>MXL</t>
        </is>
      </c>
      <c r="G64" t="n">
        <v>900006554</v>
      </c>
      <c r="H64" t="inlineStr">
        <is>
          <t>TC-ED- MOSECA</t>
        </is>
      </c>
      <c r="I64" t="n">
        <v>5046324</v>
      </c>
      <c r="J64" t="inlineStr">
        <is>
          <t>MORTEROS SECOS DEL CARIBE SA DE CV</t>
        </is>
      </c>
      <c r="K64" t="inlineStr">
        <is>
          <t>Z06</t>
        </is>
      </c>
      <c r="L64" t="inlineStr">
        <is>
          <t>(AP) 45 Dias</t>
        </is>
      </c>
      <c r="M64" t="n">
        <v>10043601</v>
      </c>
      <c r="N64" t="inlineStr">
        <is>
          <t>Grava Triturada Caliza 20 mm - 3/4"</t>
        </is>
      </c>
      <c r="O64" t="inlineStr">
        <is>
          <t>DW75</t>
        </is>
      </c>
      <c r="P64" t="inlineStr">
        <is>
          <t>MX-CED. Q. ROO NORTE</t>
        </is>
      </c>
      <c r="Q64" t="n">
        <v>20210712</v>
      </c>
      <c r="R64" t="n">
        <v>20291231</v>
      </c>
      <c r="S64" t="n">
        <v>20210712</v>
      </c>
      <c r="T64" t="n">
        <v>20251231</v>
      </c>
      <c r="U64" t="n">
        <v>237.58</v>
      </c>
      <c r="V64" t="inlineStr">
        <is>
          <t>MXN</t>
        </is>
      </c>
      <c r="W64" t="inlineStr">
        <is>
          <t>M3</t>
        </is>
      </c>
      <c r="X64" t="n">
        <v>55</v>
      </c>
      <c r="Y64" t="inlineStr">
        <is>
          <t>MXN</t>
        </is>
      </c>
      <c r="Z64" t="inlineStr">
        <is>
          <t>M3</t>
        </is>
      </c>
      <c r="AA64" t="inlineStr">
        <is>
          <t>D306</t>
        </is>
      </c>
      <c r="AB64" t="inlineStr">
        <is>
          <t>PD0304 MAYACOBA II</t>
        </is>
      </c>
      <c r="AC64" t="n">
        <v>56103637</v>
      </c>
      <c r="AD64" t="n">
        <v>6644321540</v>
      </c>
      <c r="AE64" t="n">
        <v>4</v>
      </c>
      <c r="AF64" t="inlineStr">
        <is>
          <t>ENTREGA DIRECTA</t>
        </is>
      </c>
      <c r="AG64" t="n">
        <v>1.175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DW75-900006554-D306-10043601-4</t>
        </is>
      </c>
    </row>
    <row r="65">
      <c r="A65" t="inlineStr">
        <is>
          <t>900006554DW75D28510189747</t>
        </is>
      </c>
      <c r="B65" t="inlineStr">
        <is>
          <t>4600050647-380</t>
        </is>
      </c>
      <c r="C65" t="n">
        <v>4600050647</v>
      </c>
      <c r="D65" t="n">
        <v>380</v>
      </c>
      <c r="E65" t="inlineStr">
        <is>
          <t>MXPO</t>
        </is>
      </c>
      <c r="F65" t="inlineStr">
        <is>
          <t>MXL</t>
        </is>
      </c>
      <c r="G65" t="n">
        <v>900006554</v>
      </c>
      <c r="H65" t="inlineStr">
        <is>
          <t>TC-ED- MOSECA</t>
        </is>
      </c>
      <c r="I65" t="n">
        <v>5046324</v>
      </c>
      <c r="J65" t="inlineStr">
        <is>
          <t>MORTEROS SECOS DEL CARIBE SA DE CV</t>
        </is>
      </c>
      <c r="K65" t="inlineStr">
        <is>
          <t>Z06</t>
        </is>
      </c>
      <c r="L65" t="inlineStr">
        <is>
          <t>(AP) 45 Dias</t>
        </is>
      </c>
      <c r="M65" t="n">
        <v>10189747</v>
      </c>
      <c r="N65" t="inlineStr">
        <is>
          <t>GRAVA CALIZA 10MM 3/8</t>
        </is>
      </c>
      <c r="O65" t="inlineStr">
        <is>
          <t>DW75</t>
        </is>
      </c>
      <c r="P65" t="inlineStr">
        <is>
          <t>MX-CED. Q. ROO NORTE</t>
        </is>
      </c>
      <c r="Q65" t="n">
        <v>20210712</v>
      </c>
      <c r="R65" t="n">
        <v>20291231</v>
      </c>
      <c r="S65" t="n">
        <v>20210712</v>
      </c>
      <c r="T65" t="n">
        <v>20251231</v>
      </c>
      <c r="U65" t="n">
        <v>237.58</v>
      </c>
      <c r="V65" t="inlineStr">
        <is>
          <t>MXN</t>
        </is>
      </c>
      <c r="W65" t="inlineStr">
        <is>
          <t>M3</t>
        </is>
      </c>
      <c r="X65" t="n">
        <v>55</v>
      </c>
      <c r="Y65" t="inlineStr">
        <is>
          <t>MXN</t>
        </is>
      </c>
      <c r="Z65" t="inlineStr">
        <is>
          <t>M3</t>
        </is>
      </c>
      <c r="AA65" t="inlineStr">
        <is>
          <t>D285</t>
        </is>
      </c>
      <c r="AB65" t="inlineStr">
        <is>
          <t>PD0057 PLAYA DEL CARMEN</t>
        </is>
      </c>
      <c r="AC65" t="n">
        <v>56103637</v>
      </c>
      <c r="AD65" t="n">
        <v>6644321540</v>
      </c>
      <c r="AE65" t="n">
        <v>4</v>
      </c>
      <c r="AF65" t="inlineStr">
        <is>
          <t>ENTREGA DIRECTA</t>
        </is>
      </c>
      <c r="AG65" t="n">
        <v>1.182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DW75-900006554-D285-10189747-4</t>
        </is>
      </c>
    </row>
    <row r="66">
      <c r="A66" t="inlineStr">
        <is>
          <t>900006554DW75D34310189747</t>
        </is>
      </c>
      <c r="B66" t="inlineStr">
        <is>
          <t>4600050647-40</t>
        </is>
      </c>
      <c r="C66" t="n">
        <v>4600050647</v>
      </c>
      <c r="D66" t="n">
        <v>40</v>
      </c>
      <c r="E66" t="inlineStr">
        <is>
          <t>MXPO</t>
        </is>
      </c>
      <c r="F66" t="inlineStr">
        <is>
          <t>MXL</t>
        </is>
      </c>
      <c r="G66" t="n">
        <v>900006554</v>
      </c>
      <c r="H66" t="inlineStr">
        <is>
          <t>TC-ED- MOSECA</t>
        </is>
      </c>
      <c r="I66" t="n">
        <v>5046324</v>
      </c>
      <c r="J66" t="inlineStr">
        <is>
          <t>MORTEROS SECOS DEL CARIBE SA DE CV</t>
        </is>
      </c>
      <c r="K66" t="inlineStr">
        <is>
          <t>Z06</t>
        </is>
      </c>
      <c r="L66" t="inlineStr">
        <is>
          <t>(AP) 45 Dias</t>
        </is>
      </c>
      <c r="M66" t="n">
        <v>10189747</v>
      </c>
      <c r="N66" t="inlineStr">
        <is>
          <t>GRAVA CALIZA 10MM 3/8</t>
        </is>
      </c>
      <c r="O66" t="inlineStr">
        <is>
          <t>DW75</t>
        </is>
      </c>
      <c r="P66" t="inlineStr">
        <is>
          <t>MX-CED. Q. ROO NORTE</t>
        </is>
      </c>
      <c r="Q66" t="n">
        <v>20210712</v>
      </c>
      <c r="R66" t="n">
        <v>20291231</v>
      </c>
      <c r="S66" t="n">
        <v>20250301</v>
      </c>
      <c r="T66" t="n">
        <v>20301231</v>
      </c>
      <c r="U66" t="n">
        <v>351.77</v>
      </c>
      <c r="V66" t="inlineStr">
        <is>
          <t>MXN</t>
        </is>
      </c>
      <c r="W66" t="inlineStr">
        <is>
          <t>M3</t>
        </is>
      </c>
      <c r="X66" t="n">
        <v>59.51</v>
      </c>
      <c r="Y66" t="inlineStr">
        <is>
          <t>MXN</t>
        </is>
      </c>
      <c r="Z66" t="inlineStr">
        <is>
          <t>M3</t>
        </is>
      </c>
      <c r="AA66" t="inlineStr">
        <is>
          <t>D343</t>
        </is>
      </c>
      <c r="AB66" t="inlineStr">
        <is>
          <t>PD0270 RIVIERA MAYA</t>
        </is>
      </c>
      <c r="AC66" t="n">
        <v>56103637</v>
      </c>
      <c r="AD66" t="n">
        <v>6644321540</v>
      </c>
      <c r="AE66" t="n">
        <v>4</v>
      </c>
      <c r="AF66" t="inlineStr">
        <is>
          <t>ENTREGA DIRECTA</t>
        </is>
      </c>
      <c r="AG66" t="n">
        <v>1.182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20250313</v>
      </c>
      <c r="AM66" t="inlineStr">
        <is>
          <t>DW75-900006554-D343-10189747-4</t>
        </is>
      </c>
    </row>
    <row r="67">
      <c r="A67" t="inlineStr">
        <is>
          <t>900006554DW75D29710151191</t>
        </is>
      </c>
      <c r="B67" t="inlineStr">
        <is>
          <t>4600050647-280</t>
        </is>
      </c>
      <c r="C67" t="n">
        <v>4600050647</v>
      </c>
      <c r="D67" t="n">
        <v>280</v>
      </c>
      <c r="E67" t="inlineStr">
        <is>
          <t>MXPO</t>
        </is>
      </c>
      <c r="F67" t="inlineStr">
        <is>
          <t>MXL</t>
        </is>
      </c>
      <c r="G67" t="n">
        <v>900006554</v>
      </c>
      <c r="H67" t="inlineStr">
        <is>
          <t>TC-ED- MOSECA</t>
        </is>
      </c>
      <c r="I67" t="n">
        <v>5046324</v>
      </c>
      <c r="J67" t="inlineStr">
        <is>
          <t>MORTEROS SECOS DEL CARIBE SA DE CV</t>
        </is>
      </c>
      <c r="K67" t="inlineStr">
        <is>
          <t>Z06</t>
        </is>
      </c>
      <c r="L67" t="inlineStr">
        <is>
          <t>(AP) 45 Dias</t>
        </is>
      </c>
      <c r="M67" t="n">
        <v>10151191</v>
      </c>
      <c r="N67" t="inlineStr">
        <is>
          <t xml:space="preserve">GRAVA TRITURADA CALIZA 40MM 1 ½” </t>
        </is>
      </c>
      <c r="O67" t="inlineStr">
        <is>
          <t>DW75</t>
        </is>
      </c>
      <c r="P67" t="inlineStr">
        <is>
          <t>MX-CED. Q. ROO NORTE</t>
        </is>
      </c>
      <c r="Q67" t="n">
        <v>20210712</v>
      </c>
      <c r="R67" t="n">
        <v>20291231</v>
      </c>
      <c r="S67" t="n">
        <v>20210712</v>
      </c>
      <c r="T67" t="n">
        <v>20251231</v>
      </c>
      <c r="U67" t="n">
        <v>252.58</v>
      </c>
      <c r="V67" t="inlineStr">
        <is>
          <t>MXN</t>
        </is>
      </c>
      <c r="W67" t="inlineStr">
        <is>
          <t>M3</t>
        </is>
      </c>
      <c r="X67" t="n">
        <v>70</v>
      </c>
      <c r="Y67" t="inlineStr">
        <is>
          <t>MXN</t>
        </is>
      </c>
      <c r="Z67" t="inlineStr">
        <is>
          <t>M3</t>
        </is>
      </c>
      <c r="AA67" t="inlineStr">
        <is>
          <t>D297</t>
        </is>
      </c>
      <c r="AB67" t="inlineStr">
        <is>
          <t>PD0455 PAAMUL II</t>
        </is>
      </c>
      <c r="AC67" t="n">
        <v>56103637</v>
      </c>
      <c r="AD67" t="n">
        <v>6644321540</v>
      </c>
      <c r="AE67" t="n">
        <v>4</v>
      </c>
      <c r="AF67" t="inlineStr">
        <is>
          <t>ENTREGA DIRECTA</t>
        </is>
      </c>
      <c r="AG67" t="n">
        <v>1.287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DW75-900006554-D297-10151191-4</t>
        </is>
      </c>
    </row>
    <row r="68">
      <c r="A68" t="inlineStr">
        <is>
          <t>900006554DW75D30610151191</t>
        </is>
      </c>
      <c r="B68" t="inlineStr">
        <is>
          <t>4600050647-10</t>
        </is>
      </c>
      <c r="C68" t="n">
        <v>4600050647</v>
      </c>
      <c r="D68" t="n">
        <v>10</v>
      </c>
      <c r="E68" t="inlineStr">
        <is>
          <t>MXPO</t>
        </is>
      </c>
      <c r="F68" t="inlineStr">
        <is>
          <t>MXL</t>
        </is>
      </c>
      <c r="G68" t="n">
        <v>900006554</v>
      </c>
      <c r="H68" t="inlineStr">
        <is>
          <t>TC-ED- MOSECA</t>
        </is>
      </c>
      <c r="I68" t="n">
        <v>5046324</v>
      </c>
      <c r="J68" t="inlineStr">
        <is>
          <t>MORTEROS SECOS DEL CARIBE SA DE CV</t>
        </is>
      </c>
      <c r="K68" t="inlineStr">
        <is>
          <t>Z06</t>
        </is>
      </c>
      <c r="L68" t="inlineStr">
        <is>
          <t>(AP) 45 Dias</t>
        </is>
      </c>
      <c r="M68" t="n">
        <v>10151191</v>
      </c>
      <c r="N68" t="inlineStr">
        <is>
          <t xml:space="preserve">GRAVA TRITURADA CALIZA 40MM 1 ½” </t>
        </is>
      </c>
      <c r="O68" t="inlineStr">
        <is>
          <t>DW75</t>
        </is>
      </c>
      <c r="P68" t="inlineStr">
        <is>
          <t>MX-CED. Q. ROO NORTE</t>
        </is>
      </c>
      <c r="Q68" t="n">
        <v>20210712</v>
      </c>
      <c r="R68" t="n">
        <v>20291231</v>
      </c>
      <c r="S68" t="n">
        <v>20210712</v>
      </c>
      <c r="T68" t="n">
        <v>20251231</v>
      </c>
      <c r="U68" t="n">
        <v>237.58</v>
      </c>
      <c r="V68" t="inlineStr">
        <is>
          <t>MXN</t>
        </is>
      </c>
      <c r="W68" t="inlineStr">
        <is>
          <t>M3</t>
        </is>
      </c>
      <c r="X68" t="n">
        <v>55</v>
      </c>
      <c r="Y68" t="inlineStr">
        <is>
          <t>MXN</t>
        </is>
      </c>
      <c r="Z68" t="inlineStr">
        <is>
          <t>M3</t>
        </is>
      </c>
      <c r="AA68" t="inlineStr">
        <is>
          <t>D306</t>
        </is>
      </c>
      <c r="AB68" t="inlineStr">
        <is>
          <t>PD0304 MAYACOBA II</t>
        </is>
      </c>
      <c r="AC68" t="n">
        <v>56103637</v>
      </c>
      <c r="AD68" t="n">
        <v>6644321540</v>
      </c>
      <c r="AE68" t="n">
        <v>4</v>
      </c>
      <c r="AF68" t="inlineStr">
        <is>
          <t>ENTREGA DIRECTA</t>
        </is>
      </c>
      <c r="AG68" t="n">
        <v>1.287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DW75-900006554-D306-10151191-4</t>
        </is>
      </c>
    </row>
    <row r="69">
      <c r="A69" t="inlineStr">
        <is>
          <t>900006554DW75D28510151191</t>
        </is>
      </c>
      <c r="B69" t="inlineStr">
        <is>
          <t>4600050647-360</t>
        </is>
      </c>
      <c r="C69" t="n">
        <v>4600050647</v>
      </c>
      <c r="D69" t="n">
        <v>360</v>
      </c>
      <c r="E69" t="inlineStr">
        <is>
          <t>MXPO</t>
        </is>
      </c>
      <c r="F69" t="inlineStr">
        <is>
          <t>MXL</t>
        </is>
      </c>
      <c r="G69" t="n">
        <v>900006554</v>
      </c>
      <c r="H69" t="inlineStr">
        <is>
          <t>TC-ED- MOSECA</t>
        </is>
      </c>
      <c r="I69" t="n">
        <v>5046324</v>
      </c>
      <c r="J69" t="inlineStr">
        <is>
          <t>MORTEROS SECOS DEL CARIBE SA DE CV</t>
        </is>
      </c>
      <c r="K69" t="inlineStr">
        <is>
          <t>Z06</t>
        </is>
      </c>
      <c r="L69" t="inlineStr">
        <is>
          <t>(AP) 45 Dias</t>
        </is>
      </c>
      <c r="M69" t="n">
        <v>10151191</v>
      </c>
      <c r="N69" t="inlineStr">
        <is>
          <t xml:space="preserve">GRAVA TRITURADA CALIZA 40MM 1 ½” </t>
        </is>
      </c>
      <c r="O69" t="inlineStr">
        <is>
          <t>DW75</t>
        </is>
      </c>
      <c r="P69" t="inlineStr">
        <is>
          <t>MX-CED. Q. ROO NORTE</t>
        </is>
      </c>
      <c r="Q69" t="n">
        <v>20210712</v>
      </c>
      <c r="R69" t="n">
        <v>20291231</v>
      </c>
      <c r="S69" t="n">
        <v>20210712</v>
      </c>
      <c r="T69" t="n">
        <v>20251231</v>
      </c>
      <c r="U69" t="n">
        <v>237.58</v>
      </c>
      <c r="V69" t="inlineStr">
        <is>
          <t>MXN</t>
        </is>
      </c>
      <c r="W69" t="inlineStr">
        <is>
          <t>M3</t>
        </is>
      </c>
      <c r="X69" t="n">
        <v>55</v>
      </c>
      <c r="Y69" t="inlineStr">
        <is>
          <t>MXN</t>
        </is>
      </c>
      <c r="Z69" t="inlineStr">
        <is>
          <t>M3</t>
        </is>
      </c>
      <c r="AA69" t="inlineStr">
        <is>
          <t>D285</t>
        </is>
      </c>
      <c r="AB69" t="inlineStr">
        <is>
          <t>PD0057 PLAYA DEL CARMEN</t>
        </is>
      </c>
      <c r="AC69" t="n">
        <v>56103637</v>
      </c>
      <c r="AD69" t="n">
        <v>6644321540</v>
      </c>
      <c r="AE69" t="n">
        <v>4</v>
      </c>
      <c r="AF69" t="inlineStr">
        <is>
          <t>ENTREGA DIRECTA</t>
        </is>
      </c>
      <c r="AG69" t="n">
        <v>1.287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DW75-900006554-D285-10151191-4</t>
        </is>
      </c>
    </row>
    <row r="70">
      <c r="A70" t="inlineStr">
        <is>
          <t>900008652DW75D34310252010</t>
        </is>
      </c>
      <c r="B70" t="inlineStr">
        <is>
          <t>4600068855-50</t>
        </is>
      </c>
      <c r="C70" t="n">
        <v>4600068855</v>
      </c>
      <c r="D70" t="n">
        <v>50</v>
      </c>
      <c r="E70" t="inlineStr">
        <is>
          <t>MXPO</t>
        </is>
      </c>
      <c r="F70" t="inlineStr">
        <is>
          <t>MXL</t>
        </is>
      </c>
      <c r="G70" t="n">
        <v>900008652</v>
      </c>
      <c r="H70" t="inlineStr">
        <is>
          <t>SF TC-ED IFLORES JABALI PLAYA</t>
        </is>
      </c>
      <c r="I70" t="n">
        <v>5005320</v>
      </c>
      <c r="J70" t="inlineStr">
        <is>
          <t>FLORES CAUICH ISMAEL</t>
        </is>
      </c>
      <c r="K70" t="inlineStr">
        <is>
          <t>N90</t>
        </is>
      </c>
      <c r="L70" t="inlineStr">
        <is>
          <t>(AP) NAFIN 90 Dias</t>
        </is>
      </c>
      <c r="M70" t="n">
        <v>10252010</v>
      </c>
      <c r="N70" t="inlineStr">
        <is>
          <t>GRAVA TRIT CALIZA 20MM 3/4" - I JABALI P</t>
        </is>
      </c>
      <c r="O70" t="inlineStr">
        <is>
          <t>DW75</t>
        </is>
      </c>
      <c r="P70" t="inlineStr">
        <is>
          <t>MX-CED. Q. ROO NORTE</t>
        </is>
      </c>
      <c r="Q70" t="n">
        <v>20231130</v>
      </c>
      <c r="R70" t="n">
        <v>20281231</v>
      </c>
      <c r="S70" t="n">
        <v>20240126</v>
      </c>
      <c r="T70" t="n">
        <v>20291231</v>
      </c>
      <c r="U70" t="n">
        <v>827.6</v>
      </c>
      <c r="V70" t="inlineStr">
        <is>
          <t>MXN</t>
        </is>
      </c>
      <c r="W70" t="inlineStr">
        <is>
          <t>M3</t>
        </is>
      </c>
      <c r="X70" t="n">
        <v>259.6</v>
      </c>
      <c r="Y70" t="inlineStr">
        <is>
          <t>MXN</t>
        </is>
      </c>
      <c r="Z70" t="inlineStr">
        <is>
          <t>M3</t>
        </is>
      </c>
      <c r="AA70" t="inlineStr">
        <is>
          <t>D343</t>
        </is>
      </c>
      <c r="AB70" t="inlineStr">
        <is>
          <t>PD0270 RIVIERA MAYA</t>
        </is>
      </c>
      <c r="AC70" t="n">
        <v>56103637</v>
      </c>
      <c r="AD70" t="n">
        <v>6644321540</v>
      </c>
      <c r="AE70" t="n">
        <v>4</v>
      </c>
      <c r="AF70" t="inlineStr">
        <is>
          <t>ENTREGA DIRECTA</t>
        </is>
      </c>
      <c r="AG70" t="n">
        <v>1.083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20240129</v>
      </c>
      <c r="AM70" t="inlineStr">
        <is>
          <t>DW75-900008652-D343-10252010-4</t>
        </is>
      </c>
    </row>
    <row r="71">
      <c r="A71" t="inlineStr">
        <is>
          <t>900006554DW75D29710189747</t>
        </is>
      </c>
      <c r="B71" t="inlineStr">
        <is>
          <t>4600050647-300</t>
        </is>
      </c>
      <c r="C71" t="n">
        <v>4600050647</v>
      </c>
      <c r="D71" t="n">
        <v>300</v>
      </c>
      <c r="E71" t="inlineStr">
        <is>
          <t>MXPO</t>
        </is>
      </c>
      <c r="F71" t="inlineStr">
        <is>
          <t>MXL</t>
        </is>
      </c>
      <c r="G71" t="n">
        <v>900006554</v>
      </c>
      <c r="H71" t="inlineStr">
        <is>
          <t>TC-ED- MOSECA</t>
        </is>
      </c>
      <c r="I71" t="n">
        <v>5046324</v>
      </c>
      <c r="J71" t="inlineStr">
        <is>
          <t>MORTEROS SECOS DEL CARIBE SA DE CV</t>
        </is>
      </c>
      <c r="K71" t="inlineStr">
        <is>
          <t>Z06</t>
        </is>
      </c>
      <c r="L71" t="inlineStr">
        <is>
          <t>(AP) 45 Dias</t>
        </is>
      </c>
      <c r="M71" t="n">
        <v>10189747</v>
      </c>
      <c r="N71" t="inlineStr">
        <is>
          <t>GRAVA CALIZA 10MM 3/8</t>
        </is>
      </c>
      <c r="O71" t="inlineStr">
        <is>
          <t>DW75</t>
        </is>
      </c>
      <c r="P71" t="inlineStr">
        <is>
          <t>MX-CED. Q. ROO NORTE</t>
        </is>
      </c>
      <c r="Q71" t="n">
        <v>20210712</v>
      </c>
      <c r="R71" t="n">
        <v>20291231</v>
      </c>
      <c r="S71" t="n">
        <v>20210712</v>
      </c>
      <c r="T71" t="n">
        <v>20251231</v>
      </c>
      <c r="U71" t="n">
        <v>252.58</v>
      </c>
      <c r="V71" t="inlineStr">
        <is>
          <t>MXN</t>
        </is>
      </c>
      <c r="W71" t="inlineStr">
        <is>
          <t>M3</t>
        </is>
      </c>
      <c r="X71" t="n">
        <v>70</v>
      </c>
      <c r="Y71" t="inlineStr">
        <is>
          <t>MXN</t>
        </is>
      </c>
      <c r="Z71" t="inlineStr">
        <is>
          <t>M3</t>
        </is>
      </c>
      <c r="AA71" t="inlineStr">
        <is>
          <t>D297</t>
        </is>
      </c>
      <c r="AB71" t="inlineStr">
        <is>
          <t>PD0455 PAAMUL II</t>
        </is>
      </c>
      <c r="AC71" t="n">
        <v>56103637</v>
      </c>
      <c r="AD71" t="n">
        <v>6644321540</v>
      </c>
      <c r="AE71" t="n">
        <v>4</v>
      </c>
      <c r="AF71" t="inlineStr">
        <is>
          <t>ENTREGA DIRECTA</t>
        </is>
      </c>
      <c r="AG71" t="n">
        <v>1.182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DW75-900006554-D297-10189747-4</t>
        </is>
      </c>
    </row>
    <row r="72">
      <c r="A72" t="inlineStr">
        <is>
          <t>900006554DW75D35810043600</t>
        </is>
      </c>
      <c r="B72" t="inlineStr">
        <is>
          <t>4600050647-330</t>
        </is>
      </c>
      <c r="C72" t="n">
        <v>4600050647</v>
      </c>
      <c r="D72" t="n">
        <v>330</v>
      </c>
      <c r="E72" t="inlineStr">
        <is>
          <t>MXPO</t>
        </is>
      </c>
      <c r="F72" t="inlineStr">
        <is>
          <t>MXL</t>
        </is>
      </c>
      <c r="G72" t="n">
        <v>900006554</v>
      </c>
      <c r="H72" t="inlineStr">
        <is>
          <t>TC-ED- MOSECA</t>
        </is>
      </c>
      <c r="I72" t="n">
        <v>5046324</v>
      </c>
      <c r="J72" t="inlineStr">
        <is>
          <t>MORTEROS SECOS DEL CARIBE SA DE CV</t>
        </is>
      </c>
      <c r="K72" t="inlineStr">
        <is>
          <t>Z06</t>
        </is>
      </c>
      <c r="L72" t="inlineStr">
        <is>
          <t>(AP) 45 Dias</t>
        </is>
      </c>
      <c r="M72" t="n">
        <v>10043600</v>
      </c>
      <c r="N72" t="inlineStr">
        <is>
          <t>Grava Triturada Caliza 13 mm - 1/2"</t>
        </is>
      </c>
      <c r="O72" t="inlineStr">
        <is>
          <t>DW75</t>
        </is>
      </c>
      <c r="P72" t="inlineStr">
        <is>
          <t>MX-CED. Q. ROO NORTE</t>
        </is>
      </c>
      <c r="Q72" t="n">
        <v>20210712</v>
      </c>
      <c r="R72" t="n">
        <v>20291231</v>
      </c>
      <c r="S72" t="n">
        <v>20210712</v>
      </c>
      <c r="T72" t="n">
        <v>20251231</v>
      </c>
      <c r="U72" t="n">
        <v>237.58</v>
      </c>
      <c r="V72" t="inlineStr">
        <is>
          <t>MXN</t>
        </is>
      </c>
      <c r="W72" t="inlineStr">
        <is>
          <t>M3</t>
        </is>
      </c>
      <c r="X72" t="n">
        <v>55</v>
      </c>
      <c r="Y72" t="inlineStr">
        <is>
          <t>MXN</t>
        </is>
      </c>
      <c r="Z72" t="inlineStr">
        <is>
          <t>M3</t>
        </is>
      </c>
      <c r="AA72" t="inlineStr">
        <is>
          <t>D358</t>
        </is>
      </c>
      <c r="AB72" t="inlineStr">
        <is>
          <t>PD0509 COLOSIO</t>
        </is>
      </c>
      <c r="AC72" t="n">
        <v>56103637</v>
      </c>
      <c r="AD72" t="n">
        <v>6644321540</v>
      </c>
      <c r="AE72" t="n">
        <v>4</v>
      </c>
      <c r="AF72" t="inlineStr">
        <is>
          <t>ENTREGA DIRECTA</t>
        </is>
      </c>
      <c r="AG72" t="n">
        <v>1.177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DW75-900006554-D358-10043600-4</t>
        </is>
      </c>
    </row>
    <row r="73">
      <c r="A73" t="inlineStr">
        <is>
          <t>900006554DW75D28510043600</t>
        </is>
      </c>
      <c r="B73" t="inlineStr">
        <is>
          <t>4600050647-370</t>
        </is>
      </c>
      <c r="C73" t="n">
        <v>4600050647</v>
      </c>
      <c r="D73" t="n">
        <v>370</v>
      </c>
      <c r="E73" t="inlineStr">
        <is>
          <t>MXPO</t>
        </is>
      </c>
      <c r="F73" t="inlineStr">
        <is>
          <t>MXL</t>
        </is>
      </c>
      <c r="G73" t="n">
        <v>900006554</v>
      </c>
      <c r="H73" t="inlineStr">
        <is>
          <t>TC-ED- MOSECA</t>
        </is>
      </c>
      <c r="I73" t="n">
        <v>5046324</v>
      </c>
      <c r="J73" t="inlineStr">
        <is>
          <t>MORTEROS SECOS DEL CARIBE SA DE CV</t>
        </is>
      </c>
      <c r="K73" t="inlineStr">
        <is>
          <t>Z06</t>
        </is>
      </c>
      <c r="L73" t="inlineStr">
        <is>
          <t>(AP) 45 Dias</t>
        </is>
      </c>
      <c r="M73" t="n">
        <v>10043600</v>
      </c>
      <c r="N73" t="inlineStr">
        <is>
          <t>Grava Triturada Caliza 13 mm - 1/2"</t>
        </is>
      </c>
      <c r="O73" t="inlineStr">
        <is>
          <t>DW75</t>
        </is>
      </c>
      <c r="P73" t="inlineStr">
        <is>
          <t>MX-CED. Q. ROO NORTE</t>
        </is>
      </c>
      <c r="Q73" t="n">
        <v>20210712</v>
      </c>
      <c r="R73" t="n">
        <v>20291231</v>
      </c>
      <c r="S73" t="n">
        <v>20210712</v>
      </c>
      <c r="T73" t="n">
        <v>20251231</v>
      </c>
      <c r="U73" t="n">
        <v>237.58</v>
      </c>
      <c r="V73" t="inlineStr">
        <is>
          <t>MXN</t>
        </is>
      </c>
      <c r="W73" t="inlineStr">
        <is>
          <t>M3</t>
        </is>
      </c>
      <c r="X73" t="n">
        <v>55</v>
      </c>
      <c r="Y73" t="inlineStr">
        <is>
          <t>MXN</t>
        </is>
      </c>
      <c r="Z73" t="inlineStr">
        <is>
          <t>M3</t>
        </is>
      </c>
      <c r="AA73" t="inlineStr">
        <is>
          <t>D285</t>
        </is>
      </c>
      <c r="AB73" t="inlineStr">
        <is>
          <t>PD0057 PLAYA DEL CARMEN</t>
        </is>
      </c>
      <c r="AC73" t="n">
        <v>56103637</v>
      </c>
      <c r="AD73" t="n">
        <v>6644321540</v>
      </c>
      <c r="AE73" t="n">
        <v>4</v>
      </c>
      <c r="AF73" t="inlineStr">
        <is>
          <t>ENTREGA DIRECTA</t>
        </is>
      </c>
      <c r="AG73" t="n">
        <v>1.177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DW75-900006554-D285-10043600-4</t>
        </is>
      </c>
    </row>
    <row r="74">
      <c r="A74" t="inlineStr">
        <is>
          <t>900006554DW75D28510043601</t>
        </is>
      </c>
      <c r="B74" t="inlineStr">
        <is>
          <t>4600050647-390</t>
        </is>
      </c>
      <c r="C74" t="n">
        <v>4600050647</v>
      </c>
      <c r="D74" t="n">
        <v>390</v>
      </c>
      <c r="E74" t="inlineStr">
        <is>
          <t>MXPO</t>
        </is>
      </c>
      <c r="F74" t="inlineStr">
        <is>
          <t>MXL</t>
        </is>
      </c>
      <c r="G74" t="n">
        <v>900006554</v>
      </c>
      <c r="H74" t="inlineStr">
        <is>
          <t>TC-ED- MOSECA</t>
        </is>
      </c>
      <c r="I74" t="n">
        <v>5046324</v>
      </c>
      <c r="J74" t="inlineStr">
        <is>
          <t>MORTEROS SECOS DEL CARIBE SA DE CV</t>
        </is>
      </c>
      <c r="K74" t="inlineStr">
        <is>
          <t>Z06</t>
        </is>
      </c>
      <c r="L74" t="inlineStr">
        <is>
          <t>(AP) 45 Dias</t>
        </is>
      </c>
      <c r="M74" t="n">
        <v>10043601</v>
      </c>
      <c r="N74" t="inlineStr">
        <is>
          <t>Grava Triturada Caliza 20 mm - 3/4"</t>
        </is>
      </c>
      <c r="O74" t="inlineStr">
        <is>
          <t>DW75</t>
        </is>
      </c>
      <c r="P74" t="inlineStr">
        <is>
          <t>MX-CED. Q. ROO NORTE</t>
        </is>
      </c>
      <c r="Q74" t="n">
        <v>20210712</v>
      </c>
      <c r="R74" t="n">
        <v>20291231</v>
      </c>
      <c r="S74" t="n">
        <v>20210712</v>
      </c>
      <c r="T74" t="n">
        <v>20251231</v>
      </c>
      <c r="U74" t="n">
        <v>237.58</v>
      </c>
      <c r="V74" t="inlineStr">
        <is>
          <t>MXN</t>
        </is>
      </c>
      <c r="W74" t="inlineStr">
        <is>
          <t>M3</t>
        </is>
      </c>
      <c r="X74" t="n">
        <v>55</v>
      </c>
      <c r="Y74" t="inlineStr">
        <is>
          <t>MXN</t>
        </is>
      </c>
      <c r="Z74" t="inlineStr">
        <is>
          <t>M3</t>
        </is>
      </c>
      <c r="AA74" t="inlineStr">
        <is>
          <t>D285</t>
        </is>
      </c>
      <c r="AB74" t="inlineStr">
        <is>
          <t>PD0057 PLAYA DEL CARMEN</t>
        </is>
      </c>
      <c r="AC74" t="n">
        <v>56103637</v>
      </c>
      <c r="AD74" t="n">
        <v>6644321540</v>
      </c>
      <c r="AE74" t="n">
        <v>4</v>
      </c>
      <c r="AF74" t="inlineStr">
        <is>
          <t>ENTREGA DIRECTA</t>
        </is>
      </c>
      <c r="AG74" t="n">
        <v>1.175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DW75-900006554-D285-10043601-4</t>
        </is>
      </c>
    </row>
    <row r="75">
      <c r="A75" t="inlineStr">
        <is>
          <t>900006554DW75D29710043601</t>
        </is>
      </c>
      <c r="B75" t="inlineStr">
        <is>
          <t>4600050647-310</t>
        </is>
      </c>
      <c r="C75" t="n">
        <v>4600050647</v>
      </c>
      <c r="D75" t="n">
        <v>310</v>
      </c>
      <c r="E75" t="inlineStr">
        <is>
          <t>MXPO</t>
        </is>
      </c>
      <c r="F75" t="inlineStr">
        <is>
          <t>MXL</t>
        </is>
      </c>
      <c r="G75" t="n">
        <v>900006554</v>
      </c>
      <c r="H75" t="inlineStr">
        <is>
          <t>TC-ED- MOSECA</t>
        </is>
      </c>
      <c r="I75" t="n">
        <v>5046324</v>
      </c>
      <c r="J75" t="inlineStr">
        <is>
          <t>MORTEROS SECOS DEL CARIBE SA DE CV</t>
        </is>
      </c>
      <c r="K75" t="inlineStr">
        <is>
          <t>Z06</t>
        </is>
      </c>
      <c r="L75" t="inlineStr">
        <is>
          <t>(AP) 45 Dias</t>
        </is>
      </c>
      <c r="M75" t="n">
        <v>10043601</v>
      </c>
      <c r="N75" t="inlineStr">
        <is>
          <t>Grava Triturada Caliza 20 mm - 3/4"</t>
        </is>
      </c>
      <c r="O75" t="inlineStr">
        <is>
          <t>DW75</t>
        </is>
      </c>
      <c r="P75" t="inlineStr">
        <is>
          <t>MX-CED. Q. ROO NORTE</t>
        </is>
      </c>
      <c r="Q75" t="n">
        <v>20210712</v>
      </c>
      <c r="R75" t="n">
        <v>20291231</v>
      </c>
      <c r="S75" t="n">
        <v>20210712</v>
      </c>
      <c r="T75" t="n">
        <v>20251231</v>
      </c>
      <c r="U75" t="n">
        <v>252.58</v>
      </c>
      <c r="V75" t="inlineStr">
        <is>
          <t>MXN</t>
        </is>
      </c>
      <c r="W75" t="inlineStr">
        <is>
          <t>M3</t>
        </is>
      </c>
      <c r="X75" t="n">
        <v>70</v>
      </c>
      <c r="Y75" t="inlineStr">
        <is>
          <t>MXN</t>
        </is>
      </c>
      <c r="Z75" t="inlineStr">
        <is>
          <t>M3</t>
        </is>
      </c>
      <c r="AA75" t="inlineStr">
        <is>
          <t>D297</t>
        </is>
      </c>
      <c r="AB75" t="inlineStr">
        <is>
          <t>PD0455 PAAMUL II</t>
        </is>
      </c>
      <c r="AC75" t="n">
        <v>56103637</v>
      </c>
      <c r="AD75" t="n">
        <v>6644321540</v>
      </c>
      <c r="AE75" t="n">
        <v>4</v>
      </c>
      <c r="AF75" t="inlineStr">
        <is>
          <t>ENTREGA DIRECTA</t>
        </is>
      </c>
      <c r="AG75" t="n">
        <v>1.175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DW75-900006554-D297-10043601-4</t>
        </is>
      </c>
    </row>
    <row r="76">
      <c r="A76" t="inlineStr">
        <is>
          <t>900006554DW75D27810189747</t>
        </is>
      </c>
      <c r="B76" t="inlineStr">
        <is>
          <t>4600050647-70</t>
        </is>
      </c>
      <c r="C76" t="n">
        <v>4600050647</v>
      </c>
      <c r="D76" t="n">
        <v>70</v>
      </c>
      <c r="E76" t="inlineStr">
        <is>
          <t>MXPO</t>
        </is>
      </c>
      <c r="F76" t="inlineStr">
        <is>
          <t>MXL</t>
        </is>
      </c>
      <c r="G76" t="n">
        <v>900006554</v>
      </c>
      <c r="H76" t="inlineStr">
        <is>
          <t>TC-ED- MOSECA</t>
        </is>
      </c>
      <c r="I76" t="n">
        <v>5046324</v>
      </c>
      <c r="J76" t="inlineStr">
        <is>
          <t>MORTEROS SECOS DEL CARIBE SA DE CV</t>
        </is>
      </c>
      <c r="K76" t="inlineStr">
        <is>
          <t>Z06</t>
        </is>
      </c>
      <c r="L76" t="inlineStr">
        <is>
          <t>(AP) 45 Dias</t>
        </is>
      </c>
      <c r="M76" t="n">
        <v>10189747</v>
      </c>
      <c r="N76" t="inlineStr">
        <is>
          <t>GRAVA CALIZA 10MM 3/8</t>
        </is>
      </c>
      <c r="O76" t="inlineStr">
        <is>
          <t>DW75</t>
        </is>
      </c>
      <c r="P76" t="inlineStr">
        <is>
          <t>MX-CED. Q. ROO NORTE</t>
        </is>
      </c>
      <c r="Q76" t="n">
        <v>20210712</v>
      </c>
      <c r="R76" t="n">
        <v>20291231</v>
      </c>
      <c r="S76" t="n">
        <v>20250301</v>
      </c>
      <c r="T76" t="n">
        <v>20301231</v>
      </c>
      <c r="U76" t="n">
        <v>370.56</v>
      </c>
      <c r="V76" t="inlineStr">
        <is>
          <t>MXN</t>
        </is>
      </c>
      <c r="W76" t="inlineStr">
        <is>
          <t>M3</t>
        </is>
      </c>
      <c r="X76" t="n">
        <v>78.3</v>
      </c>
      <c r="Y76" t="inlineStr">
        <is>
          <t>MXN</t>
        </is>
      </c>
      <c r="Z76" t="inlineStr">
        <is>
          <t>M3</t>
        </is>
      </c>
      <c r="AA76" t="inlineStr">
        <is>
          <t>D278</t>
        </is>
      </c>
      <c r="AB76" t="inlineStr">
        <is>
          <t>PD055 CANCUN</t>
        </is>
      </c>
      <c r="AC76" t="n">
        <v>56103637</v>
      </c>
      <c r="AD76" t="n">
        <v>6644321540</v>
      </c>
      <c r="AE76" t="n">
        <v>4</v>
      </c>
      <c r="AF76" t="inlineStr">
        <is>
          <t>ENTREGA DIRECTA</t>
        </is>
      </c>
      <c r="AG76" t="n">
        <v>1.182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20250313</v>
      </c>
      <c r="AM76" t="inlineStr">
        <is>
          <t>DW75-900006554-D278-10189747-4</t>
        </is>
      </c>
    </row>
    <row r="77">
      <c r="A77" t="inlineStr">
        <is>
          <t>900006554DW75D29710043600</t>
        </is>
      </c>
      <c r="B77" t="inlineStr">
        <is>
          <t>4600050647-290</t>
        </is>
      </c>
      <c r="C77" t="n">
        <v>4600050647</v>
      </c>
      <c r="D77" t="n">
        <v>290</v>
      </c>
      <c r="E77" t="inlineStr">
        <is>
          <t>MXPO</t>
        </is>
      </c>
      <c r="F77" t="inlineStr">
        <is>
          <t>MXL</t>
        </is>
      </c>
      <c r="G77" t="n">
        <v>900006554</v>
      </c>
      <c r="H77" t="inlineStr">
        <is>
          <t>TC-ED- MOSECA</t>
        </is>
      </c>
      <c r="I77" t="n">
        <v>5046324</v>
      </c>
      <c r="J77" t="inlineStr">
        <is>
          <t>MORTEROS SECOS DEL CARIBE SA DE CV</t>
        </is>
      </c>
      <c r="K77" t="inlineStr">
        <is>
          <t>Z06</t>
        </is>
      </c>
      <c r="L77" t="inlineStr">
        <is>
          <t>(AP) 45 Dias</t>
        </is>
      </c>
      <c r="M77" t="n">
        <v>10043600</v>
      </c>
      <c r="N77" t="inlineStr">
        <is>
          <t>Grava Triturada Caliza 13 mm - 1/2"</t>
        </is>
      </c>
      <c r="O77" t="inlineStr">
        <is>
          <t>DW75</t>
        </is>
      </c>
      <c r="P77" t="inlineStr">
        <is>
          <t>MX-CED. Q. ROO NORTE</t>
        </is>
      </c>
      <c r="Q77" t="n">
        <v>20210712</v>
      </c>
      <c r="R77" t="n">
        <v>20291231</v>
      </c>
      <c r="S77" t="n">
        <v>20210712</v>
      </c>
      <c r="T77" t="n">
        <v>20251231</v>
      </c>
      <c r="U77" t="n">
        <v>252.58</v>
      </c>
      <c r="V77" t="inlineStr">
        <is>
          <t>MXN</t>
        </is>
      </c>
      <c r="W77" t="inlineStr">
        <is>
          <t>M3</t>
        </is>
      </c>
      <c r="X77" t="n">
        <v>70</v>
      </c>
      <c r="Y77" t="inlineStr">
        <is>
          <t>MXN</t>
        </is>
      </c>
      <c r="Z77" t="inlineStr">
        <is>
          <t>M3</t>
        </is>
      </c>
      <c r="AA77" t="inlineStr">
        <is>
          <t>D297</t>
        </is>
      </c>
      <c r="AB77" t="inlineStr">
        <is>
          <t>PD0455 PAAMUL II</t>
        </is>
      </c>
      <c r="AC77" t="n">
        <v>56103637</v>
      </c>
      <c r="AD77" t="n">
        <v>6644321540</v>
      </c>
      <c r="AE77" t="n">
        <v>4</v>
      </c>
      <c r="AF77" t="inlineStr">
        <is>
          <t>ENTREGA DIRECTA</t>
        </is>
      </c>
      <c r="AG77" t="n">
        <v>1.177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DW75-900006554-D297-10043600-4</t>
        </is>
      </c>
    </row>
    <row r="78">
      <c r="A78" t="inlineStr">
        <is>
          <t>900006554DW75D30610189747</t>
        </is>
      </c>
      <c r="B78" t="inlineStr">
        <is>
          <t>4600050647-260</t>
        </is>
      </c>
      <c r="C78" t="n">
        <v>4600050647</v>
      </c>
      <c r="D78" t="n">
        <v>260</v>
      </c>
      <c r="E78" t="inlineStr">
        <is>
          <t>MXPO</t>
        </is>
      </c>
      <c r="F78" t="inlineStr">
        <is>
          <t>MXL</t>
        </is>
      </c>
      <c r="G78" t="n">
        <v>900006554</v>
      </c>
      <c r="H78" t="inlineStr">
        <is>
          <t>TC-ED- MOSECA</t>
        </is>
      </c>
      <c r="I78" t="n">
        <v>5046324</v>
      </c>
      <c r="J78" t="inlineStr">
        <is>
          <t>MORTEROS SECOS DEL CARIBE SA DE CV</t>
        </is>
      </c>
      <c r="K78" t="inlineStr">
        <is>
          <t>Z06</t>
        </is>
      </c>
      <c r="L78" t="inlineStr">
        <is>
          <t>(AP) 45 Dias</t>
        </is>
      </c>
      <c r="M78" t="n">
        <v>10189747</v>
      </c>
      <c r="N78" t="inlineStr">
        <is>
          <t>GRAVA CALIZA 10MM 3/8</t>
        </is>
      </c>
      <c r="O78" t="inlineStr">
        <is>
          <t>DW75</t>
        </is>
      </c>
      <c r="P78" t="inlineStr">
        <is>
          <t>MX-CED. Q. ROO NORTE</t>
        </is>
      </c>
      <c r="Q78" t="n">
        <v>20210712</v>
      </c>
      <c r="R78" t="n">
        <v>20291231</v>
      </c>
      <c r="S78" t="n">
        <v>20210712</v>
      </c>
      <c r="T78" t="n">
        <v>20251231</v>
      </c>
      <c r="U78" t="n">
        <v>237.58</v>
      </c>
      <c r="V78" t="inlineStr">
        <is>
          <t>MXN</t>
        </is>
      </c>
      <c r="W78" t="inlineStr">
        <is>
          <t>M3</t>
        </is>
      </c>
      <c r="X78" t="n">
        <v>55</v>
      </c>
      <c r="Y78" t="inlineStr">
        <is>
          <t>MXN</t>
        </is>
      </c>
      <c r="Z78" t="inlineStr">
        <is>
          <t>M3</t>
        </is>
      </c>
      <c r="AA78" t="inlineStr">
        <is>
          <t>D306</t>
        </is>
      </c>
      <c r="AB78" t="inlineStr">
        <is>
          <t>PD0304 MAYACOBA II</t>
        </is>
      </c>
      <c r="AC78" t="n">
        <v>56103637</v>
      </c>
      <c r="AD78" t="n">
        <v>6644321540</v>
      </c>
      <c r="AE78" t="n">
        <v>4</v>
      </c>
      <c r="AF78" t="inlineStr">
        <is>
          <t>ENTREGA DIRECTA</t>
        </is>
      </c>
      <c r="AG78" t="n">
        <v>1.182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DW75-900006554-D306-10189747-4</t>
        </is>
      </c>
    </row>
    <row r="79">
      <c r="A79" t="inlineStr">
        <is>
          <t>900006554DW75D35810189747</t>
        </is>
      </c>
      <c r="B79" t="inlineStr">
        <is>
          <t>4600050647-340</t>
        </is>
      </c>
      <c r="C79" t="n">
        <v>4600050647</v>
      </c>
      <c r="D79" t="n">
        <v>340</v>
      </c>
      <c r="E79" t="inlineStr">
        <is>
          <t>MXPO</t>
        </is>
      </c>
      <c r="F79" t="inlineStr">
        <is>
          <t>MXL</t>
        </is>
      </c>
      <c r="G79" t="n">
        <v>900006554</v>
      </c>
      <c r="H79" t="inlineStr">
        <is>
          <t>TC-ED- MOSECA</t>
        </is>
      </c>
      <c r="I79" t="n">
        <v>5046324</v>
      </c>
      <c r="J79" t="inlineStr">
        <is>
          <t>MORTEROS SECOS DEL CARIBE SA DE CV</t>
        </is>
      </c>
      <c r="K79" t="inlineStr">
        <is>
          <t>Z06</t>
        </is>
      </c>
      <c r="L79" t="inlineStr">
        <is>
          <t>(AP) 45 Dias</t>
        </is>
      </c>
      <c r="M79" t="n">
        <v>10189747</v>
      </c>
      <c r="N79" t="inlineStr">
        <is>
          <t>GRAVA CALIZA 10MM 3/8</t>
        </is>
      </c>
      <c r="O79" t="inlineStr">
        <is>
          <t>DW75</t>
        </is>
      </c>
      <c r="P79" t="inlineStr">
        <is>
          <t>MX-CED. Q. ROO NORTE</t>
        </is>
      </c>
      <c r="Q79" t="n">
        <v>20210712</v>
      </c>
      <c r="R79" t="n">
        <v>20291231</v>
      </c>
      <c r="S79" t="n">
        <v>20210712</v>
      </c>
      <c r="T79" t="n">
        <v>20251231</v>
      </c>
      <c r="U79" t="n">
        <v>237.58</v>
      </c>
      <c r="V79" t="inlineStr">
        <is>
          <t>MXN</t>
        </is>
      </c>
      <c r="W79" t="inlineStr">
        <is>
          <t>M3</t>
        </is>
      </c>
      <c r="X79" t="n">
        <v>55</v>
      </c>
      <c r="Y79" t="inlineStr">
        <is>
          <t>MXN</t>
        </is>
      </c>
      <c r="Z79" t="inlineStr">
        <is>
          <t>M3</t>
        </is>
      </c>
      <c r="AA79" t="inlineStr">
        <is>
          <t>D358</t>
        </is>
      </c>
      <c r="AB79" t="inlineStr">
        <is>
          <t>PD0509 COLOSIO</t>
        </is>
      </c>
      <c r="AC79" t="n">
        <v>56103637</v>
      </c>
      <c r="AD79" t="n">
        <v>6644321540</v>
      </c>
      <c r="AE79" t="n">
        <v>4</v>
      </c>
      <c r="AF79" t="inlineStr">
        <is>
          <t>ENTREGA DIRECTA</t>
        </is>
      </c>
      <c r="AG79" t="n">
        <v>1.182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DW75-900006554-D358-10189747-4</t>
        </is>
      </c>
    </row>
    <row r="80">
      <c r="A80" t="inlineStr">
        <is>
          <t>900007598DW7510251421</t>
        </is>
      </c>
      <c r="B80" t="inlineStr">
        <is>
          <t>4600068822-10</t>
        </is>
      </c>
      <c r="C80" t="n">
        <v>4600068822</v>
      </c>
      <c r="D80" t="n">
        <v>10</v>
      </c>
      <c r="E80" t="inlineStr">
        <is>
          <t>MXPO</t>
        </is>
      </c>
      <c r="F80" t="inlineStr">
        <is>
          <t>MXL</t>
        </is>
      </c>
      <c r="G80" t="n">
        <v>900007598</v>
      </c>
      <c r="H80" t="inlineStr">
        <is>
          <t>SF TC-CARACOL PRODIS</t>
        </is>
      </c>
      <c r="I80" t="n">
        <v>5083738</v>
      </c>
      <c r="J80" t="inlineStr">
        <is>
          <t>PROCESOS DISRUPTIVOS S DE RL DE CV</t>
        </is>
      </c>
      <c r="K80" t="inlineStr">
        <is>
          <t>Z04</t>
        </is>
      </c>
      <c r="L80" t="inlineStr">
        <is>
          <t>(AP) 30 Dias</t>
        </is>
      </c>
      <c r="M80" t="n">
        <v>10251421</v>
      </c>
      <c r="N80" t="inlineStr">
        <is>
          <t>ARENA TRIT CALIZA MALLA 4 - CARACOL</t>
        </is>
      </c>
      <c r="O80" t="inlineStr">
        <is>
          <t>DW75</t>
        </is>
      </c>
      <c r="P80" t="inlineStr">
        <is>
          <t>MX-CED. Q. ROO NORTE</t>
        </is>
      </c>
      <c r="Q80" t="n">
        <v>20240122</v>
      </c>
      <c r="R80" t="n">
        <v>20291231</v>
      </c>
      <c r="S80" t="n">
        <v>20241004</v>
      </c>
      <c r="T80" t="n">
        <v>20291231</v>
      </c>
      <c r="U80" t="n">
        <v>430</v>
      </c>
      <c r="V80" t="inlineStr">
        <is>
          <t>MXN</t>
        </is>
      </c>
      <c r="W80" t="inlineStr">
        <is>
          <t>M3</t>
        </is>
      </c>
      <c r="X80" t="n">
        <v>0</v>
      </c>
      <c r="Y80" t="inlineStr">
        <is>
          <t>MXN</t>
        </is>
      </c>
      <c r="Z80" t="inlineStr">
        <is>
          <t>M3</t>
        </is>
      </c>
      <c r="AC80" t="n">
        <v>56103638</v>
      </c>
      <c r="AD80" t="n">
        <v>6644321540</v>
      </c>
      <c r="AE80" t="n">
        <v>1</v>
      </c>
      <c r="AF80" t="inlineStr">
        <is>
          <t>ENTREGADO</t>
        </is>
      </c>
      <c r="AG80" t="n">
        <v>1.323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20241009</v>
      </c>
      <c r="AM80" t="inlineStr">
        <is>
          <t>DW75-900007598-10251421</t>
        </is>
      </c>
    </row>
    <row r="81">
      <c r="A81" t="inlineStr">
        <is>
          <t>900006554DW75D30610043600</t>
        </is>
      </c>
      <c r="B81" t="inlineStr">
        <is>
          <t>4600050647-250</t>
        </is>
      </c>
      <c r="C81" t="n">
        <v>4600050647</v>
      </c>
      <c r="D81" t="n">
        <v>250</v>
      </c>
      <c r="E81" t="inlineStr">
        <is>
          <t>MXPO</t>
        </is>
      </c>
      <c r="F81" t="inlineStr">
        <is>
          <t>MXL</t>
        </is>
      </c>
      <c r="G81" t="n">
        <v>900006554</v>
      </c>
      <c r="H81" t="inlineStr">
        <is>
          <t>TC-ED- MOSECA</t>
        </is>
      </c>
      <c r="I81" t="n">
        <v>5046324</v>
      </c>
      <c r="J81" t="inlineStr">
        <is>
          <t>MORTEROS SECOS DEL CARIBE SA DE CV</t>
        </is>
      </c>
      <c r="K81" t="inlineStr">
        <is>
          <t>Z06</t>
        </is>
      </c>
      <c r="L81" t="inlineStr">
        <is>
          <t>(AP) 45 Dias</t>
        </is>
      </c>
      <c r="M81" t="n">
        <v>10043600</v>
      </c>
      <c r="N81" t="inlineStr">
        <is>
          <t>Grava Triturada Caliza 13 mm - 1/2"</t>
        </is>
      </c>
      <c r="O81" t="inlineStr">
        <is>
          <t>DW75</t>
        </is>
      </c>
      <c r="P81" t="inlineStr">
        <is>
          <t>MX-CED. Q. ROO NORTE</t>
        </is>
      </c>
      <c r="Q81" t="n">
        <v>20210712</v>
      </c>
      <c r="R81" t="n">
        <v>20291231</v>
      </c>
      <c r="S81" t="n">
        <v>20210712</v>
      </c>
      <c r="T81" t="n">
        <v>20251231</v>
      </c>
      <c r="U81" t="n">
        <v>237.58</v>
      </c>
      <c r="V81" t="inlineStr">
        <is>
          <t>MXN</t>
        </is>
      </c>
      <c r="W81" t="inlineStr">
        <is>
          <t>M3</t>
        </is>
      </c>
      <c r="X81" t="n">
        <v>55</v>
      </c>
      <c r="Y81" t="inlineStr">
        <is>
          <t>MXN</t>
        </is>
      </c>
      <c r="Z81" t="inlineStr">
        <is>
          <t>M3</t>
        </is>
      </c>
      <c r="AA81" t="inlineStr">
        <is>
          <t>D306</t>
        </is>
      </c>
      <c r="AB81" t="inlineStr">
        <is>
          <t>PD0304 MAYACOBA II</t>
        </is>
      </c>
      <c r="AC81" t="n">
        <v>56103637</v>
      </c>
      <c r="AD81" t="n">
        <v>6644321540</v>
      </c>
      <c r="AE81" t="n">
        <v>4</v>
      </c>
      <c r="AF81" t="inlineStr">
        <is>
          <t>ENTREGA DIRECTA</t>
        </is>
      </c>
      <c r="AG81" t="n">
        <v>1.177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DW75-900006554-D306-10043600-4</t>
        </is>
      </c>
    </row>
    <row r="82">
      <c r="A82" t="inlineStr">
        <is>
          <t>900008652DW75D27810252010</t>
        </is>
      </c>
      <c r="B82" t="inlineStr">
        <is>
          <t>4600068855-30</t>
        </is>
      </c>
      <c r="C82" t="n">
        <v>4600068855</v>
      </c>
      <c r="D82" t="n">
        <v>30</v>
      </c>
      <c r="E82" t="inlineStr">
        <is>
          <t>MXPO</t>
        </is>
      </c>
      <c r="F82" t="inlineStr">
        <is>
          <t>MXL</t>
        </is>
      </c>
      <c r="G82" t="n">
        <v>900008652</v>
      </c>
      <c r="H82" t="inlineStr">
        <is>
          <t>SF TC-ED IFLORES JABALI PLAYA</t>
        </is>
      </c>
      <c r="I82" t="n">
        <v>5005320</v>
      </c>
      <c r="J82" t="inlineStr">
        <is>
          <t>FLORES CAUICH ISMAEL</t>
        </is>
      </c>
      <c r="K82" t="inlineStr">
        <is>
          <t>N90</t>
        </is>
      </c>
      <c r="L82" t="inlineStr">
        <is>
          <t>(AP) NAFIN 90 Dias</t>
        </is>
      </c>
      <c r="M82" t="n">
        <v>10252010</v>
      </c>
      <c r="N82" t="inlineStr">
        <is>
          <t>GRAVA TRIT CALIZA 20MM 3/4" - I JABALI P</t>
        </is>
      </c>
      <c r="O82" t="inlineStr">
        <is>
          <t>DW75</t>
        </is>
      </c>
      <c r="P82" t="inlineStr">
        <is>
          <t>MX-CED. Q. ROO NORTE</t>
        </is>
      </c>
      <c r="Q82" t="n">
        <v>20231130</v>
      </c>
      <c r="R82" t="n">
        <v>20281231</v>
      </c>
      <c r="S82" t="n">
        <v>20240126</v>
      </c>
      <c r="T82" t="n">
        <v>20291231</v>
      </c>
      <c r="U82" t="n">
        <v>897</v>
      </c>
      <c r="V82" t="inlineStr">
        <is>
          <t>MXN</t>
        </is>
      </c>
      <c r="W82" t="inlineStr">
        <is>
          <t>M3</t>
        </is>
      </c>
      <c r="X82" t="n">
        <v>329</v>
      </c>
      <c r="Y82" t="inlineStr">
        <is>
          <t>MXN</t>
        </is>
      </c>
      <c r="Z82" t="inlineStr">
        <is>
          <t>M3</t>
        </is>
      </c>
      <c r="AA82" t="inlineStr">
        <is>
          <t>D278</t>
        </is>
      </c>
      <c r="AB82" t="inlineStr">
        <is>
          <t>PD055 CANCUN</t>
        </is>
      </c>
      <c r="AC82" t="n">
        <v>56103637</v>
      </c>
      <c r="AD82" t="n">
        <v>6644321540</v>
      </c>
      <c r="AE82" t="n">
        <v>4</v>
      </c>
      <c r="AF82" t="inlineStr">
        <is>
          <t>ENTREGA DIRECTA</t>
        </is>
      </c>
      <c r="AG82" t="n">
        <v>1.083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20240129</v>
      </c>
      <c r="AM82" t="inlineStr">
        <is>
          <t>DW75-900008652-D278-10252010-4</t>
        </is>
      </c>
    </row>
    <row r="83">
      <c r="A83" t="inlineStr">
        <is>
          <t>900008652DW75D27810251252</t>
        </is>
      </c>
      <c r="B83" t="inlineStr">
        <is>
          <t>4600068855-40</t>
        </is>
      </c>
      <c r="C83" t="n">
        <v>4600068855</v>
      </c>
      <c r="D83" t="n">
        <v>40</v>
      </c>
      <c r="E83" t="inlineStr">
        <is>
          <t>MXPO</t>
        </is>
      </c>
      <c r="F83" t="inlineStr">
        <is>
          <t>MXL</t>
        </is>
      </c>
      <c r="G83" t="n">
        <v>900008652</v>
      </c>
      <c r="H83" t="inlineStr">
        <is>
          <t>SF TC-ED IFLORES JABALI PLAYA</t>
        </is>
      </c>
      <c r="I83" t="n">
        <v>5005320</v>
      </c>
      <c r="J83" t="inlineStr">
        <is>
          <t>FLORES CAUICH ISMAEL</t>
        </is>
      </c>
      <c r="K83" t="inlineStr">
        <is>
          <t>N90</t>
        </is>
      </c>
      <c r="L83" t="inlineStr">
        <is>
          <t>(AP) NAFIN 90 Dias</t>
        </is>
      </c>
      <c r="M83" t="n">
        <v>10251252</v>
      </c>
      <c r="N83" t="inlineStr">
        <is>
          <t>ARENA TRITURADA CALIZA MALLA 4</t>
        </is>
      </c>
      <c r="O83" t="inlineStr">
        <is>
          <t>DW75</t>
        </is>
      </c>
      <c r="P83" t="inlineStr">
        <is>
          <t>MX-CED. Q. ROO NORTE</t>
        </is>
      </c>
      <c r="Q83" t="n">
        <v>20231130</v>
      </c>
      <c r="R83" t="n">
        <v>20281231</v>
      </c>
      <c r="S83" t="n">
        <v>20240126</v>
      </c>
      <c r="T83" t="n">
        <v>20241231</v>
      </c>
      <c r="U83" t="n">
        <v>955</v>
      </c>
      <c r="V83" t="inlineStr">
        <is>
          <t>MXN</t>
        </is>
      </c>
      <c r="W83" t="inlineStr">
        <is>
          <t>M3</t>
        </is>
      </c>
      <c r="X83" t="n">
        <v>329</v>
      </c>
      <c r="Y83" t="inlineStr">
        <is>
          <t>MXN</t>
        </is>
      </c>
      <c r="Z83" t="inlineStr">
        <is>
          <t>M3</t>
        </is>
      </c>
      <c r="AA83" t="inlineStr">
        <is>
          <t>D278</t>
        </is>
      </c>
      <c r="AB83" t="inlineStr">
        <is>
          <t>PD055 CANCUN</t>
        </is>
      </c>
      <c r="AC83" t="n">
        <v>56103638</v>
      </c>
      <c r="AD83" t="n">
        <v>6644321540</v>
      </c>
      <c r="AE83" t="n">
        <v>4</v>
      </c>
      <c r="AF83" t="inlineStr">
        <is>
          <t>ENTREGA DIRECTA</t>
        </is>
      </c>
      <c r="AG83" t="n">
        <v>1.406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20240130</v>
      </c>
      <c r="AM83" t="inlineStr">
        <is>
          <t>DW75-900008652-D278-10251252-4</t>
        </is>
      </c>
    </row>
    <row r="84">
      <c r="A84" t="inlineStr">
        <is>
          <t>900007058DW7510232465</t>
        </is>
      </c>
      <c r="B84" t="inlineStr">
        <is>
          <t>4600050653-20</t>
        </is>
      </c>
      <c r="C84" t="n">
        <v>4600050653</v>
      </c>
      <c r="D84" t="n">
        <v>20</v>
      </c>
      <c r="E84" t="inlineStr">
        <is>
          <t>MXPO</t>
        </is>
      </c>
      <c r="F84" t="inlineStr">
        <is>
          <t>MXL</t>
        </is>
      </c>
      <c r="G84" t="n">
        <v>900007058</v>
      </c>
      <c r="H84" t="inlineStr">
        <is>
          <t>SF TC-ABC COMERICIALIZADORA CUN</t>
        </is>
      </c>
      <c r="I84" t="n">
        <v>5080208</v>
      </c>
      <c r="J84" t="inlineStr">
        <is>
          <t>ARENAS Y BLOQUES COMERCIALIZADORA</t>
        </is>
      </c>
      <c r="K84" t="inlineStr">
        <is>
          <t>Z04</t>
        </is>
      </c>
      <c r="L84" t="inlineStr">
        <is>
          <t>(AP) 30 Dias</t>
        </is>
      </c>
      <c r="M84" t="n">
        <v>10232465</v>
      </c>
      <c r="N84" t="inlineStr">
        <is>
          <t>GRAVA TRITURADA CALIZA 13 MM - 1/2"</t>
        </is>
      </c>
      <c r="O84" t="inlineStr">
        <is>
          <t>DW75</t>
        </is>
      </c>
      <c r="P84" t="inlineStr">
        <is>
          <t>MX-CED. Q. ROO NORTE</t>
        </is>
      </c>
      <c r="Q84" t="n">
        <v>20210712</v>
      </c>
      <c r="R84" t="n">
        <v>20291231</v>
      </c>
      <c r="S84" t="n">
        <v>20230906</v>
      </c>
      <c r="T84" t="n">
        <v>20281231</v>
      </c>
      <c r="U84" t="n">
        <v>460</v>
      </c>
      <c r="V84" t="inlineStr">
        <is>
          <t>MXN</t>
        </is>
      </c>
      <c r="W84" t="inlineStr">
        <is>
          <t>M3</t>
        </is>
      </c>
      <c r="X84" t="n">
        <v>0</v>
      </c>
      <c r="Y84" t="inlineStr">
        <is>
          <t>MXN</t>
        </is>
      </c>
      <c r="Z84" t="inlineStr">
        <is>
          <t>M3</t>
        </is>
      </c>
      <c r="AC84" t="n">
        <v>56103637</v>
      </c>
      <c r="AD84" t="n">
        <v>6644321540</v>
      </c>
      <c r="AE84" t="n">
        <v>1</v>
      </c>
      <c r="AF84" t="inlineStr">
        <is>
          <t>ENTREGADO</t>
        </is>
      </c>
      <c r="AG84" t="n">
        <v>1.205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20230907</v>
      </c>
      <c r="AM84" t="inlineStr">
        <is>
          <t>DW75-900007058-10232465</t>
        </is>
      </c>
    </row>
    <row r="85">
      <c r="A85" t="inlineStr">
        <is>
          <t>900007968DW7510229016</t>
        </is>
      </c>
      <c r="B85" t="inlineStr">
        <is>
          <t>4600068770-10</t>
        </is>
      </c>
      <c r="C85" t="n">
        <v>4600068770</v>
      </c>
      <c r="D85" t="n">
        <v>10</v>
      </c>
      <c r="E85" t="inlineStr">
        <is>
          <t>MXPO</t>
        </is>
      </c>
      <c r="F85" t="inlineStr">
        <is>
          <t>MXL</t>
        </is>
      </c>
      <c r="G85" t="n">
        <v>900007968</v>
      </c>
      <c r="H85" t="inlineStr">
        <is>
          <t>SF SD TC-MAYUCSA</t>
        </is>
      </c>
      <c r="I85" t="n">
        <v>5010179</v>
      </c>
      <c r="J85" t="inlineStr">
        <is>
          <t>MATERIALES DE YUCATAN SA DE CV</t>
        </is>
      </c>
      <c r="K85" t="inlineStr">
        <is>
          <t>Z04</t>
        </is>
      </c>
      <c r="L85" t="inlineStr">
        <is>
          <t>(AP) 30 Dias</t>
        </is>
      </c>
      <c r="M85" t="n">
        <v>10229016</v>
      </c>
      <c r="N85" t="inlineStr">
        <is>
          <t>ARENA TRITURADA CALIZA MALLA 4</t>
        </is>
      </c>
      <c r="O85" t="inlineStr">
        <is>
          <t>DW75</t>
        </is>
      </c>
      <c r="P85" t="inlineStr">
        <is>
          <t>MX-CED. Q. ROO NORTE</t>
        </is>
      </c>
      <c r="Q85" t="n">
        <v>20231115</v>
      </c>
      <c r="R85" t="n">
        <v>20281231</v>
      </c>
      <c r="S85" t="n">
        <v>20231115</v>
      </c>
      <c r="T85" t="n">
        <v>20281231</v>
      </c>
      <c r="U85" t="n">
        <v>250</v>
      </c>
      <c r="V85" t="inlineStr">
        <is>
          <t>MXN</t>
        </is>
      </c>
      <c r="W85" t="inlineStr">
        <is>
          <t>M3</t>
        </is>
      </c>
      <c r="X85" t="n">
        <v>0</v>
      </c>
      <c r="Y85" t="inlineStr">
        <is>
          <t>MXN</t>
        </is>
      </c>
      <c r="Z85" t="inlineStr">
        <is>
          <t>M3</t>
        </is>
      </c>
      <c r="AC85" t="n">
        <v>56103638</v>
      </c>
      <c r="AD85" t="n">
        <v>6644321540</v>
      </c>
      <c r="AE85" t="n">
        <v>1</v>
      </c>
      <c r="AF85" t="inlineStr">
        <is>
          <t>ENTREGADO</t>
        </is>
      </c>
      <c r="AG85" t="n">
        <v>1.413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20231117</v>
      </c>
      <c r="AM85" t="inlineStr">
        <is>
          <t>DW75-900007968-10229016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2026-09-14T14:23:05Z</dcterms:created>
  <dcterms:modified xsi:type="dcterms:W3CDTF">2026-09-14T14:23:07Z</dcterms:modified>
</cp:coreProperties>
</file>