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900000009</v>
      </c>
      <c r="D3" s="7">
        <f>IFERROR(VLOOKUP(C3,TRAOPE!$G:$H,2,0),"")</f>
        <v/>
      </c>
      <c r="E3" s="8" t="inlineStr">
        <is>
          <t>DW82</t>
        </is>
      </c>
      <c r="F3" s="8" t="inlineStr">
        <is>
          <t>D152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10000489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20210801</t>
        </is>
      </c>
      <c r="M3" s="8" t="inlineStr">
        <is>
          <t>20250615</t>
        </is>
      </c>
      <c r="N3" s="10" t="n">
        <v>72.90000000000001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900000130</v>
      </c>
      <c r="D4" s="7">
        <f>IFERROR(VLOOKUP(C4,TRAOPE!$G:$H,2,0),"")</f>
        <v/>
      </c>
      <c r="E4" s="8" t="inlineStr">
        <is>
          <t>DW82</t>
        </is>
      </c>
      <c r="F4" s="8" t="inlineStr">
        <is>
          <t>D152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10000137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20210801</t>
        </is>
      </c>
      <c r="M4" s="8" t="inlineStr">
        <is>
          <t>20250615</t>
        </is>
      </c>
      <c r="N4" s="10" t="n">
        <v>152.02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900000130</v>
      </c>
      <c r="D5" s="7">
        <f>IFERROR(VLOOKUP(C5,TRAOPE!$G:$H,2,0),"")</f>
        <v/>
      </c>
      <c r="E5" s="8" t="inlineStr">
        <is>
          <t>DW82</t>
        </is>
      </c>
      <c r="F5" s="8" t="inlineStr">
        <is>
          <t>D152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10000151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20210801</t>
        </is>
      </c>
      <c r="M5" s="8" t="inlineStr">
        <is>
          <t>20250615</t>
        </is>
      </c>
      <c r="N5" s="10" t="n">
        <v>152.85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900000130</v>
      </c>
      <c r="D6" s="7">
        <f>IFERROR(VLOOKUP(C6,TRAOPE!$G:$H,2,0),"")</f>
        <v/>
      </c>
      <c r="E6" s="8" t="inlineStr">
        <is>
          <t>DW82</t>
        </is>
      </c>
      <c r="F6" s="8" t="inlineStr">
        <is>
          <t>D152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10000413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20210801</t>
        </is>
      </c>
      <c r="M6" s="8" t="inlineStr">
        <is>
          <t>20250615</t>
        </is>
      </c>
      <c r="N6" s="10" t="n">
        <v>120.12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900000130</v>
      </c>
      <c r="D7" s="7">
        <f>IFERROR(VLOOKUP(C7,TRAOPE!$G:$H,2,0),"")</f>
        <v/>
      </c>
      <c r="E7" s="8" t="inlineStr">
        <is>
          <t>DW82</t>
        </is>
      </c>
      <c r="F7" s="8" t="inlineStr">
        <is>
          <t>D152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10000437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20210801</t>
        </is>
      </c>
      <c r="M7" s="8" t="inlineStr">
        <is>
          <t>20250615</t>
        </is>
      </c>
      <c r="N7" s="10" t="n">
        <v>125.62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900005839</v>
      </c>
      <c r="D8" s="7">
        <f>IFERROR(VLOOKUP(C8,TRAOPE!$G:$H,2,0),"")</f>
        <v/>
      </c>
      <c r="E8" s="8" t="inlineStr">
        <is>
          <t>DW82</t>
        </is>
      </c>
      <c r="F8" s="8" t="inlineStr">
        <is>
          <t>D152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10000137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20230629</t>
        </is>
      </c>
      <c r="M8" s="8" t="inlineStr">
        <is>
          <t>20240517</t>
        </is>
      </c>
      <c r="N8" s="10" t="n">
        <v>154.92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900005839</v>
      </c>
      <c r="D9" s="7">
        <f>IFERROR(VLOOKUP(C9,TRAOPE!$G:$H,2,0),"")</f>
        <v/>
      </c>
      <c r="E9" s="8" t="inlineStr">
        <is>
          <t>DW82</t>
        </is>
      </c>
      <c r="F9" s="8" t="inlineStr">
        <is>
          <t>D152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10000151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20230629</t>
        </is>
      </c>
      <c r="M9" s="8" t="inlineStr">
        <is>
          <t>20240517</t>
        </is>
      </c>
      <c r="N9" s="10" t="n">
        <v>144.14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900005839</v>
      </c>
      <c r="D10" s="7">
        <f>IFERROR(VLOOKUP(C10,TRAOPE!$G:$H,2,0),"")</f>
        <v/>
      </c>
      <c r="E10" s="8" t="inlineStr">
        <is>
          <t>DW82</t>
        </is>
      </c>
      <c r="F10" s="8" t="inlineStr">
        <is>
          <t>D152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10000413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20230629</t>
        </is>
      </c>
      <c r="M10" s="8" t="inlineStr">
        <is>
          <t>20240517</t>
        </is>
      </c>
      <c r="N10" s="10" t="n">
        <v>161.51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900005839</v>
      </c>
      <c r="D11" s="7">
        <f>IFERROR(VLOOKUP(C11,TRAOPE!$G:$H,2,0),"")</f>
        <v/>
      </c>
      <c r="E11" s="8" t="inlineStr">
        <is>
          <t>DW82</t>
        </is>
      </c>
      <c r="F11" s="8" t="inlineStr">
        <is>
          <t>D152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10000437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20230629</t>
        </is>
      </c>
      <c r="M11" s="8" t="inlineStr">
        <is>
          <t>20240517</t>
        </is>
      </c>
      <c r="N11" s="10" t="n">
        <v>159.05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900005956</v>
      </c>
      <c r="D12" s="7">
        <f>IFERROR(VLOOKUP(C12,TRAOPE!$G:$H,2,0),"")</f>
        <v/>
      </c>
      <c r="E12" s="8" t="inlineStr">
        <is>
          <t>DW82</t>
        </is>
      </c>
      <c r="F12" s="8" t="inlineStr">
        <is>
          <t>D152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10164161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20240429</t>
        </is>
      </c>
      <c r="M12" s="8" t="inlineStr">
        <is>
          <t>99991231</t>
        </is>
      </c>
      <c r="N12" s="10" t="n">
        <v>184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900006080</v>
      </c>
      <c r="D13" s="7">
        <f>IFERROR(VLOOKUP(C13,TRAOPE!$G:$H,2,0),"")</f>
        <v/>
      </c>
      <c r="E13" s="8" t="inlineStr">
        <is>
          <t>DW82</t>
        </is>
      </c>
      <c r="F13" s="8" t="inlineStr">
        <is>
          <t>D152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10164161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20210801</t>
        </is>
      </c>
      <c r="M13" s="8" t="inlineStr">
        <is>
          <t>20250615</t>
        </is>
      </c>
      <c r="N13" s="10" t="n">
        <v>105.7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900006104</v>
      </c>
      <c r="D14" s="7">
        <f>IFERROR(VLOOKUP(C14,TRAOPE!$G:$H,2,0),"")</f>
        <v/>
      </c>
      <c r="E14" s="8" t="inlineStr">
        <is>
          <t>DW82</t>
        </is>
      </c>
      <c r="F14" s="8" t="inlineStr">
        <is>
          <t>D152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10000137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20210801</t>
        </is>
      </c>
      <c r="M14" s="8" t="inlineStr">
        <is>
          <t>20250615</t>
        </is>
      </c>
      <c r="N14" s="10" t="n">
        <v>108.68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900006104</v>
      </c>
      <c r="D15" s="7">
        <f>IFERROR(VLOOKUP(C15,TRAOPE!$G:$H,2,0),"")</f>
        <v/>
      </c>
      <c r="E15" s="8" t="inlineStr">
        <is>
          <t>DW82</t>
        </is>
      </c>
      <c r="F15" s="8" t="inlineStr">
        <is>
          <t>D152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10000151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20210801</t>
        </is>
      </c>
      <c r="M15" s="8" t="inlineStr">
        <is>
          <t>20250615</t>
        </is>
      </c>
      <c r="N15" s="10" t="n">
        <v>135.98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900006104</v>
      </c>
      <c r="D16" s="7">
        <f>IFERROR(VLOOKUP(C16,TRAOPE!$G:$H,2,0),"")</f>
        <v/>
      </c>
      <c r="E16" s="8" t="inlineStr">
        <is>
          <t>DW82</t>
        </is>
      </c>
      <c r="F16" s="8" t="inlineStr">
        <is>
          <t>D152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10000413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20210801</t>
        </is>
      </c>
      <c r="M16" s="8" t="inlineStr">
        <is>
          <t>20250615</t>
        </is>
      </c>
      <c r="N16" s="10" t="n">
        <v>85.89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900006104</v>
      </c>
      <c r="D17" s="7">
        <f>IFERROR(VLOOKUP(C17,TRAOPE!$G:$H,2,0),"")</f>
        <v/>
      </c>
      <c r="E17" s="8" t="inlineStr">
        <is>
          <t>DW82</t>
        </is>
      </c>
      <c r="F17" s="8" t="inlineStr">
        <is>
          <t>D152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10000437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20210801</t>
        </is>
      </c>
      <c r="M17" s="8" t="inlineStr">
        <is>
          <t>20250615</t>
        </is>
      </c>
      <c r="N17" s="10" t="n">
        <v>92.93000000000001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900006251</v>
      </c>
      <c r="D18" s="7">
        <f>IFERROR(VLOOKUP(C18,TRAOPE!$G:$H,2,0),"")</f>
        <v/>
      </c>
      <c r="E18" s="8" t="inlineStr">
        <is>
          <t>DW82</t>
        </is>
      </c>
      <c r="F18" s="8" t="inlineStr">
        <is>
          <t>D152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10000137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20210801</t>
        </is>
      </c>
      <c r="M18" s="8" t="inlineStr">
        <is>
          <t>20250615</t>
        </is>
      </c>
      <c r="N18" s="10" t="n">
        <v>110.01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900006251</v>
      </c>
      <c r="D19" s="7">
        <f>IFERROR(VLOOKUP(C19,TRAOPE!$G:$H,2,0),"")</f>
        <v/>
      </c>
      <c r="E19" s="8" t="inlineStr">
        <is>
          <t>DW82</t>
        </is>
      </c>
      <c r="F19" s="8" t="inlineStr">
        <is>
          <t>D152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10000151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20210801</t>
        </is>
      </c>
      <c r="M19" s="8" t="inlineStr">
        <is>
          <t>20250615</t>
        </is>
      </c>
      <c r="N19" s="10" t="n">
        <v>137.31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900006251</v>
      </c>
      <c r="D20" s="7">
        <f>IFERROR(VLOOKUP(C20,TRAOPE!$G:$H,2,0),"")</f>
        <v/>
      </c>
      <c r="E20" s="8" t="inlineStr">
        <is>
          <t>DW82</t>
        </is>
      </c>
      <c r="F20" s="8" t="inlineStr">
        <is>
          <t>D152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10000413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20210801</t>
        </is>
      </c>
      <c r="M20" s="8" t="inlineStr">
        <is>
          <t>20250615</t>
        </is>
      </c>
      <c r="N20" s="10" t="n">
        <v>87.23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900006251</v>
      </c>
      <c r="D21" s="7">
        <f>IFERROR(VLOOKUP(C21,TRAOPE!$G:$H,2,0),"")</f>
        <v/>
      </c>
      <c r="E21" s="8" t="inlineStr">
        <is>
          <t>DW82</t>
        </is>
      </c>
      <c r="F21" s="8" t="inlineStr">
        <is>
          <t>D152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10000437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20210801</t>
        </is>
      </c>
      <c r="M21" s="8" t="inlineStr">
        <is>
          <t>20250615</t>
        </is>
      </c>
      <c r="N21" s="10" t="n">
        <v>94.26000000000001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900007460</v>
      </c>
      <c r="D22" s="7">
        <f>IFERROR(VLOOKUP(C22,TRAOPE!$G:$H,2,0),"")</f>
        <v/>
      </c>
      <c r="E22" s="8" t="inlineStr">
        <is>
          <t>DW82</t>
        </is>
      </c>
      <c r="F22" s="8" t="inlineStr">
        <is>
          <t>D173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10164161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20210801</t>
        </is>
      </c>
      <c r="M22" s="8" t="inlineStr">
        <is>
          <t>20250615</t>
        </is>
      </c>
      <c r="N22" s="10" t="n">
        <v>84.38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900008629</v>
      </c>
      <c r="D23" s="7">
        <f>IFERROR(VLOOKUP(C23,TRAOPE!$G:$H,2,0),"")</f>
        <v/>
      </c>
      <c r="E23" s="8" t="inlineStr">
        <is>
          <t>DW82</t>
        </is>
      </c>
      <c r="F23" s="8" t="inlineStr">
        <is>
          <t>D152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10000137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20250717</t>
        </is>
      </c>
      <c r="M23" s="8" t="inlineStr">
        <is>
          <t>99991231</t>
        </is>
      </c>
      <c r="N23" s="10" t="n">
        <v>210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900008629</v>
      </c>
      <c r="D24" s="7">
        <f>IFERROR(VLOOKUP(C24,TRAOPE!$G:$H,2,0),"")</f>
        <v/>
      </c>
      <c r="E24" s="8" t="inlineStr">
        <is>
          <t>DW82</t>
        </is>
      </c>
      <c r="F24" s="8" t="inlineStr">
        <is>
          <t>D152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10000151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20250106</t>
        </is>
      </c>
      <c r="M24" s="8" t="inlineStr">
        <is>
          <t>99991231</t>
        </is>
      </c>
      <c r="N24" s="10" t="n">
        <v>243.96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900008629</v>
      </c>
      <c r="D25" s="7">
        <f>IFERROR(VLOOKUP(C25,TRAOPE!$G:$H,2,0),"")</f>
        <v/>
      </c>
      <c r="E25" s="8" t="inlineStr">
        <is>
          <t>DW82</t>
        </is>
      </c>
      <c r="F25" s="8" t="inlineStr">
        <is>
          <t>D152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10000413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20250717</t>
        </is>
      </c>
      <c r="M25" s="8" t="inlineStr">
        <is>
          <t>99991231</t>
        </is>
      </c>
      <c r="N25" s="10" t="n">
        <v>163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900008629</v>
      </c>
      <c r="D26" s="7">
        <f>IFERROR(VLOOKUP(C26,TRAOPE!$G:$H,2,0),"")</f>
        <v/>
      </c>
      <c r="E26" s="8" t="inlineStr">
        <is>
          <t>DW82</t>
        </is>
      </c>
      <c r="F26" s="8" t="inlineStr">
        <is>
          <t>D152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10000437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20250717</t>
        </is>
      </c>
      <c r="M26" s="8" t="inlineStr">
        <is>
          <t>99991231</t>
        </is>
      </c>
      <c r="N26" s="10" t="n">
        <v>165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900008685</v>
      </c>
      <c r="D27" s="7">
        <f>IFERROR(VLOOKUP(C27,TRAOPE!$G:$H,2,0),"")</f>
        <v/>
      </c>
      <c r="E27" s="8" t="inlineStr">
        <is>
          <t>DW82</t>
        </is>
      </c>
      <c r="F27" s="8" t="inlineStr">
        <is>
          <t>D152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10000137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20250717</t>
        </is>
      </c>
      <c r="M27" s="8" t="inlineStr">
        <is>
          <t>99991231</t>
        </is>
      </c>
      <c r="N27" s="10" t="n">
        <v>210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900008685</v>
      </c>
      <c r="D28" s="7">
        <f>IFERROR(VLOOKUP(C28,TRAOPE!$G:$H,2,0),"")</f>
        <v/>
      </c>
      <c r="E28" s="8" t="inlineStr">
        <is>
          <t>DW82</t>
        </is>
      </c>
      <c r="F28" s="8" t="inlineStr">
        <is>
          <t>D152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10000151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20250106</t>
        </is>
      </c>
      <c r="M28" s="8" t="inlineStr">
        <is>
          <t>99991231</t>
        </is>
      </c>
      <c r="N28" s="10" t="n">
        <v>243.96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900008685</v>
      </c>
      <c r="D29" s="7">
        <f>IFERROR(VLOOKUP(C29,TRAOPE!$G:$H,2,0),"")</f>
        <v/>
      </c>
      <c r="E29" s="8" t="inlineStr">
        <is>
          <t>DW82</t>
        </is>
      </c>
      <c r="F29" s="8" t="inlineStr">
        <is>
          <t>D152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10000413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20250717</t>
        </is>
      </c>
      <c r="M29" s="8" t="inlineStr">
        <is>
          <t>99991231</t>
        </is>
      </c>
      <c r="N29" s="10" t="n">
        <v>163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900008685</v>
      </c>
      <c r="D30" s="7">
        <f>IFERROR(VLOOKUP(C30,TRAOPE!$G:$H,2,0),"")</f>
        <v/>
      </c>
      <c r="E30" s="8" t="inlineStr">
        <is>
          <t>DW82</t>
        </is>
      </c>
      <c r="F30" s="8" t="inlineStr">
        <is>
          <t>D152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10000437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20250717</t>
        </is>
      </c>
      <c r="M30" s="8" t="inlineStr">
        <is>
          <t>99991231</t>
        </is>
      </c>
      <c r="N30" s="10" t="n">
        <v>165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900008815</v>
      </c>
      <c r="D31" s="7">
        <f>IFERROR(VLOOKUP(C31,TRAOPE!$G:$H,2,0),"")</f>
        <v/>
      </c>
      <c r="E31" s="8" t="inlineStr">
        <is>
          <t>DW82</t>
        </is>
      </c>
      <c r="F31" s="8" t="inlineStr">
        <is>
          <t>D152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10000137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20250210</t>
        </is>
      </c>
      <c r="M31" s="8" t="inlineStr">
        <is>
          <t>99991231</t>
        </is>
      </c>
      <c r="N31" s="10" t="n">
        <v>210.6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900008815</v>
      </c>
      <c r="D32" s="7">
        <f>IFERROR(VLOOKUP(C32,TRAOPE!$G:$H,2,0),"")</f>
        <v/>
      </c>
      <c r="E32" s="8" t="inlineStr">
        <is>
          <t>DW82</t>
        </is>
      </c>
      <c r="F32" s="8" t="inlineStr">
        <is>
          <t>D152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10000151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20250210</t>
        </is>
      </c>
      <c r="M32" s="8" t="inlineStr">
        <is>
          <t>99991231</t>
        </is>
      </c>
      <c r="N32" s="10" t="n">
        <v>237.6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900008815</v>
      </c>
      <c r="D33" s="7">
        <f>IFERROR(VLOOKUP(C33,TRAOPE!$G:$H,2,0),"")</f>
        <v/>
      </c>
      <c r="E33" s="8" t="inlineStr">
        <is>
          <t>DW82</t>
        </is>
      </c>
      <c r="F33" s="8" t="inlineStr">
        <is>
          <t>D152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10000413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20250210</t>
        </is>
      </c>
      <c r="M33" s="8" t="inlineStr">
        <is>
          <t>99991231</t>
        </is>
      </c>
      <c r="N33" s="10" t="n">
        <v>163.08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900008815</v>
      </c>
      <c r="D34" s="7">
        <f>IFERROR(VLOOKUP(C34,TRAOPE!$G:$H,2,0),"")</f>
        <v/>
      </c>
      <c r="E34" s="8" t="inlineStr">
        <is>
          <t>DW82</t>
        </is>
      </c>
      <c r="F34" s="8" t="inlineStr">
        <is>
          <t>D152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10000437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20250210</t>
        </is>
      </c>
      <c r="M34" s="8" t="inlineStr">
        <is>
          <t>99991231</t>
        </is>
      </c>
      <c r="N34" s="10" t="n">
        <v>165.24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900008815</v>
      </c>
      <c r="D35" s="7">
        <f>IFERROR(VLOOKUP(C35,TRAOPE!$G:$H,2,0),"")</f>
        <v/>
      </c>
      <c r="E35" s="8" t="inlineStr">
        <is>
          <t>DW82</t>
        </is>
      </c>
      <c r="F35" s="8" t="inlineStr">
        <is>
          <t>D152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10164161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20210801</t>
        </is>
      </c>
      <c r="M35" s="8" t="inlineStr">
        <is>
          <t>20250615</t>
        </is>
      </c>
      <c r="N35" s="10" t="n">
        <v>233.33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900008815</v>
      </c>
      <c r="D36" s="7">
        <f>IFERROR(VLOOKUP(C36,TRAOPE!$G:$H,2,0),"")</f>
        <v/>
      </c>
      <c r="E36" s="8" t="inlineStr">
        <is>
          <t>DW82</t>
        </is>
      </c>
      <c r="F36" s="8" t="inlineStr">
        <is>
          <t>D152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10179731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20210801</t>
        </is>
      </c>
      <c r="M36" s="8" t="inlineStr">
        <is>
          <t>20250615</t>
        </is>
      </c>
      <c r="N36" s="10" t="n">
        <v>126.62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900008816</v>
      </c>
      <c r="D37" s="7">
        <f>IFERROR(VLOOKUP(C37,TRAOPE!$G:$H,2,0),"")</f>
        <v/>
      </c>
      <c r="E37" s="8" t="inlineStr">
        <is>
          <t>DW82</t>
        </is>
      </c>
      <c r="F37" s="8" t="inlineStr">
        <is>
          <t>D152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10000137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20250210</t>
        </is>
      </c>
      <c r="M37" s="8" t="inlineStr">
        <is>
          <t>99991231</t>
        </is>
      </c>
      <c r="N37" s="10" t="n">
        <v>210.6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900008816</v>
      </c>
      <c r="D38" s="7">
        <f>IFERROR(VLOOKUP(C38,TRAOPE!$G:$H,2,0),"")</f>
        <v/>
      </c>
      <c r="E38" s="8" t="inlineStr">
        <is>
          <t>DW82</t>
        </is>
      </c>
      <c r="F38" s="8" t="inlineStr">
        <is>
          <t>D152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10000151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20250210</t>
        </is>
      </c>
      <c r="M38" s="8" t="inlineStr">
        <is>
          <t>99991231</t>
        </is>
      </c>
      <c r="N38" s="10" t="n">
        <v>237.6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900008816</v>
      </c>
      <c r="D39" s="7">
        <f>IFERROR(VLOOKUP(C39,TRAOPE!$G:$H,2,0),"")</f>
        <v/>
      </c>
      <c r="E39" s="8" t="inlineStr">
        <is>
          <t>DW82</t>
        </is>
      </c>
      <c r="F39" s="8" t="inlineStr">
        <is>
          <t>D152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10000413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20250210</t>
        </is>
      </c>
      <c r="M39" s="8" t="inlineStr">
        <is>
          <t>99991231</t>
        </is>
      </c>
      <c r="N39" s="10" t="n">
        <v>163.08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900008816</v>
      </c>
      <c r="D40" s="7">
        <f>IFERROR(VLOOKUP(C40,TRAOPE!$G:$H,2,0),"")</f>
        <v/>
      </c>
      <c r="E40" s="8" t="inlineStr">
        <is>
          <t>DW82</t>
        </is>
      </c>
      <c r="F40" s="8" t="inlineStr">
        <is>
          <t>D152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10000437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20250210</t>
        </is>
      </c>
      <c r="M40" s="8" t="inlineStr">
        <is>
          <t>99991231</t>
        </is>
      </c>
      <c r="N40" s="10" t="n">
        <v>165.24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900008816</v>
      </c>
      <c r="D41" s="7">
        <f>IFERROR(VLOOKUP(C41,TRAOPE!$G:$H,2,0),"")</f>
        <v/>
      </c>
      <c r="E41" s="8" t="inlineStr">
        <is>
          <t>DW82</t>
        </is>
      </c>
      <c r="F41" s="8" t="inlineStr">
        <is>
          <t>D152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10164161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20210801</t>
        </is>
      </c>
      <c r="M41" s="8" t="inlineStr">
        <is>
          <t>20250615</t>
        </is>
      </c>
      <c r="N41" s="10" t="n">
        <v>233.33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900008816</v>
      </c>
      <c r="D42" s="7">
        <f>IFERROR(VLOOKUP(C42,TRAOPE!$G:$H,2,0),"")</f>
        <v/>
      </c>
      <c r="E42" s="8" t="inlineStr">
        <is>
          <t>DW82</t>
        </is>
      </c>
      <c r="F42" s="8" t="inlineStr">
        <is>
          <t>D152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10179731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20210801</t>
        </is>
      </c>
      <c r="M42" s="8" t="inlineStr">
        <is>
          <t>20250615</t>
        </is>
      </c>
      <c r="N42" s="10" t="n">
        <v>126.62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900008817</v>
      </c>
      <c r="D43" s="7">
        <f>IFERROR(VLOOKUP(C43,TRAOPE!$G:$H,2,0),"")</f>
        <v/>
      </c>
      <c r="E43" s="8" t="inlineStr">
        <is>
          <t>DW82</t>
        </is>
      </c>
      <c r="F43" s="8" t="inlineStr">
        <is>
          <t>D152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10000137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20210801</t>
        </is>
      </c>
      <c r="M43" s="8" t="inlineStr">
        <is>
          <t>20250615</t>
        </is>
      </c>
      <c r="N43" s="10" t="n">
        <v>185.29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900008817</v>
      </c>
      <c r="D44" s="7">
        <f>IFERROR(VLOOKUP(C44,TRAOPE!$G:$H,2,0),"")</f>
        <v/>
      </c>
      <c r="E44" s="8" t="inlineStr">
        <is>
          <t>DW82</t>
        </is>
      </c>
      <c r="F44" s="8" t="inlineStr">
        <is>
          <t>D152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10000151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20210801</t>
        </is>
      </c>
      <c r="M44" s="8" t="inlineStr">
        <is>
          <t>20250615</t>
        </is>
      </c>
      <c r="N44" s="10" t="n">
        <v>193.33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900008817</v>
      </c>
      <c r="D45" s="7">
        <f>IFERROR(VLOOKUP(C45,TRAOPE!$G:$H,2,0),"")</f>
        <v/>
      </c>
      <c r="E45" s="8" t="inlineStr">
        <is>
          <t>DW82</t>
        </is>
      </c>
      <c r="F45" s="8" t="inlineStr">
        <is>
          <t>D152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10000413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20210801</t>
        </is>
      </c>
      <c r="M45" s="8" t="inlineStr">
        <is>
          <t>20250615</t>
        </is>
      </c>
      <c r="N45" s="10" t="n">
        <v>143.33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900008817</v>
      </c>
      <c r="D46" s="7">
        <f>IFERROR(VLOOKUP(C46,TRAOPE!$G:$H,2,0),"")</f>
        <v/>
      </c>
      <c r="E46" s="8" t="inlineStr">
        <is>
          <t>DW82</t>
        </is>
      </c>
      <c r="F46" s="8" t="inlineStr">
        <is>
          <t>D152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10000437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20210801</t>
        </is>
      </c>
      <c r="M46" s="8" t="inlineStr">
        <is>
          <t>20250615</t>
        </is>
      </c>
      <c r="N46" s="10" t="n">
        <v>139.53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900008817</v>
      </c>
      <c r="D47" s="7">
        <f>IFERROR(VLOOKUP(C47,TRAOPE!$G:$H,2,0),"")</f>
        <v/>
      </c>
      <c r="E47" s="8" t="inlineStr">
        <is>
          <t>DW82</t>
        </is>
      </c>
      <c r="F47" s="8" t="inlineStr">
        <is>
          <t>D152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10164161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20210801</t>
        </is>
      </c>
      <c r="M47" s="8" t="inlineStr">
        <is>
          <t>20250615</t>
        </is>
      </c>
      <c r="N47" s="10" t="n">
        <v>233.33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900008817</v>
      </c>
      <c r="D48" s="7">
        <f>IFERROR(VLOOKUP(C48,TRAOPE!$G:$H,2,0),"")</f>
        <v/>
      </c>
      <c r="E48" s="8" t="inlineStr">
        <is>
          <t>DW82</t>
        </is>
      </c>
      <c r="F48" s="8" t="inlineStr">
        <is>
          <t>D152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10179731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20210801</t>
        </is>
      </c>
      <c r="M48" s="8" t="inlineStr">
        <is>
          <t>20250615</t>
        </is>
      </c>
      <c r="N48" s="10" t="n">
        <v>126.62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900008991</v>
      </c>
      <c r="D49" s="7">
        <f>IFERROR(VLOOKUP(C49,TRAOPE!$G:$H,2,0),"")</f>
        <v/>
      </c>
      <c r="E49" s="8" t="inlineStr">
        <is>
          <t>DW82</t>
        </is>
      </c>
      <c r="F49" s="8" t="inlineStr">
        <is>
          <t>D152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10000137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20210801</t>
        </is>
      </c>
      <c r="M49" s="8" t="inlineStr">
        <is>
          <t>20250615</t>
        </is>
      </c>
      <c r="N49" s="10" t="n">
        <v>195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900008991</v>
      </c>
      <c r="D50" s="7">
        <f>IFERROR(VLOOKUP(C50,TRAOPE!$G:$H,2,0),"")</f>
        <v/>
      </c>
      <c r="E50" s="8" t="inlineStr">
        <is>
          <t>DW82</t>
        </is>
      </c>
      <c r="F50" s="8" t="inlineStr">
        <is>
          <t>D152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10000437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20210801</t>
        </is>
      </c>
      <c r="M50" s="8" t="inlineStr">
        <is>
          <t>20250615</t>
        </is>
      </c>
      <c r="N50" s="10" t="n">
        <v>206.25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900000009</t>
        </is>
      </c>
      <c r="B2" t="inlineStr">
        <is>
          <t>DW82</t>
        </is>
      </c>
      <c r="C2" t="inlineStr">
        <is>
          <t>D152</t>
        </is>
      </c>
      <c r="D2" t="inlineStr">
        <is>
          <t>10000489</t>
        </is>
      </c>
      <c r="E2" t="inlineStr"/>
      <c r="F2" s="11" t="n">
        <v>72.90000000000001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900000130</t>
        </is>
      </c>
      <c r="B3" t="inlineStr">
        <is>
          <t>DW82</t>
        </is>
      </c>
      <c r="C3" t="inlineStr">
        <is>
          <t>D152</t>
        </is>
      </c>
      <c r="D3" t="inlineStr">
        <is>
          <t>10000137</t>
        </is>
      </c>
      <c r="E3" t="inlineStr"/>
      <c r="F3" s="11" t="n">
        <v>152.02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900000130</t>
        </is>
      </c>
      <c r="B4" t="inlineStr">
        <is>
          <t>DW82</t>
        </is>
      </c>
      <c r="C4" t="inlineStr">
        <is>
          <t>D152</t>
        </is>
      </c>
      <c r="D4" t="inlineStr">
        <is>
          <t>10000151</t>
        </is>
      </c>
      <c r="E4" t="inlineStr"/>
      <c r="F4" s="11" t="n">
        <v>152.85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900000130</t>
        </is>
      </c>
      <c r="B5" t="inlineStr">
        <is>
          <t>DW82</t>
        </is>
      </c>
      <c r="C5" t="inlineStr">
        <is>
          <t>D152</t>
        </is>
      </c>
      <c r="D5" t="inlineStr">
        <is>
          <t>10000413</t>
        </is>
      </c>
      <c r="E5" t="inlineStr"/>
      <c r="F5" s="11" t="n">
        <v>120.12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900000130</t>
        </is>
      </c>
      <c r="B6" t="inlineStr">
        <is>
          <t>DW82</t>
        </is>
      </c>
      <c r="C6" t="inlineStr">
        <is>
          <t>D152</t>
        </is>
      </c>
      <c r="D6" t="inlineStr">
        <is>
          <t>10000437</t>
        </is>
      </c>
      <c r="E6" t="inlineStr"/>
      <c r="F6" s="11" t="n">
        <v>125.62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900005839</t>
        </is>
      </c>
      <c r="B7" t="inlineStr">
        <is>
          <t>DW82</t>
        </is>
      </c>
      <c r="C7" t="inlineStr">
        <is>
          <t>D152</t>
        </is>
      </c>
      <c r="D7" t="inlineStr">
        <is>
          <t>10000137</t>
        </is>
      </c>
      <c r="E7" t="inlineStr"/>
      <c r="F7" s="11" t="n">
        <v>154.92</v>
      </c>
      <c r="G7" t="inlineStr"/>
      <c r="I7" t="inlineStr">
        <is>
          <t>TN</t>
        </is>
      </c>
      <c r="J7" t="inlineStr"/>
      <c r="K7" t="inlineStr">
        <is>
          <t>20230629</t>
        </is>
      </c>
      <c r="L7" t="inlineStr">
        <is>
          <t>20240517</t>
        </is>
      </c>
    </row>
    <row r="8">
      <c r="A8" t="inlineStr">
        <is>
          <t>900005839</t>
        </is>
      </c>
      <c r="B8" t="inlineStr">
        <is>
          <t>DW82</t>
        </is>
      </c>
      <c r="C8" t="inlineStr">
        <is>
          <t>D152</t>
        </is>
      </c>
      <c r="D8" t="inlineStr">
        <is>
          <t>10000151</t>
        </is>
      </c>
      <c r="E8" t="inlineStr"/>
      <c r="F8" s="11" t="n">
        <v>144.14</v>
      </c>
      <c r="G8" t="inlineStr"/>
      <c r="I8" t="inlineStr">
        <is>
          <t>TN</t>
        </is>
      </c>
      <c r="J8" t="inlineStr"/>
      <c r="K8" t="inlineStr">
        <is>
          <t>20230629</t>
        </is>
      </c>
      <c r="L8" t="inlineStr">
        <is>
          <t>20240517</t>
        </is>
      </c>
    </row>
    <row r="9">
      <c r="A9" t="inlineStr">
        <is>
          <t>900005839</t>
        </is>
      </c>
      <c r="B9" t="inlineStr">
        <is>
          <t>DW82</t>
        </is>
      </c>
      <c r="C9" t="inlineStr">
        <is>
          <t>D152</t>
        </is>
      </c>
      <c r="D9" t="inlineStr">
        <is>
          <t>10000413</t>
        </is>
      </c>
      <c r="E9" t="inlineStr"/>
      <c r="F9" s="11" t="n">
        <v>161.51</v>
      </c>
      <c r="G9" t="inlineStr"/>
      <c r="I9" t="inlineStr">
        <is>
          <t>TN</t>
        </is>
      </c>
      <c r="J9" t="inlineStr"/>
      <c r="K9" t="inlineStr">
        <is>
          <t>20230629</t>
        </is>
      </c>
      <c r="L9" t="inlineStr">
        <is>
          <t>20240517</t>
        </is>
      </c>
    </row>
    <row r="10">
      <c r="A10" t="inlineStr">
        <is>
          <t>900005839</t>
        </is>
      </c>
      <c r="B10" t="inlineStr">
        <is>
          <t>DW82</t>
        </is>
      </c>
      <c r="C10" t="inlineStr">
        <is>
          <t>D152</t>
        </is>
      </c>
      <c r="D10" t="inlineStr">
        <is>
          <t>10000437</t>
        </is>
      </c>
      <c r="E10" t="inlineStr"/>
      <c r="F10" s="11" t="n">
        <v>159.05</v>
      </c>
      <c r="G10" t="inlineStr"/>
      <c r="I10" t="inlineStr">
        <is>
          <t>TN</t>
        </is>
      </c>
      <c r="J10" t="inlineStr"/>
      <c r="K10" t="inlineStr">
        <is>
          <t>20230629</t>
        </is>
      </c>
      <c r="L10" t="inlineStr">
        <is>
          <t>20240517</t>
        </is>
      </c>
    </row>
    <row r="11">
      <c r="A11" t="inlineStr">
        <is>
          <t>900005956</t>
        </is>
      </c>
      <c r="B11" t="inlineStr">
        <is>
          <t>DW82</t>
        </is>
      </c>
      <c r="C11" t="inlineStr">
        <is>
          <t>D152</t>
        </is>
      </c>
      <c r="D11" t="inlineStr">
        <is>
          <t>10164161</t>
        </is>
      </c>
      <c r="E11" t="inlineStr"/>
      <c r="F11" s="11" t="n">
        <v>184</v>
      </c>
      <c r="G11" t="inlineStr"/>
      <c r="I11" t="inlineStr">
        <is>
          <t>TN</t>
        </is>
      </c>
      <c r="J11" t="inlineStr"/>
      <c r="K11" t="inlineStr">
        <is>
          <t>20240429</t>
        </is>
      </c>
      <c r="L11" t="inlineStr">
        <is>
          <t>99991231</t>
        </is>
      </c>
    </row>
    <row r="12">
      <c r="A12" t="inlineStr">
        <is>
          <t>900006080</t>
        </is>
      </c>
      <c r="B12" t="inlineStr">
        <is>
          <t>DW82</t>
        </is>
      </c>
      <c r="C12" t="inlineStr">
        <is>
          <t>D152</t>
        </is>
      </c>
      <c r="D12" t="inlineStr">
        <is>
          <t>10164161</t>
        </is>
      </c>
      <c r="E12" t="inlineStr"/>
      <c r="F12" s="11" t="n">
        <v>105.7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900006104</t>
        </is>
      </c>
      <c r="B13" t="inlineStr">
        <is>
          <t>DW82</t>
        </is>
      </c>
      <c r="C13" t="inlineStr">
        <is>
          <t>D152</t>
        </is>
      </c>
      <c r="D13" t="inlineStr">
        <is>
          <t>10000137</t>
        </is>
      </c>
      <c r="E13" t="inlineStr"/>
      <c r="F13" s="11" t="n">
        <v>108.68</v>
      </c>
      <c r="G13" t="inlineStr"/>
      <c r="I13" t="inlineStr">
        <is>
          <t>TN</t>
        </is>
      </c>
      <c r="J13" t="inlineStr"/>
      <c r="K13" t="inlineStr">
        <is>
          <t>20210801</t>
        </is>
      </c>
      <c r="L13" t="inlineStr">
        <is>
          <t>20250615</t>
        </is>
      </c>
    </row>
    <row r="14">
      <c r="A14" t="inlineStr">
        <is>
          <t>900006104</t>
        </is>
      </c>
      <c r="B14" t="inlineStr">
        <is>
          <t>DW82</t>
        </is>
      </c>
      <c r="C14" t="inlineStr">
        <is>
          <t>D152</t>
        </is>
      </c>
      <c r="D14" t="inlineStr">
        <is>
          <t>10000151</t>
        </is>
      </c>
      <c r="E14" t="inlineStr"/>
      <c r="F14" s="11" t="n">
        <v>135.98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900006104</t>
        </is>
      </c>
      <c r="B15" t="inlineStr">
        <is>
          <t>DW82</t>
        </is>
      </c>
      <c r="C15" t="inlineStr">
        <is>
          <t>D152</t>
        </is>
      </c>
      <c r="D15" t="inlineStr">
        <is>
          <t>10000413</t>
        </is>
      </c>
      <c r="E15" t="inlineStr"/>
      <c r="F15" s="11" t="n">
        <v>85.89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900006104</t>
        </is>
      </c>
      <c r="B16" t="inlineStr">
        <is>
          <t>DW82</t>
        </is>
      </c>
      <c r="C16" t="inlineStr">
        <is>
          <t>D152</t>
        </is>
      </c>
      <c r="D16" t="inlineStr">
        <is>
          <t>10000437</t>
        </is>
      </c>
      <c r="E16" t="inlineStr"/>
      <c r="F16" s="11" t="n">
        <v>92.93000000000001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900006251</t>
        </is>
      </c>
      <c r="B17" t="inlineStr">
        <is>
          <t>DW82</t>
        </is>
      </c>
      <c r="C17" t="inlineStr">
        <is>
          <t>D152</t>
        </is>
      </c>
      <c r="D17" t="inlineStr">
        <is>
          <t>10000137</t>
        </is>
      </c>
      <c r="E17" t="inlineStr"/>
      <c r="F17" s="11" t="n">
        <v>110.01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900006251</t>
        </is>
      </c>
      <c r="B18" t="inlineStr">
        <is>
          <t>DW82</t>
        </is>
      </c>
      <c r="C18" t="inlineStr">
        <is>
          <t>D152</t>
        </is>
      </c>
      <c r="D18" t="inlineStr">
        <is>
          <t>10000151</t>
        </is>
      </c>
      <c r="E18" t="inlineStr"/>
      <c r="F18" s="11" t="n">
        <v>137.31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900006251</t>
        </is>
      </c>
      <c r="B19" t="inlineStr">
        <is>
          <t>DW82</t>
        </is>
      </c>
      <c r="C19" t="inlineStr">
        <is>
          <t>D152</t>
        </is>
      </c>
      <c r="D19" t="inlineStr">
        <is>
          <t>10000413</t>
        </is>
      </c>
      <c r="E19" t="inlineStr"/>
      <c r="F19" s="11" t="n">
        <v>87.23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900006251</t>
        </is>
      </c>
      <c r="B20" t="inlineStr">
        <is>
          <t>DW82</t>
        </is>
      </c>
      <c r="C20" t="inlineStr">
        <is>
          <t>D152</t>
        </is>
      </c>
      <c r="D20" t="inlineStr">
        <is>
          <t>10000437</t>
        </is>
      </c>
      <c r="E20" t="inlineStr"/>
      <c r="F20" s="11" t="n">
        <v>94.26000000000001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900007460</t>
        </is>
      </c>
      <c r="B21" t="inlineStr">
        <is>
          <t>DW82</t>
        </is>
      </c>
      <c r="C21" t="inlineStr">
        <is>
          <t>D173</t>
        </is>
      </c>
      <c r="D21" t="inlineStr">
        <is>
          <t>10164161</t>
        </is>
      </c>
      <c r="E21" t="inlineStr"/>
      <c r="F21" s="11" t="n">
        <v>84.38</v>
      </c>
      <c r="G21" t="inlineStr"/>
      <c r="I21" t="inlineStr">
        <is>
          <t>TN</t>
        </is>
      </c>
      <c r="J21" t="inlineStr"/>
      <c r="K21" t="inlineStr">
        <is>
          <t>20210801</t>
        </is>
      </c>
      <c r="L21" t="inlineStr">
        <is>
          <t>20250615</t>
        </is>
      </c>
    </row>
    <row r="22">
      <c r="A22" t="inlineStr">
        <is>
          <t>900008629</t>
        </is>
      </c>
      <c r="B22" t="inlineStr">
        <is>
          <t>DW82</t>
        </is>
      </c>
      <c r="C22" t="inlineStr">
        <is>
          <t>D152</t>
        </is>
      </c>
      <c r="D22" t="inlineStr">
        <is>
          <t>10000137</t>
        </is>
      </c>
      <c r="E22" t="inlineStr"/>
      <c r="F22" s="11" t="n">
        <v>210</v>
      </c>
      <c r="G22" t="inlineStr"/>
      <c r="I22" t="inlineStr">
        <is>
          <t>TN</t>
        </is>
      </c>
      <c r="J22" t="inlineStr"/>
      <c r="K22" t="inlineStr">
        <is>
          <t>20250717</t>
        </is>
      </c>
      <c r="L22" t="inlineStr">
        <is>
          <t>99991231</t>
        </is>
      </c>
    </row>
    <row r="23">
      <c r="A23" t="inlineStr">
        <is>
          <t>900008629</t>
        </is>
      </c>
      <c r="B23" t="inlineStr">
        <is>
          <t>DW82</t>
        </is>
      </c>
      <c r="C23" t="inlineStr">
        <is>
          <t>D152</t>
        </is>
      </c>
      <c r="D23" t="inlineStr">
        <is>
          <t>10000151</t>
        </is>
      </c>
      <c r="E23" t="inlineStr"/>
      <c r="F23" s="11" t="n">
        <v>243.96</v>
      </c>
      <c r="G23" t="inlineStr"/>
      <c r="I23" t="inlineStr">
        <is>
          <t>TN</t>
        </is>
      </c>
      <c r="J23" t="inlineStr"/>
      <c r="K23" t="inlineStr">
        <is>
          <t>20250106</t>
        </is>
      </c>
      <c r="L23" t="inlineStr">
        <is>
          <t>99991231</t>
        </is>
      </c>
    </row>
    <row r="24">
      <c r="A24" t="inlineStr">
        <is>
          <t>900008629</t>
        </is>
      </c>
      <c r="B24" t="inlineStr">
        <is>
          <t>DW82</t>
        </is>
      </c>
      <c r="C24" t="inlineStr">
        <is>
          <t>D152</t>
        </is>
      </c>
      <c r="D24" t="inlineStr">
        <is>
          <t>10000413</t>
        </is>
      </c>
      <c r="E24" t="inlineStr"/>
      <c r="F24" s="11" t="n">
        <v>163</v>
      </c>
      <c r="G24" t="inlineStr"/>
      <c r="I24" t="inlineStr">
        <is>
          <t>TN</t>
        </is>
      </c>
      <c r="J24" t="inlineStr"/>
      <c r="K24" t="inlineStr">
        <is>
          <t>20250717</t>
        </is>
      </c>
      <c r="L24" t="inlineStr">
        <is>
          <t>99991231</t>
        </is>
      </c>
    </row>
    <row r="25">
      <c r="A25" t="inlineStr">
        <is>
          <t>900008629</t>
        </is>
      </c>
      <c r="B25" t="inlineStr">
        <is>
          <t>DW82</t>
        </is>
      </c>
      <c r="C25" t="inlineStr">
        <is>
          <t>D152</t>
        </is>
      </c>
      <c r="D25" t="inlineStr">
        <is>
          <t>10000437</t>
        </is>
      </c>
      <c r="E25" t="inlineStr"/>
      <c r="F25" s="11" t="n">
        <v>165</v>
      </c>
      <c r="G25" t="inlineStr"/>
      <c r="I25" t="inlineStr">
        <is>
          <t>TN</t>
        </is>
      </c>
      <c r="J25" t="inlineStr"/>
      <c r="K25" t="inlineStr">
        <is>
          <t>20250717</t>
        </is>
      </c>
      <c r="L25" t="inlineStr">
        <is>
          <t>99991231</t>
        </is>
      </c>
    </row>
    <row r="26">
      <c r="A26" t="inlineStr">
        <is>
          <t>900008685</t>
        </is>
      </c>
      <c r="B26" t="inlineStr">
        <is>
          <t>DW82</t>
        </is>
      </c>
      <c r="C26" t="inlineStr">
        <is>
          <t>D152</t>
        </is>
      </c>
      <c r="D26" t="inlineStr">
        <is>
          <t>10000137</t>
        </is>
      </c>
      <c r="E26" t="inlineStr"/>
      <c r="F26" s="11" t="n">
        <v>210</v>
      </c>
      <c r="G26" t="inlineStr"/>
      <c r="I26" t="inlineStr">
        <is>
          <t>TN</t>
        </is>
      </c>
      <c r="J26" t="inlineStr"/>
      <c r="K26" t="inlineStr">
        <is>
          <t>20250717</t>
        </is>
      </c>
      <c r="L26" t="inlineStr">
        <is>
          <t>99991231</t>
        </is>
      </c>
    </row>
    <row r="27">
      <c r="A27" t="inlineStr">
        <is>
          <t>900008685</t>
        </is>
      </c>
      <c r="B27" t="inlineStr">
        <is>
          <t>DW82</t>
        </is>
      </c>
      <c r="C27" t="inlineStr">
        <is>
          <t>D152</t>
        </is>
      </c>
      <c r="D27" t="inlineStr">
        <is>
          <t>10000151</t>
        </is>
      </c>
      <c r="E27" t="inlineStr"/>
      <c r="F27" s="11" t="n">
        <v>243.96</v>
      </c>
      <c r="G27" t="inlineStr"/>
      <c r="I27" t="inlineStr">
        <is>
          <t>TN</t>
        </is>
      </c>
      <c r="J27" t="inlineStr"/>
      <c r="K27" t="inlineStr">
        <is>
          <t>20250106</t>
        </is>
      </c>
      <c r="L27" t="inlineStr">
        <is>
          <t>99991231</t>
        </is>
      </c>
    </row>
    <row r="28">
      <c r="A28" t="inlineStr">
        <is>
          <t>900008685</t>
        </is>
      </c>
      <c r="B28" t="inlineStr">
        <is>
          <t>DW82</t>
        </is>
      </c>
      <c r="C28" t="inlineStr">
        <is>
          <t>D152</t>
        </is>
      </c>
      <c r="D28" t="inlineStr">
        <is>
          <t>10000413</t>
        </is>
      </c>
      <c r="E28" t="inlineStr"/>
      <c r="F28" s="11" t="n">
        <v>163</v>
      </c>
      <c r="G28" t="inlineStr"/>
      <c r="I28" t="inlineStr">
        <is>
          <t>TN</t>
        </is>
      </c>
      <c r="J28" t="inlineStr"/>
      <c r="K28" t="inlineStr">
        <is>
          <t>20250717</t>
        </is>
      </c>
      <c r="L28" t="inlineStr">
        <is>
          <t>99991231</t>
        </is>
      </c>
    </row>
    <row r="29">
      <c r="A29" t="inlineStr">
        <is>
          <t>900008685</t>
        </is>
      </c>
      <c r="B29" t="inlineStr">
        <is>
          <t>DW82</t>
        </is>
      </c>
      <c r="C29" t="inlineStr">
        <is>
          <t>D152</t>
        </is>
      </c>
      <c r="D29" t="inlineStr">
        <is>
          <t>10000437</t>
        </is>
      </c>
      <c r="E29" t="inlineStr"/>
      <c r="F29" s="11" t="n">
        <v>165</v>
      </c>
      <c r="G29" t="inlineStr"/>
      <c r="I29" t="inlineStr">
        <is>
          <t>TN</t>
        </is>
      </c>
      <c r="J29" t="inlineStr"/>
      <c r="K29" t="inlineStr">
        <is>
          <t>20250717</t>
        </is>
      </c>
      <c r="L29" t="inlineStr">
        <is>
          <t>99991231</t>
        </is>
      </c>
    </row>
    <row r="30">
      <c r="A30" t="inlineStr">
        <is>
          <t>900008815</t>
        </is>
      </c>
      <c r="B30" t="inlineStr">
        <is>
          <t>DW82</t>
        </is>
      </c>
      <c r="C30" t="inlineStr">
        <is>
          <t>D152</t>
        </is>
      </c>
      <c r="D30" t="inlineStr">
        <is>
          <t>10000137</t>
        </is>
      </c>
      <c r="E30" t="inlineStr"/>
      <c r="F30" s="11" t="n">
        <v>210.6</v>
      </c>
      <c r="G30" t="inlineStr"/>
      <c r="I30" t="inlineStr">
        <is>
          <t>TN</t>
        </is>
      </c>
      <c r="J30" t="inlineStr"/>
      <c r="K30" t="inlineStr">
        <is>
          <t>20250210</t>
        </is>
      </c>
      <c r="L30" t="inlineStr">
        <is>
          <t>99991231</t>
        </is>
      </c>
    </row>
    <row r="31">
      <c r="A31" t="inlineStr">
        <is>
          <t>900008815</t>
        </is>
      </c>
      <c r="B31" t="inlineStr">
        <is>
          <t>DW82</t>
        </is>
      </c>
      <c r="C31" t="inlineStr">
        <is>
          <t>D152</t>
        </is>
      </c>
      <c r="D31" t="inlineStr">
        <is>
          <t>10000151</t>
        </is>
      </c>
      <c r="E31" t="inlineStr"/>
      <c r="F31" s="11" t="n">
        <v>237.6</v>
      </c>
      <c r="G31" t="inlineStr"/>
      <c r="I31" t="inlineStr">
        <is>
          <t>TN</t>
        </is>
      </c>
      <c r="J31" t="inlineStr"/>
      <c r="K31" t="inlineStr">
        <is>
          <t>20250210</t>
        </is>
      </c>
      <c r="L31" t="inlineStr">
        <is>
          <t>99991231</t>
        </is>
      </c>
    </row>
    <row r="32">
      <c r="A32" t="inlineStr">
        <is>
          <t>900008815</t>
        </is>
      </c>
      <c r="B32" t="inlineStr">
        <is>
          <t>DW82</t>
        </is>
      </c>
      <c r="C32" t="inlineStr">
        <is>
          <t>D152</t>
        </is>
      </c>
      <c r="D32" t="inlineStr">
        <is>
          <t>10000413</t>
        </is>
      </c>
      <c r="E32" t="inlineStr"/>
      <c r="F32" s="11" t="n">
        <v>163.08</v>
      </c>
      <c r="G32" t="inlineStr"/>
      <c r="I32" t="inlineStr">
        <is>
          <t>TN</t>
        </is>
      </c>
      <c r="J32" t="inlineStr"/>
      <c r="K32" t="inlineStr">
        <is>
          <t>20250210</t>
        </is>
      </c>
      <c r="L32" t="inlineStr">
        <is>
          <t>99991231</t>
        </is>
      </c>
    </row>
    <row r="33">
      <c r="A33" t="inlineStr">
        <is>
          <t>900008815</t>
        </is>
      </c>
      <c r="B33" t="inlineStr">
        <is>
          <t>DW82</t>
        </is>
      </c>
      <c r="C33" t="inlineStr">
        <is>
          <t>D152</t>
        </is>
      </c>
      <c r="D33" t="inlineStr">
        <is>
          <t>10000437</t>
        </is>
      </c>
      <c r="E33" t="inlineStr"/>
      <c r="F33" s="11" t="n">
        <v>165.24</v>
      </c>
      <c r="G33" t="inlineStr"/>
      <c r="I33" t="inlineStr">
        <is>
          <t>TN</t>
        </is>
      </c>
      <c r="J33" t="inlineStr"/>
      <c r="K33" t="inlineStr">
        <is>
          <t>20250210</t>
        </is>
      </c>
      <c r="L33" t="inlineStr">
        <is>
          <t>99991231</t>
        </is>
      </c>
    </row>
    <row r="34">
      <c r="A34" t="inlineStr">
        <is>
          <t>900008815</t>
        </is>
      </c>
      <c r="B34" t="inlineStr">
        <is>
          <t>DW82</t>
        </is>
      </c>
      <c r="C34" t="inlineStr">
        <is>
          <t>D152</t>
        </is>
      </c>
      <c r="D34" t="inlineStr">
        <is>
          <t>10164161</t>
        </is>
      </c>
      <c r="E34" t="inlineStr"/>
      <c r="F34" s="11" t="n">
        <v>233.33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900008815</t>
        </is>
      </c>
      <c r="B35" t="inlineStr">
        <is>
          <t>DW82</t>
        </is>
      </c>
      <c r="C35" t="inlineStr">
        <is>
          <t>D152</t>
        </is>
      </c>
      <c r="D35" t="inlineStr">
        <is>
          <t>10179731</t>
        </is>
      </c>
      <c r="E35" t="inlineStr"/>
      <c r="F35" s="11" t="n">
        <v>126.62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900008816</t>
        </is>
      </c>
      <c r="B36" t="inlineStr">
        <is>
          <t>DW82</t>
        </is>
      </c>
      <c r="C36" t="inlineStr">
        <is>
          <t>D152</t>
        </is>
      </c>
      <c r="D36" t="inlineStr">
        <is>
          <t>10000137</t>
        </is>
      </c>
      <c r="E36" t="inlineStr"/>
      <c r="F36" s="11" t="n">
        <v>210.6</v>
      </c>
      <c r="G36" t="inlineStr"/>
      <c r="I36" t="inlineStr">
        <is>
          <t>TN</t>
        </is>
      </c>
      <c r="J36" t="inlineStr"/>
      <c r="K36" t="inlineStr">
        <is>
          <t>20250210</t>
        </is>
      </c>
      <c r="L36" t="inlineStr">
        <is>
          <t>99991231</t>
        </is>
      </c>
    </row>
    <row r="37">
      <c r="A37" t="inlineStr">
        <is>
          <t>900008816</t>
        </is>
      </c>
      <c r="B37" t="inlineStr">
        <is>
          <t>DW82</t>
        </is>
      </c>
      <c r="C37" t="inlineStr">
        <is>
          <t>D152</t>
        </is>
      </c>
      <c r="D37" t="inlineStr">
        <is>
          <t>10000151</t>
        </is>
      </c>
      <c r="E37" t="inlineStr"/>
      <c r="F37" s="11" t="n">
        <v>237.6</v>
      </c>
      <c r="G37" t="inlineStr"/>
      <c r="I37" t="inlineStr">
        <is>
          <t>TN</t>
        </is>
      </c>
      <c r="J37" t="inlineStr"/>
      <c r="K37" t="inlineStr">
        <is>
          <t>20250210</t>
        </is>
      </c>
      <c r="L37" t="inlineStr">
        <is>
          <t>99991231</t>
        </is>
      </c>
    </row>
    <row r="38">
      <c r="A38" t="inlineStr">
        <is>
          <t>900008816</t>
        </is>
      </c>
      <c r="B38" t="inlineStr">
        <is>
          <t>DW82</t>
        </is>
      </c>
      <c r="C38" t="inlineStr">
        <is>
          <t>D152</t>
        </is>
      </c>
      <c r="D38" t="inlineStr">
        <is>
          <t>10000413</t>
        </is>
      </c>
      <c r="E38" t="inlineStr"/>
      <c r="F38" s="11" t="n">
        <v>163.08</v>
      </c>
      <c r="G38" t="inlineStr"/>
      <c r="I38" t="inlineStr">
        <is>
          <t>TN</t>
        </is>
      </c>
      <c r="J38" t="inlineStr"/>
      <c r="K38" t="inlineStr">
        <is>
          <t>20250210</t>
        </is>
      </c>
      <c r="L38" t="inlineStr">
        <is>
          <t>99991231</t>
        </is>
      </c>
    </row>
    <row r="39">
      <c r="A39" t="inlineStr">
        <is>
          <t>900008816</t>
        </is>
      </c>
      <c r="B39" t="inlineStr">
        <is>
          <t>DW82</t>
        </is>
      </c>
      <c r="C39" t="inlineStr">
        <is>
          <t>D152</t>
        </is>
      </c>
      <c r="D39" t="inlineStr">
        <is>
          <t>10000437</t>
        </is>
      </c>
      <c r="E39" t="inlineStr"/>
      <c r="F39" s="11" t="n">
        <v>165.24</v>
      </c>
      <c r="G39" t="inlineStr"/>
      <c r="I39" t="inlineStr">
        <is>
          <t>TN</t>
        </is>
      </c>
      <c r="J39" t="inlineStr"/>
      <c r="K39" t="inlineStr">
        <is>
          <t>20250210</t>
        </is>
      </c>
      <c r="L39" t="inlineStr">
        <is>
          <t>99991231</t>
        </is>
      </c>
    </row>
    <row r="40">
      <c r="A40" t="inlineStr">
        <is>
          <t>900008816</t>
        </is>
      </c>
      <c r="B40" t="inlineStr">
        <is>
          <t>DW82</t>
        </is>
      </c>
      <c r="C40" t="inlineStr">
        <is>
          <t>D152</t>
        </is>
      </c>
      <c r="D40" t="inlineStr">
        <is>
          <t>10164161</t>
        </is>
      </c>
      <c r="E40" t="inlineStr"/>
      <c r="F40" s="11" t="n">
        <v>233.33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900008816</t>
        </is>
      </c>
      <c r="B41" t="inlineStr">
        <is>
          <t>DW82</t>
        </is>
      </c>
      <c r="C41" t="inlineStr">
        <is>
          <t>D152</t>
        </is>
      </c>
      <c r="D41" t="inlineStr">
        <is>
          <t>10179731</t>
        </is>
      </c>
      <c r="E41" t="inlineStr"/>
      <c r="F41" s="11" t="n">
        <v>126.62</v>
      </c>
      <c r="G41" t="inlineStr"/>
      <c r="I41" t="inlineStr">
        <is>
          <t>TN</t>
        </is>
      </c>
      <c r="J41" t="inlineStr"/>
      <c r="K41" t="inlineStr">
        <is>
          <t>20210801</t>
        </is>
      </c>
      <c r="L41" t="inlineStr">
        <is>
          <t>20250615</t>
        </is>
      </c>
    </row>
    <row r="42">
      <c r="A42" t="inlineStr">
        <is>
          <t>900008817</t>
        </is>
      </c>
      <c r="B42" t="inlineStr">
        <is>
          <t>DW82</t>
        </is>
      </c>
      <c r="C42" t="inlineStr">
        <is>
          <t>D152</t>
        </is>
      </c>
      <c r="D42" t="inlineStr">
        <is>
          <t>10000137</t>
        </is>
      </c>
      <c r="E42" t="inlineStr"/>
      <c r="F42" s="11" t="n">
        <v>185.29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900008817</t>
        </is>
      </c>
      <c r="B43" t="inlineStr">
        <is>
          <t>DW82</t>
        </is>
      </c>
      <c r="C43" t="inlineStr">
        <is>
          <t>D152</t>
        </is>
      </c>
      <c r="D43" t="inlineStr">
        <is>
          <t>10000151</t>
        </is>
      </c>
      <c r="E43" t="inlineStr"/>
      <c r="F43" s="11" t="n">
        <v>193.33</v>
      </c>
      <c r="G43" t="inlineStr"/>
      <c r="I43" t="inlineStr">
        <is>
          <t>TN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900008817</t>
        </is>
      </c>
      <c r="B44" t="inlineStr">
        <is>
          <t>DW82</t>
        </is>
      </c>
      <c r="C44" t="inlineStr">
        <is>
          <t>D152</t>
        </is>
      </c>
      <c r="D44" t="inlineStr">
        <is>
          <t>10000413</t>
        </is>
      </c>
      <c r="E44" t="inlineStr"/>
      <c r="F44" s="11" t="n">
        <v>143.33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900008817</t>
        </is>
      </c>
      <c r="B45" t="inlineStr">
        <is>
          <t>DW82</t>
        </is>
      </c>
      <c r="C45" t="inlineStr">
        <is>
          <t>D152</t>
        </is>
      </c>
      <c r="D45" t="inlineStr">
        <is>
          <t>10000437</t>
        </is>
      </c>
      <c r="E45" t="inlineStr"/>
      <c r="F45" s="11" t="n">
        <v>139.53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900008817</t>
        </is>
      </c>
      <c r="B46" t="inlineStr">
        <is>
          <t>DW82</t>
        </is>
      </c>
      <c r="C46" t="inlineStr">
        <is>
          <t>D152</t>
        </is>
      </c>
      <c r="D46" t="inlineStr">
        <is>
          <t>10164161</t>
        </is>
      </c>
      <c r="E46" t="inlineStr"/>
      <c r="F46" s="11" t="n">
        <v>233.33</v>
      </c>
      <c r="G46" t="inlineStr"/>
      <c r="I46" t="inlineStr">
        <is>
          <t>TN</t>
        </is>
      </c>
      <c r="J46" t="inlineStr"/>
      <c r="K46" t="inlineStr">
        <is>
          <t>20210801</t>
        </is>
      </c>
      <c r="L46" t="inlineStr">
        <is>
          <t>20250615</t>
        </is>
      </c>
    </row>
    <row r="47">
      <c r="A47" t="inlineStr">
        <is>
          <t>900008817</t>
        </is>
      </c>
      <c r="B47" t="inlineStr">
        <is>
          <t>DW82</t>
        </is>
      </c>
      <c r="C47" t="inlineStr">
        <is>
          <t>D152</t>
        </is>
      </c>
      <c r="D47" t="inlineStr">
        <is>
          <t>10179731</t>
        </is>
      </c>
      <c r="E47" t="inlineStr"/>
      <c r="F47" s="11" t="n">
        <v>126.62</v>
      </c>
      <c r="G47" t="inlineStr"/>
      <c r="I47" t="inlineStr">
        <is>
          <t>TN</t>
        </is>
      </c>
      <c r="J47" t="inlineStr"/>
      <c r="K47" t="inlineStr">
        <is>
          <t>20210801</t>
        </is>
      </c>
      <c r="L47" t="inlineStr">
        <is>
          <t>20250615</t>
        </is>
      </c>
    </row>
    <row r="48">
      <c r="A48" t="inlineStr">
        <is>
          <t>900008991</t>
        </is>
      </c>
      <c r="B48" t="inlineStr">
        <is>
          <t>DW82</t>
        </is>
      </c>
      <c r="C48" t="inlineStr">
        <is>
          <t>D152</t>
        </is>
      </c>
      <c r="D48" t="inlineStr">
        <is>
          <t>10000137</t>
        </is>
      </c>
      <c r="E48" t="inlineStr"/>
      <c r="F48" s="11" t="n">
        <v>195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900008991</t>
        </is>
      </c>
      <c r="B49" t="inlineStr">
        <is>
          <t>DW82</t>
        </is>
      </c>
      <c r="C49" t="inlineStr">
        <is>
          <t>D152</t>
        </is>
      </c>
      <c r="D49" t="inlineStr">
        <is>
          <t>10000437</t>
        </is>
      </c>
      <c r="E49" t="inlineStr"/>
      <c r="F49" s="11" t="n">
        <v>206.25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900000009DW82D15210000489</t>
        </is>
      </c>
      <c r="B2" t="inlineStr">
        <is>
          <t>900000009</t>
        </is>
      </c>
      <c r="C2" t="inlineStr">
        <is>
          <t>DW82</t>
        </is>
      </c>
      <c r="D2" t="inlineStr">
        <is>
          <t>D152</t>
        </is>
      </c>
      <c r="E2" t="inlineStr">
        <is>
          <t>1</t>
        </is>
      </c>
      <c r="F2" t="inlineStr">
        <is>
          <t>10000489</t>
        </is>
      </c>
      <c r="H2" t="inlineStr"/>
      <c r="J2" t="n">
        <v>582.48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900000130DW82D15210000137</t>
        </is>
      </c>
      <c r="B3" t="inlineStr">
        <is>
          <t>900000130</t>
        </is>
      </c>
      <c r="C3" t="inlineStr">
        <is>
          <t>DW82</t>
        </is>
      </c>
      <c r="D3" t="inlineStr">
        <is>
          <t>D152</t>
        </is>
      </c>
      <c r="E3" t="inlineStr">
        <is>
          <t>1</t>
        </is>
      </c>
      <c r="F3" t="inlineStr">
        <is>
          <t>10000137</t>
        </is>
      </c>
      <c r="H3" t="inlineStr"/>
      <c r="J3" t="n">
        <v>47.06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900000130DW82D15210000151</t>
        </is>
      </c>
      <c r="B4" t="inlineStr">
        <is>
          <t>900000130</t>
        </is>
      </c>
      <c r="C4" t="inlineStr">
        <is>
          <t>DW82</t>
        </is>
      </c>
      <c r="D4" t="inlineStr">
        <is>
          <t>D152</t>
        </is>
      </c>
      <c r="E4" t="inlineStr">
        <is>
          <t>1</t>
        </is>
      </c>
      <c r="F4" t="inlineStr">
        <is>
          <t>10000151</t>
        </is>
      </c>
      <c r="H4" t="inlineStr"/>
      <c r="J4" t="n">
        <v>47.06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900000130DW82D15210000413</t>
        </is>
      </c>
      <c r="B5" t="inlineStr">
        <is>
          <t>900000130</t>
        </is>
      </c>
      <c r="C5" t="inlineStr">
        <is>
          <t>DW82</t>
        </is>
      </c>
      <c r="D5" t="inlineStr">
        <is>
          <t>D152</t>
        </is>
      </c>
      <c r="E5" t="inlineStr">
        <is>
          <t>1</t>
        </is>
      </c>
      <c r="F5" t="inlineStr">
        <is>
          <t>10000413</t>
        </is>
      </c>
      <c r="H5" t="inlineStr"/>
      <c r="J5" t="n">
        <v>47.06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900000130DW82D15210000437</t>
        </is>
      </c>
      <c r="B6" t="inlineStr">
        <is>
          <t>900000130</t>
        </is>
      </c>
      <c r="C6" t="inlineStr">
        <is>
          <t>DW82</t>
        </is>
      </c>
      <c r="D6" t="inlineStr">
        <is>
          <t>D152</t>
        </is>
      </c>
      <c r="E6" t="inlineStr">
        <is>
          <t>1</t>
        </is>
      </c>
      <c r="F6" t="inlineStr">
        <is>
          <t>10000437</t>
        </is>
      </c>
      <c r="H6" t="inlineStr"/>
      <c r="J6" t="n">
        <v>47.06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900005839DW82D15210000137</t>
        </is>
      </c>
      <c r="B7" t="inlineStr">
        <is>
          <t>900005839</t>
        </is>
      </c>
      <c r="C7" t="inlineStr">
        <is>
          <t>DW82</t>
        </is>
      </c>
      <c r="D7" t="inlineStr">
        <is>
          <t>D152</t>
        </is>
      </c>
      <c r="E7" t="inlineStr">
        <is>
          <t>4</t>
        </is>
      </c>
      <c r="F7" t="inlineStr">
        <is>
          <t>10000137</t>
        </is>
      </c>
      <c r="H7" t="inlineStr"/>
      <c r="J7" t="n">
        <v>60</v>
      </c>
      <c r="K7" t="inlineStr"/>
      <c r="M7" t="inlineStr">
        <is>
          <t>TN</t>
        </is>
      </c>
      <c r="N7" t="inlineStr"/>
      <c r="P7" t="inlineStr">
        <is>
          <t>20230629</t>
        </is>
      </c>
      <c r="Q7" t="inlineStr">
        <is>
          <t>20240517</t>
        </is>
      </c>
    </row>
    <row r="8">
      <c r="A8" t="inlineStr">
        <is>
          <t>900005839DW82D15210000151</t>
        </is>
      </c>
      <c r="B8" t="inlineStr">
        <is>
          <t>900005839</t>
        </is>
      </c>
      <c r="C8" t="inlineStr">
        <is>
          <t>DW82</t>
        </is>
      </c>
      <c r="D8" t="inlineStr">
        <is>
          <t>D152</t>
        </is>
      </c>
      <c r="E8" t="inlineStr">
        <is>
          <t>4</t>
        </is>
      </c>
      <c r="F8" t="inlineStr">
        <is>
          <t>10000151</t>
        </is>
      </c>
      <c r="H8" t="inlineStr"/>
      <c r="J8" t="n">
        <v>60</v>
      </c>
      <c r="K8" t="inlineStr"/>
      <c r="M8" t="inlineStr">
        <is>
          <t>TN</t>
        </is>
      </c>
      <c r="N8" t="inlineStr"/>
      <c r="P8" t="inlineStr">
        <is>
          <t>20230629</t>
        </is>
      </c>
      <c r="Q8" t="inlineStr">
        <is>
          <t>20240517</t>
        </is>
      </c>
    </row>
    <row r="9">
      <c r="A9" t="inlineStr">
        <is>
          <t>900005839DW82D15210000413</t>
        </is>
      </c>
      <c r="B9" t="inlineStr">
        <is>
          <t>900005839</t>
        </is>
      </c>
      <c r="C9" t="inlineStr">
        <is>
          <t>DW82</t>
        </is>
      </c>
      <c r="D9" t="inlineStr">
        <is>
          <t>D152</t>
        </is>
      </c>
      <c r="E9" t="inlineStr">
        <is>
          <t>4</t>
        </is>
      </c>
      <c r="F9" t="inlineStr">
        <is>
          <t>10000413</t>
        </is>
      </c>
      <c r="H9" t="inlineStr"/>
      <c r="J9" t="n">
        <v>60</v>
      </c>
      <c r="K9" t="inlineStr"/>
      <c r="M9" t="inlineStr">
        <is>
          <t>TN</t>
        </is>
      </c>
      <c r="N9" t="inlineStr"/>
      <c r="P9" t="inlineStr">
        <is>
          <t>20230629</t>
        </is>
      </c>
      <c r="Q9" t="inlineStr">
        <is>
          <t>20240517</t>
        </is>
      </c>
    </row>
    <row r="10">
      <c r="A10" t="inlineStr">
        <is>
          <t>900005839DW82D15210000437</t>
        </is>
      </c>
      <c r="B10" t="inlineStr">
        <is>
          <t>900005839</t>
        </is>
      </c>
      <c r="C10" t="inlineStr">
        <is>
          <t>DW82</t>
        </is>
      </c>
      <c r="D10" t="inlineStr">
        <is>
          <t>D152</t>
        </is>
      </c>
      <c r="E10" t="inlineStr">
        <is>
          <t>4</t>
        </is>
      </c>
      <c r="F10" t="inlineStr">
        <is>
          <t>10000437</t>
        </is>
      </c>
      <c r="H10" t="inlineStr"/>
      <c r="J10" t="n">
        <v>60</v>
      </c>
      <c r="K10" t="inlineStr"/>
      <c r="M10" t="inlineStr">
        <is>
          <t>TN</t>
        </is>
      </c>
      <c r="N10" t="inlineStr"/>
      <c r="P10" t="inlineStr">
        <is>
          <t>20230629</t>
        </is>
      </c>
      <c r="Q10" t="inlineStr">
        <is>
          <t>20240517</t>
        </is>
      </c>
    </row>
    <row r="11">
      <c r="A11" t="inlineStr">
        <is>
          <t>900005956DW82D15210164161</t>
        </is>
      </c>
      <c r="B11" t="inlineStr">
        <is>
          <t>900005956</t>
        </is>
      </c>
      <c r="C11" t="inlineStr">
        <is>
          <t>DW82</t>
        </is>
      </c>
      <c r="D11" t="inlineStr">
        <is>
          <t>D152</t>
        </is>
      </c>
      <c r="E11" t="inlineStr">
        <is>
          <t>4</t>
        </is>
      </c>
      <c r="F11" t="inlineStr">
        <is>
          <t>10164161</t>
        </is>
      </c>
      <c r="H11" t="inlineStr"/>
      <c r="J11" t="n">
        <v>46</v>
      </c>
      <c r="K11" t="inlineStr"/>
      <c r="M11" t="inlineStr">
        <is>
          <t>TN</t>
        </is>
      </c>
      <c r="N11" t="inlineStr"/>
      <c r="P11" t="inlineStr">
        <is>
          <t>20240429</t>
        </is>
      </c>
      <c r="Q11" t="inlineStr">
        <is>
          <t>99991231</t>
        </is>
      </c>
    </row>
    <row r="12">
      <c r="A12" t="inlineStr">
        <is>
          <t>900006080DW82D15210164161</t>
        </is>
      </c>
      <c r="B12" t="inlineStr">
        <is>
          <t>900006080</t>
        </is>
      </c>
      <c r="C12" t="inlineStr">
        <is>
          <t>DW82</t>
        </is>
      </c>
      <c r="D12" t="inlineStr">
        <is>
          <t>D152</t>
        </is>
      </c>
      <c r="E12" t="inlineStr">
        <is>
          <t>4</t>
        </is>
      </c>
      <c r="F12" t="inlineStr">
        <is>
          <t>10164161</t>
        </is>
      </c>
      <c r="H12" t="inlineStr"/>
      <c r="J12" t="n">
        <v>14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900006104DW82D15210000137</t>
        </is>
      </c>
      <c r="B13" t="inlineStr">
        <is>
          <t>900006104</t>
        </is>
      </c>
      <c r="C13" t="inlineStr">
        <is>
          <t>DW82</t>
        </is>
      </c>
      <c r="D13" t="inlineStr">
        <is>
          <t>D152</t>
        </is>
      </c>
      <c r="E13" t="inlineStr">
        <is>
          <t>1</t>
        </is>
      </c>
      <c r="F13" t="inlineStr">
        <is>
          <t>10000137</t>
        </is>
      </c>
      <c r="H13" t="inlineStr"/>
      <c r="J13" t="n">
        <v>30.25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900006104DW82D15210000151</t>
        </is>
      </c>
      <c r="B14" t="inlineStr">
        <is>
          <t>900006104</t>
        </is>
      </c>
      <c r="C14" t="inlineStr">
        <is>
          <t>DW82</t>
        </is>
      </c>
      <c r="D14" t="inlineStr">
        <is>
          <t>D152</t>
        </is>
      </c>
      <c r="E14" t="inlineStr">
        <is>
          <t>1</t>
        </is>
      </c>
      <c r="F14" t="inlineStr">
        <is>
          <t>10000151</t>
        </is>
      </c>
      <c r="H14" t="inlineStr"/>
      <c r="J14" t="n">
        <v>32.1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900006104DW82D15210000413</t>
        </is>
      </c>
      <c r="B15" t="inlineStr">
        <is>
          <t>900006104</t>
        </is>
      </c>
      <c r="C15" t="inlineStr">
        <is>
          <t>DW82</t>
        </is>
      </c>
      <c r="D15" t="inlineStr">
        <is>
          <t>D152</t>
        </is>
      </c>
      <c r="E15" t="inlineStr">
        <is>
          <t>1</t>
        </is>
      </c>
      <c r="F15" t="inlineStr">
        <is>
          <t>10000413</t>
        </is>
      </c>
      <c r="H15" t="inlineStr"/>
      <c r="J15" t="n">
        <v>30.25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900006104DW82D15210000437</t>
        </is>
      </c>
      <c r="B16" t="inlineStr">
        <is>
          <t>900006104</t>
        </is>
      </c>
      <c r="C16" t="inlineStr">
        <is>
          <t>DW82</t>
        </is>
      </c>
      <c r="D16" t="inlineStr">
        <is>
          <t>D152</t>
        </is>
      </c>
      <c r="E16" t="inlineStr">
        <is>
          <t>1</t>
        </is>
      </c>
      <c r="F16" t="inlineStr">
        <is>
          <t>10000437</t>
        </is>
      </c>
      <c r="H16" t="inlineStr"/>
      <c r="J16" t="n">
        <v>30.25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900006251DW82D15210000137</t>
        </is>
      </c>
      <c r="B17" t="inlineStr">
        <is>
          <t>900006251</t>
        </is>
      </c>
      <c r="C17" t="inlineStr">
        <is>
          <t>DW82</t>
        </is>
      </c>
      <c r="D17" t="inlineStr">
        <is>
          <t>D152</t>
        </is>
      </c>
      <c r="E17" t="inlineStr">
        <is>
          <t>4</t>
        </is>
      </c>
      <c r="F17" t="inlineStr">
        <is>
          <t>10000137</t>
        </is>
      </c>
      <c r="H17" t="inlineStr"/>
      <c r="J17" t="n">
        <v>26.75</v>
      </c>
      <c r="K17" t="inlineStr"/>
      <c r="M17" t="inlineStr">
        <is>
          <t>TN</t>
        </is>
      </c>
      <c r="N17" t="inlineStr"/>
      <c r="P17" t="inlineStr">
        <is>
          <t>20210801</t>
        </is>
      </c>
      <c r="Q17" t="inlineStr">
        <is>
          <t>20250615</t>
        </is>
      </c>
    </row>
    <row r="18">
      <c r="A18" t="inlineStr">
        <is>
          <t>900006251DW82D15210000151</t>
        </is>
      </c>
      <c r="B18" t="inlineStr">
        <is>
          <t>900006251</t>
        </is>
      </c>
      <c r="C18" t="inlineStr">
        <is>
          <t>DW82</t>
        </is>
      </c>
      <c r="D18" t="inlineStr">
        <is>
          <t>D152</t>
        </is>
      </c>
      <c r="E18" t="inlineStr">
        <is>
          <t>4</t>
        </is>
      </c>
      <c r="F18" t="inlineStr">
        <is>
          <t>10000151</t>
        </is>
      </c>
      <c r="H18" t="inlineStr"/>
      <c r="J18" t="n">
        <v>26.75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900006251DW82D15210000413</t>
        </is>
      </c>
      <c r="B19" t="inlineStr">
        <is>
          <t>900006251</t>
        </is>
      </c>
      <c r="C19" t="inlineStr">
        <is>
          <t>DW82</t>
        </is>
      </c>
      <c r="D19" t="inlineStr">
        <is>
          <t>D152</t>
        </is>
      </c>
      <c r="E19" t="inlineStr">
        <is>
          <t>4</t>
        </is>
      </c>
      <c r="F19" t="inlineStr">
        <is>
          <t>10000413</t>
        </is>
      </c>
      <c r="H19" t="inlineStr"/>
      <c r="J19" t="n">
        <v>26.75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900006251DW82D15210000437</t>
        </is>
      </c>
      <c r="B20" t="inlineStr">
        <is>
          <t>900006251</t>
        </is>
      </c>
      <c r="C20" t="inlineStr">
        <is>
          <t>DW82</t>
        </is>
      </c>
      <c r="D20" t="inlineStr">
        <is>
          <t>D152</t>
        </is>
      </c>
      <c r="E20" t="inlineStr">
        <is>
          <t>4</t>
        </is>
      </c>
      <c r="F20" t="inlineStr">
        <is>
          <t>10000437</t>
        </is>
      </c>
      <c r="H20" t="inlineStr"/>
      <c r="J20" t="n">
        <v>26.75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900007460DW82D17310164161</t>
        </is>
      </c>
      <c r="B21" t="inlineStr">
        <is>
          <t>900007460</t>
        </is>
      </c>
      <c r="C21" t="inlineStr">
        <is>
          <t>DW82</t>
        </is>
      </c>
      <c r="D21" t="inlineStr">
        <is>
          <t>D173</t>
        </is>
      </c>
      <c r="E21" t="inlineStr">
        <is>
          <t>1</t>
        </is>
      </c>
      <c r="F21" t="inlineStr">
        <is>
          <t>10164161</t>
        </is>
      </c>
      <c r="H21" t="inlineStr"/>
      <c r="J21" t="n">
        <v>384.37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900008629DW82D15210000137</t>
        </is>
      </c>
      <c r="B22" t="inlineStr">
        <is>
          <t>900008629</t>
        </is>
      </c>
      <c r="C22" t="inlineStr">
        <is>
          <t>DW82</t>
        </is>
      </c>
      <c r="D22" t="inlineStr">
        <is>
          <t>D152</t>
        </is>
      </c>
      <c r="E22" t="inlineStr">
        <is>
          <t>4</t>
        </is>
      </c>
      <c r="F22" t="inlineStr">
        <is>
          <t>10000137</t>
        </is>
      </c>
      <c r="H22" t="inlineStr"/>
      <c r="J22" t="n">
        <v>46.2</v>
      </c>
      <c r="K22" t="inlineStr"/>
      <c r="M22" t="inlineStr">
        <is>
          <t>TN</t>
        </is>
      </c>
      <c r="N22" t="inlineStr"/>
      <c r="P22" t="inlineStr">
        <is>
          <t>20250106</t>
        </is>
      </c>
      <c r="Q22" t="inlineStr">
        <is>
          <t>99991231</t>
        </is>
      </c>
    </row>
    <row r="23">
      <c r="A23" t="inlineStr">
        <is>
          <t>900008629DW82D15210000151</t>
        </is>
      </c>
      <c r="B23" t="inlineStr">
        <is>
          <t>900008629</t>
        </is>
      </c>
      <c r="C23" t="inlineStr">
        <is>
          <t>DW82</t>
        </is>
      </c>
      <c r="D23" t="inlineStr">
        <is>
          <t>D152</t>
        </is>
      </c>
      <c r="E23" t="inlineStr">
        <is>
          <t>4</t>
        </is>
      </c>
      <c r="F23" t="inlineStr">
        <is>
          <t>10000151</t>
        </is>
      </c>
      <c r="H23" t="inlineStr"/>
      <c r="J23" t="n">
        <v>46.2</v>
      </c>
      <c r="K23" t="inlineStr"/>
      <c r="M23" t="inlineStr">
        <is>
          <t>TN</t>
        </is>
      </c>
      <c r="N23" t="inlineStr"/>
      <c r="P23" t="inlineStr">
        <is>
          <t>20250106</t>
        </is>
      </c>
      <c r="Q23" t="inlineStr">
        <is>
          <t>99991231</t>
        </is>
      </c>
    </row>
    <row r="24">
      <c r="A24" t="inlineStr">
        <is>
          <t>900008629DW82D15210000413</t>
        </is>
      </c>
      <c r="B24" t="inlineStr">
        <is>
          <t>900008629</t>
        </is>
      </c>
      <c r="C24" t="inlineStr">
        <is>
          <t>DW82</t>
        </is>
      </c>
      <c r="D24" t="inlineStr">
        <is>
          <t>D152</t>
        </is>
      </c>
      <c r="E24" t="inlineStr">
        <is>
          <t>4</t>
        </is>
      </c>
      <c r="F24" t="inlineStr">
        <is>
          <t>10000413</t>
        </is>
      </c>
      <c r="H24" t="inlineStr"/>
      <c r="J24" t="n">
        <v>46.2</v>
      </c>
      <c r="K24" t="inlineStr"/>
      <c r="M24" t="inlineStr">
        <is>
          <t>TN</t>
        </is>
      </c>
      <c r="N24" t="inlineStr"/>
      <c r="P24" t="inlineStr">
        <is>
          <t>20250106</t>
        </is>
      </c>
      <c r="Q24" t="inlineStr">
        <is>
          <t>99991231</t>
        </is>
      </c>
    </row>
    <row r="25">
      <c r="A25" t="inlineStr">
        <is>
          <t>900008629DW82D15210000437</t>
        </is>
      </c>
      <c r="B25" t="inlineStr">
        <is>
          <t>900008629</t>
        </is>
      </c>
      <c r="C25" t="inlineStr">
        <is>
          <t>DW82</t>
        </is>
      </c>
      <c r="D25" t="inlineStr">
        <is>
          <t>D152</t>
        </is>
      </c>
      <c r="E25" t="inlineStr">
        <is>
          <t>4</t>
        </is>
      </c>
      <c r="F25" t="inlineStr">
        <is>
          <t>10000437</t>
        </is>
      </c>
      <c r="H25" t="inlineStr"/>
      <c r="J25" t="n">
        <v>46.2</v>
      </c>
      <c r="K25" t="inlineStr"/>
      <c r="M25" t="inlineStr">
        <is>
          <t>TN</t>
        </is>
      </c>
      <c r="N25" t="inlineStr"/>
      <c r="P25" t="inlineStr">
        <is>
          <t>20250106</t>
        </is>
      </c>
      <c r="Q25" t="inlineStr">
        <is>
          <t>99991231</t>
        </is>
      </c>
    </row>
    <row r="26">
      <c r="A26" t="inlineStr">
        <is>
          <t>900008685DW82D15210000137</t>
        </is>
      </c>
      <c r="B26" t="inlineStr">
        <is>
          <t>900008685</t>
        </is>
      </c>
      <c r="C26" t="inlineStr">
        <is>
          <t>DW82</t>
        </is>
      </c>
      <c r="D26" t="inlineStr">
        <is>
          <t>D152</t>
        </is>
      </c>
      <c r="E26" t="inlineStr">
        <is>
          <t>1</t>
        </is>
      </c>
      <c r="F26" t="inlineStr">
        <is>
          <t>10000137</t>
        </is>
      </c>
      <c r="H26" t="inlineStr"/>
      <c r="J26" t="n">
        <v>47.06</v>
      </c>
      <c r="K26" t="inlineStr"/>
      <c r="M26" t="inlineStr">
        <is>
          <t>TN</t>
        </is>
      </c>
      <c r="N26" t="inlineStr"/>
      <c r="P26" t="inlineStr">
        <is>
          <t>20240823</t>
        </is>
      </c>
      <c r="Q26" t="inlineStr">
        <is>
          <t>99991231</t>
        </is>
      </c>
    </row>
    <row r="27">
      <c r="A27" t="inlineStr">
        <is>
          <t>900008685DW82D15210000151</t>
        </is>
      </c>
      <c r="B27" t="inlineStr">
        <is>
          <t>900008685</t>
        </is>
      </c>
      <c r="C27" t="inlineStr">
        <is>
          <t>DW82</t>
        </is>
      </c>
      <c r="D27" t="inlineStr">
        <is>
          <t>D152</t>
        </is>
      </c>
      <c r="E27" t="inlineStr">
        <is>
          <t>1</t>
        </is>
      </c>
      <c r="F27" t="inlineStr">
        <is>
          <t>10000151</t>
        </is>
      </c>
      <c r="H27" t="inlineStr"/>
      <c r="J27" t="n">
        <v>47.06</v>
      </c>
      <c r="K27" t="inlineStr"/>
      <c r="M27" t="inlineStr">
        <is>
          <t>TN</t>
        </is>
      </c>
      <c r="N27" t="inlineStr"/>
      <c r="P27" t="inlineStr">
        <is>
          <t>20240823</t>
        </is>
      </c>
      <c r="Q27" t="inlineStr">
        <is>
          <t>99991231</t>
        </is>
      </c>
    </row>
    <row r="28">
      <c r="A28" t="inlineStr">
        <is>
          <t>900008685DW82D15210000413</t>
        </is>
      </c>
      <c r="B28" t="inlineStr">
        <is>
          <t>900008685</t>
        </is>
      </c>
      <c r="C28" t="inlineStr">
        <is>
          <t>DW82</t>
        </is>
      </c>
      <c r="D28" t="inlineStr">
        <is>
          <t>D152</t>
        </is>
      </c>
      <c r="E28" t="inlineStr">
        <is>
          <t>1</t>
        </is>
      </c>
      <c r="F28" t="inlineStr">
        <is>
          <t>10000413</t>
        </is>
      </c>
      <c r="H28" t="inlineStr"/>
      <c r="J28" t="n">
        <v>47.06</v>
      </c>
      <c r="K28" t="inlineStr"/>
      <c r="M28" t="inlineStr">
        <is>
          <t>TN</t>
        </is>
      </c>
      <c r="N28" t="inlineStr"/>
      <c r="P28" t="inlineStr">
        <is>
          <t>20240823</t>
        </is>
      </c>
      <c r="Q28" t="inlineStr">
        <is>
          <t>99991231</t>
        </is>
      </c>
    </row>
    <row r="29">
      <c r="A29" t="inlineStr">
        <is>
          <t>900008685DW82D15210000437</t>
        </is>
      </c>
      <c r="B29" t="inlineStr">
        <is>
          <t>900008685</t>
        </is>
      </c>
      <c r="C29" t="inlineStr">
        <is>
          <t>DW82</t>
        </is>
      </c>
      <c r="D29" t="inlineStr">
        <is>
          <t>D152</t>
        </is>
      </c>
      <c r="E29" t="inlineStr">
        <is>
          <t>1</t>
        </is>
      </c>
      <c r="F29" t="inlineStr">
        <is>
          <t>10000437</t>
        </is>
      </c>
      <c r="H29" t="inlineStr"/>
      <c r="J29" t="n">
        <v>47.06</v>
      </c>
      <c r="K29" t="inlineStr"/>
      <c r="M29" t="inlineStr">
        <is>
          <t>TN</t>
        </is>
      </c>
      <c r="N29" t="inlineStr"/>
      <c r="P29" t="inlineStr">
        <is>
          <t>20240823</t>
        </is>
      </c>
      <c r="Q29" t="inlineStr">
        <is>
          <t>99991231</t>
        </is>
      </c>
    </row>
    <row r="30">
      <c r="A30" t="inlineStr">
        <is>
          <t>900008815DW82D15210000137</t>
        </is>
      </c>
      <c r="B30" t="inlineStr">
        <is>
          <t>900008815</t>
        </is>
      </c>
      <c r="C30" t="inlineStr">
        <is>
          <t>DW82</t>
        </is>
      </c>
      <c r="D30" t="inlineStr">
        <is>
          <t>D152</t>
        </is>
      </c>
      <c r="E30" t="inlineStr">
        <is>
          <t>1</t>
        </is>
      </c>
      <c r="F30" t="inlineStr">
        <is>
          <t>10000137</t>
        </is>
      </c>
      <c r="H30" t="inlineStr"/>
      <c r="J30" t="n">
        <v>47.06</v>
      </c>
      <c r="K30" t="inlineStr"/>
      <c r="M30" t="inlineStr">
        <is>
          <t>TN</t>
        </is>
      </c>
      <c r="N30" t="inlineStr"/>
      <c r="P30" t="inlineStr">
        <is>
          <t>20250210</t>
        </is>
      </c>
      <c r="Q30" t="inlineStr">
        <is>
          <t>99991231</t>
        </is>
      </c>
    </row>
    <row r="31">
      <c r="A31" t="inlineStr">
        <is>
          <t>900008815DW82D15210000151</t>
        </is>
      </c>
      <c r="B31" t="inlineStr">
        <is>
          <t>900008815</t>
        </is>
      </c>
      <c r="C31" t="inlineStr">
        <is>
          <t>DW82</t>
        </is>
      </c>
      <c r="D31" t="inlineStr">
        <is>
          <t>D152</t>
        </is>
      </c>
      <c r="E31" t="inlineStr">
        <is>
          <t>1</t>
        </is>
      </c>
      <c r="F31" t="inlineStr">
        <is>
          <t>10000151</t>
        </is>
      </c>
      <c r="H31" t="inlineStr"/>
      <c r="J31" t="n">
        <v>47.06</v>
      </c>
      <c r="K31" t="inlineStr"/>
      <c r="M31" t="inlineStr">
        <is>
          <t>TN</t>
        </is>
      </c>
      <c r="N31" t="inlineStr"/>
      <c r="P31" t="inlineStr">
        <is>
          <t>20250210</t>
        </is>
      </c>
      <c r="Q31" t="inlineStr">
        <is>
          <t>99991231</t>
        </is>
      </c>
    </row>
    <row r="32">
      <c r="A32" t="inlineStr">
        <is>
          <t>900008815DW82D15210000413</t>
        </is>
      </c>
      <c r="B32" t="inlineStr">
        <is>
          <t>900008815</t>
        </is>
      </c>
      <c r="C32" t="inlineStr">
        <is>
          <t>DW82</t>
        </is>
      </c>
      <c r="D32" t="inlineStr">
        <is>
          <t>D152</t>
        </is>
      </c>
      <c r="E32" t="inlineStr">
        <is>
          <t>1</t>
        </is>
      </c>
      <c r="F32" t="inlineStr">
        <is>
          <t>10000413</t>
        </is>
      </c>
      <c r="H32" t="inlineStr"/>
      <c r="J32" t="n">
        <v>47.06</v>
      </c>
      <c r="K32" t="inlineStr"/>
      <c r="M32" t="inlineStr">
        <is>
          <t>TN</t>
        </is>
      </c>
      <c r="N32" t="inlineStr"/>
      <c r="P32" t="inlineStr">
        <is>
          <t>20250210</t>
        </is>
      </c>
      <c r="Q32" t="inlineStr">
        <is>
          <t>99991231</t>
        </is>
      </c>
    </row>
    <row r="33">
      <c r="A33" t="inlineStr">
        <is>
          <t>900008815DW82D15210000437</t>
        </is>
      </c>
      <c r="B33" t="inlineStr">
        <is>
          <t>900008815</t>
        </is>
      </c>
      <c r="C33" t="inlineStr">
        <is>
          <t>DW82</t>
        </is>
      </c>
      <c r="D33" t="inlineStr">
        <is>
          <t>D152</t>
        </is>
      </c>
      <c r="E33" t="inlineStr">
        <is>
          <t>1</t>
        </is>
      </c>
      <c r="F33" t="inlineStr">
        <is>
          <t>10000437</t>
        </is>
      </c>
      <c r="H33" t="inlineStr"/>
      <c r="J33" t="n">
        <v>47.06</v>
      </c>
      <c r="K33" t="inlineStr"/>
      <c r="M33" t="inlineStr">
        <is>
          <t>TN</t>
        </is>
      </c>
      <c r="N33" t="inlineStr"/>
      <c r="P33" t="inlineStr">
        <is>
          <t>20250210</t>
        </is>
      </c>
      <c r="Q33" t="inlineStr">
        <is>
          <t>99991231</t>
        </is>
      </c>
    </row>
    <row r="34">
      <c r="A34" t="inlineStr">
        <is>
          <t>900008815DW82D15210164161</t>
        </is>
      </c>
      <c r="B34" t="inlineStr">
        <is>
          <t>900008815</t>
        </is>
      </c>
      <c r="C34" t="inlineStr">
        <is>
          <t>DW82</t>
        </is>
      </c>
      <c r="D34" t="inlineStr">
        <is>
          <t>D152</t>
        </is>
      </c>
      <c r="E34" t="inlineStr">
        <is>
          <t>1</t>
        </is>
      </c>
      <c r="F34" t="inlineStr">
        <is>
          <t>10164161</t>
        </is>
      </c>
      <c r="H34" t="inlineStr"/>
      <c r="J34" t="n">
        <v>47.06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900008815DW82D15210179731</t>
        </is>
      </c>
      <c r="B35" t="inlineStr">
        <is>
          <t>900008815</t>
        </is>
      </c>
      <c r="C35" t="inlineStr">
        <is>
          <t>DW82</t>
        </is>
      </c>
      <c r="D35" t="inlineStr">
        <is>
          <t>D152</t>
        </is>
      </c>
      <c r="E35" t="inlineStr">
        <is>
          <t>1</t>
        </is>
      </c>
      <c r="F35" t="inlineStr">
        <is>
          <t>10179731</t>
        </is>
      </c>
      <c r="H35" t="inlineStr"/>
      <c r="J35" t="n">
        <v>47.06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900008816DW82D15210000137</t>
        </is>
      </c>
      <c r="B36" t="inlineStr">
        <is>
          <t>900008816</t>
        </is>
      </c>
      <c r="C36" t="inlineStr">
        <is>
          <t>DW82</t>
        </is>
      </c>
      <c r="D36" t="inlineStr">
        <is>
          <t>D152</t>
        </is>
      </c>
      <c r="E36" t="inlineStr">
        <is>
          <t>4</t>
        </is>
      </c>
      <c r="F36" t="inlineStr">
        <is>
          <t>10000137</t>
        </is>
      </c>
      <c r="H36" t="inlineStr"/>
      <c r="J36" t="n">
        <v>33.48</v>
      </c>
      <c r="K36" t="inlineStr"/>
      <c r="M36" t="inlineStr">
        <is>
          <t>TN</t>
        </is>
      </c>
      <c r="N36" t="inlineStr"/>
      <c r="P36" t="inlineStr">
        <is>
          <t>20250210</t>
        </is>
      </c>
      <c r="Q36" t="inlineStr">
        <is>
          <t>99991231</t>
        </is>
      </c>
    </row>
    <row r="37">
      <c r="A37" t="inlineStr">
        <is>
          <t>900008816DW82D15210000151</t>
        </is>
      </c>
      <c r="B37" t="inlineStr">
        <is>
          <t>900008816</t>
        </is>
      </c>
      <c r="C37" t="inlineStr">
        <is>
          <t>DW82</t>
        </is>
      </c>
      <c r="D37" t="inlineStr">
        <is>
          <t>D152</t>
        </is>
      </c>
      <c r="E37" t="inlineStr">
        <is>
          <t>4</t>
        </is>
      </c>
      <c r="F37" t="inlineStr">
        <is>
          <t>10000151</t>
        </is>
      </c>
      <c r="H37" t="inlineStr"/>
      <c r="J37" t="n">
        <v>40.46</v>
      </c>
      <c r="K37" t="inlineStr"/>
      <c r="M37" t="inlineStr">
        <is>
          <t>TN</t>
        </is>
      </c>
      <c r="N37" t="inlineStr"/>
      <c r="P37" t="inlineStr">
        <is>
          <t>20250210</t>
        </is>
      </c>
      <c r="Q37" t="inlineStr">
        <is>
          <t>99991231</t>
        </is>
      </c>
    </row>
    <row r="38">
      <c r="A38" t="inlineStr">
        <is>
          <t>900008816DW82D15210000413</t>
        </is>
      </c>
      <c r="B38" t="inlineStr">
        <is>
          <t>900008816</t>
        </is>
      </c>
      <c r="C38" t="inlineStr">
        <is>
          <t>DW82</t>
        </is>
      </c>
      <c r="D38" t="inlineStr">
        <is>
          <t>D152</t>
        </is>
      </c>
      <c r="E38" t="inlineStr">
        <is>
          <t>4</t>
        </is>
      </c>
      <c r="F38" t="inlineStr">
        <is>
          <t>10000413</t>
        </is>
      </c>
      <c r="H38" t="inlineStr"/>
      <c r="J38" t="n">
        <v>37.8</v>
      </c>
      <c r="K38" t="inlineStr"/>
      <c r="M38" t="inlineStr">
        <is>
          <t>TN</t>
        </is>
      </c>
      <c r="N38" t="inlineStr"/>
      <c r="P38" t="inlineStr">
        <is>
          <t>20250210</t>
        </is>
      </c>
      <c r="Q38" t="inlineStr">
        <is>
          <t>99991231</t>
        </is>
      </c>
    </row>
    <row r="39">
      <c r="A39" t="inlineStr">
        <is>
          <t>900008816DW82D15210000437</t>
        </is>
      </c>
      <c r="B39" t="inlineStr">
        <is>
          <t>900008816</t>
        </is>
      </c>
      <c r="C39" t="inlineStr">
        <is>
          <t>DW82</t>
        </is>
      </c>
      <c r="D39" t="inlineStr">
        <is>
          <t>D152</t>
        </is>
      </c>
      <c r="E39" t="inlineStr">
        <is>
          <t>4</t>
        </is>
      </c>
      <c r="F39" t="inlineStr">
        <is>
          <t>10000437</t>
        </is>
      </c>
      <c r="H39" t="inlineStr"/>
      <c r="J39" t="n">
        <v>38.88</v>
      </c>
      <c r="K39" t="inlineStr"/>
      <c r="M39" t="inlineStr">
        <is>
          <t>TN</t>
        </is>
      </c>
      <c r="N39" t="inlineStr"/>
      <c r="P39" t="inlineStr">
        <is>
          <t>20250210</t>
        </is>
      </c>
      <c r="Q39" t="inlineStr">
        <is>
          <t>99991231</t>
        </is>
      </c>
    </row>
    <row r="40">
      <c r="A40" t="inlineStr">
        <is>
          <t>900008816DW82D15210164161</t>
        </is>
      </c>
      <c r="B40" t="inlineStr">
        <is>
          <t>900008816</t>
        </is>
      </c>
      <c r="C40" t="inlineStr">
        <is>
          <t>DW82</t>
        </is>
      </c>
      <c r="D40" t="inlineStr">
        <is>
          <t>D152</t>
        </is>
      </c>
      <c r="E40" t="inlineStr">
        <is>
          <t>4</t>
        </is>
      </c>
      <c r="F40" t="inlineStr">
        <is>
          <t>10164161</t>
        </is>
      </c>
      <c r="H40" t="inlineStr"/>
      <c r="J40" t="n">
        <v>35.93</v>
      </c>
      <c r="K40" t="inlineStr"/>
      <c r="M40" t="inlineStr">
        <is>
          <t>TN</t>
        </is>
      </c>
      <c r="N40" t="inlineStr"/>
      <c r="P40" t="inlineStr">
        <is>
          <t>20210801</t>
        </is>
      </c>
      <c r="Q40" t="inlineStr">
        <is>
          <t>20250615</t>
        </is>
      </c>
    </row>
    <row r="41">
      <c r="A41" t="inlineStr">
        <is>
          <t>900008816DW82D15210179731</t>
        </is>
      </c>
      <c r="B41" t="inlineStr">
        <is>
          <t>900008816</t>
        </is>
      </c>
      <c r="C41" t="inlineStr">
        <is>
          <t>DW82</t>
        </is>
      </c>
      <c r="D41" t="inlineStr">
        <is>
          <t>D152</t>
        </is>
      </c>
      <c r="E41" t="inlineStr">
        <is>
          <t>4</t>
        </is>
      </c>
      <c r="F41" t="inlineStr">
        <is>
          <t>10179731</t>
        </is>
      </c>
      <c r="H41" t="inlineStr"/>
      <c r="J41" t="n">
        <v>29.96</v>
      </c>
      <c r="K41" t="inlineStr"/>
      <c r="M41" t="inlineStr">
        <is>
          <t>TN</t>
        </is>
      </c>
      <c r="N41" t="inlineStr"/>
      <c r="P41" t="inlineStr">
        <is>
          <t>20210801</t>
        </is>
      </c>
      <c r="Q41" t="inlineStr">
        <is>
          <t>20250615</t>
        </is>
      </c>
    </row>
    <row r="42">
      <c r="A42" t="inlineStr">
        <is>
          <t>900008991DW82D15210000137</t>
        </is>
      </c>
      <c r="B42" t="inlineStr">
        <is>
          <t>900008991</t>
        </is>
      </c>
      <c r="C42" t="inlineStr">
        <is>
          <t>DW82</t>
        </is>
      </c>
      <c r="D42" t="inlineStr">
        <is>
          <t>D152</t>
        </is>
      </c>
      <c r="E42" t="inlineStr">
        <is>
          <t>4</t>
        </is>
      </c>
      <c r="F42" t="inlineStr">
        <is>
          <t>10000137</t>
        </is>
      </c>
      <c r="H42" t="inlineStr"/>
      <c r="J42" t="n">
        <v>205.88</v>
      </c>
      <c r="K42" t="inlineStr"/>
      <c r="M42" t="inlineStr">
        <is>
          <t>TN</t>
        </is>
      </c>
      <c r="N42" t="inlineStr"/>
      <c r="P42" t="inlineStr">
        <is>
          <t>20210801</t>
        </is>
      </c>
      <c r="Q42" t="inlineStr">
        <is>
          <t>20250615</t>
        </is>
      </c>
    </row>
    <row r="43">
      <c r="A43" t="inlineStr">
        <is>
          <t>900008991DW82D15210000437</t>
        </is>
      </c>
      <c r="B43" t="inlineStr">
        <is>
          <t>900008991</t>
        </is>
      </c>
      <c r="C43" t="inlineStr">
        <is>
          <t>DW82</t>
        </is>
      </c>
      <c r="D43" t="inlineStr">
        <is>
          <t>D152</t>
        </is>
      </c>
      <c r="E43" t="inlineStr">
        <is>
          <t>4</t>
        </is>
      </c>
      <c r="F43" t="inlineStr">
        <is>
          <t>10000437</t>
        </is>
      </c>
      <c r="H43" t="inlineStr"/>
      <c r="J43" t="n">
        <v>218.75</v>
      </c>
      <c r="K43" t="inlineStr"/>
      <c r="M43" t="inlineStr">
        <is>
          <t>TN</t>
        </is>
      </c>
      <c r="N43" t="inlineStr"/>
      <c r="P43" t="inlineStr">
        <is>
          <t>20210801</t>
        </is>
      </c>
      <c r="Q43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900008815DW8210164161</t>
        </is>
      </c>
      <c r="B2" t="inlineStr">
        <is>
          <t>4600069665-40</t>
        </is>
      </c>
      <c r="C2" t="n">
        <v>4600069665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900008815</v>
      </c>
      <c r="H2" t="inlineStr">
        <is>
          <t>SF TC-PETROLOGIA E INGENIERIA</t>
        </is>
      </c>
      <c r="I2" t="n">
        <v>5093347</v>
      </c>
      <c r="J2" t="inlineStr">
        <is>
          <t>PETROLOGIA E INGENIERIA AVANZADA SA</t>
        </is>
      </c>
      <c r="K2" t="inlineStr">
        <is>
          <t>Z09</t>
        </is>
      </c>
      <c r="L2" t="inlineStr">
        <is>
          <t>(AP) 90 Dias</t>
        </is>
      </c>
      <c r="M2" t="n">
        <v>10164161</v>
      </c>
      <c r="N2" t="inlineStr">
        <is>
          <t>ARENA CLASIFICADA RÍO MALLA 4</t>
        </is>
      </c>
      <c r="O2" t="inlineStr">
        <is>
          <t>DW82</t>
        </is>
      </c>
      <c r="P2" t="inlineStr">
        <is>
          <t>MX-CED. DURANGO</t>
        </is>
      </c>
      <c r="Q2" t="n">
        <v>20240606</v>
      </c>
      <c r="R2" t="n">
        <v>20291231</v>
      </c>
      <c r="S2" t="n">
        <v>20240606</v>
      </c>
      <c r="T2" t="n">
        <v>20291231</v>
      </c>
      <c r="U2" t="n">
        <v>315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6644391540</v>
      </c>
      <c r="AE2" t="n">
        <v>1</v>
      </c>
      <c r="AF2" t="inlineStr">
        <is>
          <t>ENTREGADO</t>
        </is>
      </c>
      <c r="AG2" t="n">
        <v>1.35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20240612</v>
      </c>
      <c r="AM2" t="inlineStr">
        <is>
          <t>DW82-900008815-10164161</t>
        </is>
      </c>
    </row>
    <row r="3">
      <c r="A3" t="inlineStr">
        <is>
          <t>900008815DW8210179731</t>
        </is>
      </c>
      <c r="B3" t="inlineStr">
        <is>
          <t>4600069665-30</t>
        </is>
      </c>
      <c r="C3" t="n">
        <v>4600069665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900008815</v>
      </c>
      <c r="H3" t="inlineStr">
        <is>
          <t>SF TC-PETROLOGIA E INGENIERIA</t>
        </is>
      </c>
      <c r="I3" t="n">
        <v>5093347</v>
      </c>
      <c r="J3" t="inlineStr">
        <is>
          <t>PETROLOGIA E INGENIERIA AVANZADA SA</t>
        </is>
      </c>
      <c r="K3" t="inlineStr">
        <is>
          <t>Z09</t>
        </is>
      </c>
      <c r="L3" t="inlineStr">
        <is>
          <t>(AP) 90 Dias</t>
        </is>
      </c>
      <c r="M3" t="n">
        <v>10179731</v>
      </c>
      <c r="N3" t="inlineStr">
        <is>
          <t>BASE H TRITURADA BASALTO  1 1/2" A FINOS</t>
        </is>
      </c>
      <c r="O3" t="inlineStr">
        <is>
          <t>DW82</t>
        </is>
      </c>
      <c r="P3" t="inlineStr">
        <is>
          <t>MX-CED. DURANGO</t>
        </is>
      </c>
      <c r="Q3" t="n">
        <v>20240606</v>
      </c>
      <c r="R3" t="n">
        <v>20291231</v>
      </c>
      <c r="S3" t="n">
        <v>20240606</v>
      </c>
      <c r="T3" t="n">
        <v>20291231</v>
      </c>
      <c r="U3" t="n">
        <v>205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6644391540</v>
      </c>
      <c r="AE3" t="n">
        <v>1</v>
      </c>
      <c r="AF3" t="inlineStr">
        <is>
          <t>ENTREGADO</t>
        </is>
      </c>
      <c r="AG3" t="n">
        <v>1.619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20240806</v>
      </c>
      <c r="AM3" t="inlineStr">
        <is>
          <t>DW82-900008815-10179731</t>
        </is>
      </c>
    </row>
    <row r="4">
      <c r="A4" t="inlineStr">
        <is>
          <t>900008685DW8210000437</t>
        </is>
      </c>
      <c r="B4" t="inlineStr">
        <is>
          <t>4600069266-10</t>
        </is>
      </c>
      <c r="C4" t="n">
        <v>4600069266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900008685</v>
      </c>
      <c r="H4" t="inlineStr">
        <is>
          <t>SF TC-GL ASFALTOS</t>
        </is>
      </c>
      <c r="I4" t="n">
        <v>5092668</v>
      </c>
      <c r="J4" t="inlineStr">
        <is>
          <t>GL ASFALTOS Y TRITURADOS SA DE CV</t>
        </is>
      </c>
      <c r="K4" t="inlineStr">
        <is>
          <t>Z04</t>
        </is>
      </c>
      <c r="L4" t="inlineStr">
        <is>
          <t>(AP) 30 Dias</t>
        </is>
      </c>
      <c r="M4" t="n">
        <v>10000437</v>
      </c>
      <c r="N4" t="inlineStr">
        <is>
          <t>Grava Triturada Basalto 20 mm - 3/4"</t>
        </is>
      </c>
      <c r="O4" t="inlineStr">
        <is>
          <t>DW82</t>
        </is>
      </c>
      <c r="P4" t="inlineStr">
        <is>
          <t>MX-CED. DURANGO</t>
        </is>
      </c>
      <c r="Q4" t="n">
        <v>20240315</v>
      </c>
      <c r="R4" t="n">
        <v>20291231</v>
      </c>
      <c r="S4" t="n">
        <v>20250717</v>
      </c>
      <c r="T4" t="n">
        <v>20301231</v>
      </c>
      <c r="U4" t="n">
        <v>165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6644391540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20250729</v>
      </c>
      <c r="AM4" t="inlineStr">
        <is>
          <t>DW82-900008685-10000437</t>
        </is>
      </c>
    </row>
    <row r="5">
      <c r="A5" t="inlineStr">
        <is>
          <t>900008685DW8210000413</t>
        </is>
      </c>
      <c r="B5" t="inlineStr">
        <is>
          <t>4600069266-20</t>
        </is>
      </c>
      <c r="C5" t="n">
        <v>4600069266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900008685</v>
      </c>
      <c r="H5" t="inlineStr">
        <is>
          <t>SF TC-GL ASFALTOS</t>
        </is>
      </c>
      <c r="I5" t="n">
        <v>5092668</v>
      </c>
      <c r="J5" t="inlineStr">
        <is>
          <t>GL ASFALTOS Y TRITURADOS SA DE CV</t>
        </is>
      </c>
      <c r="K5" t="inlineStr">
        <is>
          <t>Z04</t>
        </is>
      </c>
      <c r="L5" t="inlineStr">
        <is>
          <t>(AP) 30 Dias</t>
        </is>
      </c>
      <c r="M5" t="n">
        <v>10000413</v>
      </c>
      <c r="N5" t="inlineStr">
        <is>
          <t>Grava Triturada Basalto 40 mm - 1 1/2"</t>
        </is>
      </c>
      <c r="O5" t="inlineStr">
        <is>
          <t>DW82</t>
        </is>
      </c>
      <c r="P5" t="inlineStr">
        <is>
          <t>MX-CED. DURANGO</t>
        </is>
      </c>
      <c r="Q5" t="n">
        <v>20240315</v>
      </c>
      <c r="R5" t="n">
        <v>20291231</v>
      </c>
      <c r="S5" t="n">
        <v>20250717</v>
      </c>
      <c r="T5" t="n">
        <v>20301231</v>
      </c>
      <c r="U5" t="n">
        <v>163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6644391540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20250729</v>
      </c>
      <c r="AM5" t="inlineStr">
        <is>
          <t>DW82-900008685-10000413</t>
        </is>
      </c>
    </row>
    <row r="6">
      <c r="A6" t="inlineStr">
        <is>
          <t>900008685DW8210000137</t>
        </is>
      </c>
      <c r="B6" t="inlineStr">
        <is>
          <t>4600069266-40</t>
        </is>
      </c>
      <c r="C6" t="n">
        <v>4600069266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900008685</v>
      </c>
      <c r="H6" t="inlineStr">
        <is>
          <t>SF TC-GL ASFALTOS</t>
        </is>
      </c>
      <c r="I6" t="n">
        <v>5092668</v>
      </c>
      <c r="J6" t="inlineStr">
        <is>
          <t>GL ASFALTOS Y TRITURADOS SA DE CV</t>
        </is>
      </c>
      <c r="K6" t="inlineStr">
        <is>
          <t>Z04</t>
        </is>
      </c>
      <c r="L6" t="inlineStr">
        <is>
          <t>(AP) 30 Dias</t>
        </is>
      </c>
      <c r="M6" t="n">
        <v>10000137</v>
      </c>
      <c r="N6" t="inlineStr">
        <is>
          <t>Arena Triturada Basalto Malla 5</t>
        </is>
      </c>
      <c r="O6" t="inlineStr">
        <is>
          <t>DW82</t>
        </is>
      </c>
      <c r="P6" t="inlineStr">
        <is>
          <t>MX-CED. DURANGO</t>
        </is>
      </c>
      <c r="Q6" t="n">
        <v>20240315</v>
      </c>
      <c r="R6" t="n">
        <v>20291231</v>
      </c>
      <c r="S6" t="n">
        <v>20250717</v>
      </c>
      <c r="T6" t="n">
        <v>20301231</v>
      </c>
      <c r="U6" t="n">
        <v>210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56103638</v>
      </c>
      <c r="AD6" t="n">
        <v>6644391540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20250729</v>
      </c>
      <c r="AM6" t="inlineStr">
        <is>
          <t>DW82-900008685-10000137</t>
        </is>
      </c>
    </row>
    <row r="7">
      <c r="A7" t="inlineStr">
        <is>
          <t>900008817DW8210000413</t>
        </is>
      </c>
      <c r="B7" t="inlineStr">
        <is>
          <t>4600069514-50</t>
        </is>
      </c>
      <c r="C7" t="n">
        <v>4600069514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900008817</v>
      </c>
      <c r="H7" t="inlineStr">
        <is>
          <t>SF TC-REC PETROLOGIA E INGENIERIA</t>
        </is>
      </c>
      <c r="I7" t="n">
        <v>5093347</v>
      </c>
      <c r="J7" t="inlineStr">
        <is>
          <t>PETROLOGIA E INGENIERIA AVANZADA SA</t>
        </is>
      </c>
      <c r="K7" t="inlineStr">
        <is>
          <t>Z09</t>
        </is>
      </c>
      <c r="L7" t="inlineStr">
        <is>
          <t>(AP) 90 Dias</t>
        </is>
      </c>
      <c r="M7" t="n">
        <v>10000413</v>
      </c>
      <c r="N7" t="inlineStr">
        <is>
          <t>Grava Triturada Basalto 40 mm - 1 1/2"</t>
        </is>
      </c>
      <c r="O7" t="inlineStr">
        <is>
          <t>DW82</t>
        </is>
      </c>
      <c r="P7" t="inlineStr">
        <is>
          <t>MX-CED. DURANGO</t>
        </is>
      </c>
      <c r="Q7" t="n">
        <v>20240513</v>
      </c>
      <c r="R7" t="n">
        <v>20291231</v>
      </c>
      <c r="S7" t="n">
        <v>20240716</v>
      </c>
      <c r="T7" t="n">
        <v>20291231</v>
      </c>
      <c r="U7" t="n">
        <v>215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6644391540</v>
      </c>
      <c r="AE7" t="n">
        <v>2</v>
      </c>
      <c r="AF7" t="inlineStr">
        <is>
          <t>RECOGIDO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20240717</v>
      </c>
      <c r="AM7" t="inlineStr">
        <is>
          <t>DW82-900008817-10000413</t>
        </is>
      </c>
    </row>
    <row r="8">
      <c r="A8" t="inlineStr">
        <is>
          <t>900008629DW82D15210000151</t>
        </is>
      </c>
      <c r="B8" t="inlineStr">
        <is>
          <t>4600068989-30</t>
        </is>
      </c>
      <c r="C8" t="n">
        <v>4600068989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900008629</v>
      </c>
      <c r="H8" t="inlineStr">
        <is>
          <t>SF TC-ED GL ASFALTOS</t>
        </is>
      </c>
      <c r="I8" t="n">
        <v>5092668</v>
      </c>
      <c r="J8" t="inlineStr">
        <is>
          <t>GL ASFALTOS Y TRITURADOS SA DE CV</t>
        </is>
      </c>
      <c r="K8" t="inlineStr">
        <is>
          <t>Z04</t>
        </is>
      </c>
      <c r="L8" t="inlineStr">
        <is>
          <t>(AP) 30 Dias</t>
        </is>
      </c>
      <c r="M8" t="n">
        <v>10000151</v>
      </c>
      <c r="N8" t="inlineStr">
        <is>
          <t>Grava Triturada Basalto 10 mm - 3/8"</t>
        </is>
      </c>
      <c r="O8" t="inlineStr">
        <is>
          <t>DW82</t>
        </is>
      </c>
      <c r="P8" t="inlineStr">
        <is>
          <t>MX-CED. DURANGO</t>
        </is>
      </c>
      <c r="Q8" t="n">
        <v>20240111</v>
      </c>
      <c r="R8" t="n">
        <v>20291231</v>
      </c>
      <c r="S8" t="n">
        <v>20250106</v>
      </c>
      <c r="T8" t="n">
        <v>20301231</v>
      </c>
      <c r="U8" t="n">
        <v>290.16</v>
      </c>
      <c r="V8" t="inlineStr">
        <is>
          <t>MXN</t>
        </is>
      </c>
      <c r="W8" t="inlineStr">
        <is>
          <t>TN</t>
        </is>
      </c>
      <c r="X8" t="n">
        <v>46.2</v>
      </c>
      <c r="Y8" t="inlineStr">
        <is>
          <t>MXN</t>
        </is>
      </c>
      <c r="Z8" t="inlineStr">
        <is>
          <t>TN</t>
        </is>
      </c>
      <c r="AA8" t="inlineStr">
        <is>
          <t>D152</t>
        </is>
      </c>
      <c r="AB8" t="inlineStr">
        <is>
          <t>SICLO-PD034 DURANGO</t>
        </is>
      </c>
      <c r="AC8" t="n">
        <v>56103637</v>
      </c>
      <c r="AD8" t="n">
        <v>6644391540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20250309</v>
      </c>
      <c r="AM8" t="inlineStr">
        <is>
          <t>DW82-900008629-D152-10000151-4</t>
        </is>
      </c>
    </row>
    <row r="9">
      <c r="A9" t="inlineStr">
        <is>
          <t>900008685DW8210000151</t>
        </is>
      </c>
      <c r="B9" t="inlineStr">
        <is>
          <t>4600069266-30</t>
        </is>
      </c>
      <c r="C9" t="n">
        <v>4600069266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900008685</v>
      </c>
      <c r="H9" t="inlineStr">
        <is>
          <t>SF TC-GL ASFALTOS</t>
        </is>
      </c>
      <c r="I9" t="n">
        <v>5092668</v>
      </c>
      <c r="J9" t="inlineStr">
        <is>
          <t>GL ASFALTOS Y TRITURADOS SA DE CV</t>
        </is>
      </c>
      <c r="K9" t="inlineStr">
        <is>
          <t>Z04</t>
        </is>
      </c>
      <c r="L9" t="inlineStr">
        <is>
          <t>(AP) 30 Dias</t>
        </is>
      </c>
      <c r="M9" t="n">
        <v>10000151</v>
      </c>
      <c r="N9" t="inlineStr">
        <is>
          <t>Grava Triturada Basalto 10 mm - 3/8"</t>
        </is>
      </c>
      <c r="O9" t="inlineStr">
        <is>
          <t>DW82</t>
        </is>
      </c>
      <c r="P9" t="inlineStr">
        <is>
          <t>MX-CED. DURANGO</t>
        </is>
      </c>
      <c r="Q9" t="n">
        <v>20240315</v>
      </c>
      <c r="R9" t="n">
        <v>20291231</v>
      </c>
      <c r="S9" t="n">
        <v>20250106</v>
      </c>
      <c r="T9" t="n">
        <v>20301231</v>
      </c>
      <c r="U9" t="n">
        <v>243.96</v>
      </c>
      <c r="V9" t="inlineStr">
        <is>
          <t>MXN</t>
        </is>
      </c>
      <c r="W9" t="inlineStr">
        <is>
          <t>TN</t>
        </is>
      </c>
      <c r="X9" t="n">
        <v>0</v>
      </c>
      <c r="Y9" t="inlineStr">
        <is>
          <t>MXN</t>
        </is>
      </c>
      <c r="Z9" t="inlineStr">
        <is>
          <t>TN</t>
        </is>
      </c>
      <c r="AC9" t="n">
        <v>56103637</v>
      </c>
      <c r="AD9" t="n">
        <v>6644391540</v>
      </c>
      <c r="AE9" t="n">
        <v>1</v>
      </c>
      <c r="AF9" t="inlineStr">
        <is>
          <t>ENTREGADO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20250309</v>
      </c>
      <c r="AM9" t="inlineStr">
        <is>
          <t>DW82-900008685-10000151</t>
        </is>
      </c>
    </row>
    <row r="10">
      <c r="A10" t="inlineStr">
        <is>
          <t>900008815DW8210000413</t>
        </is>
      </c>
      <c r="B10" t="inlineStr">
        <is>
          <t>4600069665-90</t>
        </is>
      </c>
      <c r="C10" t="n">
        <v>4600069665</v>
      </c>
      <c r="D10" t="n">
        <v>90</v>
      </c>
      <c r="E10" t="inlineStr">
        <is>
          <t>MXPO</t>
        </is>
      </c>
      <c r="F10" t="inlineStr">
        <is>
          <t>MXL</t>
        </is>
      </c>
      <c r="G10" t="n">
        <v>900008815</v>
      </c>
      <c r="H10" t="inlineStr">
        <is>
          <t>SF TC-PETROLOGIA E INGENIERIA</t>
        </is>
      </c>
      <c r="I10" t="n">
        <v>5093347</v>
      </c>
      <c r="J10" t="inlineStr">
        <is>
          <t>PETROLOGIA E INGENIERIA AVANZADA SA</t>
        </is>
      </c>
      <c r="K10" t="inlineStr">
        <is>
          <t>Z09</t>
        </is>
      </c>
      <c r="L10" t="inlineStr">
        <is>
          <t>(AP) 90 Dias</t>
        </is>
      </c>
      <c r="M10" t="n">
        <v>10000413</v>
      </c>
      <c r="N10" t="inlineStr">
        <is>
          <t>Grava Triturada Basalto 40 mm - 1 1/2"</t>
        </is>
      </c>
      <c r="O10" t="inlineStr">
        <is>
          <t>DW82</t>
        </is>
      </c>
      <c r="P10" t="inlineStr">
        <is>
          <t>MX-CED. DURANGO</t>
        </is>
      </c>
      <c r="Q10" t="n">
        <v>20240606</v>
      </c>
      <c r="R10" t="n">
        <v>20291231</v>
      </c>
      <c r="S10" t="n">
        <v>20250210</v>
      </c>
      <c r="T10" t="n">
        <v>20301231</v>
      </c>
      <c r="U10" t="n">
        <v>163.08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56103637</v>
      </c>
      <c r="AD10" t="n">
        <v>6644391540</v>
      </c>
      <c r="AE10" t="n">
        <v>1</v>
      </c>
      <c r="AF10" t="inlineStr">
        <is>
          <t>ENTREGADO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20250303</v>
      </c>
      <c r="AM10" t="inlineStr">
        <is>
          <t>DW82-900008815-10000413</t>
        </is>
      </c>
    </row>
    <row r="11">
      <c r="A11" t="inlineStr">
        <is>
          <t>900008815DW8210000137</t>
        </is>
      </c>
      <c r="B11" t="inlineStr">
        <is>
          <t>4600069665-100</t>
        </is>
      </c>
      <c r="C11" t="n">
        <v>4600069665</v>
      </c>
      <c r="D11" t="n">
        <v>100</v>
      </c>
      <c r="E11" t="inlineStr">
        <is>
          <t>MXPO</t>
        </is>
      </c>
      <c r="F11" t="inlineStr">
        <is>
          <t>MXL</t>
        </is>
      </c>
      <c r="G11" t="n">
        <v>900008815</v>
      </c>
      <c r="H11" t="inlineStr">
        <is>
          <t>SF TC-PETROLOGIA E INGENIERIA</t>
        </is>
      </c>
      <c r="I11" t="n">
        <v>5093347</v>
      </c>
      <c r="J11" t="inlineStr">
        <is>
          <t>PETROLOGIA E INGENIERIA AVANZADA SA</t>
        </is>
      </c>
      <c r="K11" t="inlineStr">
        <is>
          <t>Z09</t>
        </is>
      </c>
      <c r="L11" t="inlineStr">
        <is>
          <t>(AP) 90 Dias</t>
        </is>
      </c>
      <c r="M11" t="n">
        <v>10000137</v>
      </c>
      <c r="N11" t="inlineStr">
        <is>
          <t>Arena Triturada Basalto Malla 5</t>
        </is>
      </c>
      <c r="O11" t="inlineStr">
        <is>
          <t>DW82</t>
        </is>
      </c>
      <c r="P11" t="inlineStr">
        <is>
          <t>MX-CED. DURANGO</t>
        </is>
      </c>
      <c r="Q11" t="n">
        <v>20240606</v>
      </c>
      <c r="R11" t="n">
        <v>20291231</v>
      </c>
      <c r="S11" t="n">
        <v>20250210</v>
      </c>
      <c r="T11" t="n">
        <v>20301231</v>
      </c>
      <c r="U11" t="n">
        <v>210.6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56103638</v>
      </c>
      <c r="AD11" t="n">
        <v>6644391540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20250303</v>
      </c>
      <c r="AM11" t="inlineStr">
        <is>
          <t>DW82-900008815-10000137</t>
        </is>
      </c>
    </row>
    <row r="12">
      <c r="A12" t="inlineStr">
        <is>
          <t>900008815DW8210000437</t>
        </is>
      </c>
      <c r="B12" t="inlineStr">
        <is>
          <t>4600069665-70</t>
        </is>
      </c>
      <c r="C12" t="n">
        <v>4600069665</v>
      </c>
      <c r="D12" t="n">
        <v>70</v>
      </c>
      <c r="E12" t="inlineStr">
        <is>
          <t>MXPO</t>
        </is>
      </c>
      <c r="F12" t="inlineStr">
        <is>
          <t>MXL</t>
        </is>
      </c>
      <c r="G12" t="n">
        <v>900008815</v>
      </c>
      <c r="H12" t="inlineStr">
        <is>
          <t>SF TC-PETROLOGIA E INGENIERIA</t>
        </is>
      </c>
      <c r="I12" t="n">
        <v>5093347</v>
      </c>
      <c r="J12" t="inlineStr">
        <is>
          <t>PETROLOGIA E INGENIERIA AVANZADA SA</t>
        </is>
      </c>
      <c r="K12" t="inlineStr">
        <is>
          <t>Z09</t>
        </is>
      </c>
      <c r="L12" t="inlineStr">
        <is>
          <t>(AP) 90 Dias</t>
        </is>
      </c>
      <c r="M12" t="n">
        <v>10000437</v>
      </c>
      <c r="N12" t="inlineStr">
        <is>
          <t>Grava Triturada Basalto 20 mm - 3/4"</t>
        </is>
      </c>
      <c r="O12" t="inlineStr">
        <is>
          <t>DW82</t>
        </is>
      </c>
      <c r="P12" t="inlineStr">
        <is>
          <t>MX-CED. DURANGO</t>
        </is>
      </c>
      <c r="Q12" t="n">
        <v>20240606</v>
      </c>
      <c r="R12" t="n">
        <v>20291231</v>
      </c>
      <c r="S12" t="n">
        <v>20250210</v>
      </c>
      <c r="T12" t="n">
        <v>20301231</v>
      </c>
      <c r="U12" t="n">
        <v>165.24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56103637</v>
      </c>
      <c r="AD12" t="n">
        <v>6644391540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20250303</v>
      </c>
      <c r="AM12" t="inlineStr">
        <is>
          <t>DW82-900008815-10000437</t>
        </is>
      </c>
    </row>
    <row r="13">
      <c r="A13" t="inlineStr">
        <is>
          <t>900008815DW8210000151</t>
        </is>
      </c>
      <c r="B13" t="inlineStr">
        <is>
          <t>4600069665-80</t>
        </is>
      </c>
      <c r="C13" t="n">
        <v>4600069665</v>
      </c>
      <c r="D13" t="n">
        <v>80</v>
      </c>
      <c r="E13" t="inlineStr">
        <is>
          <t>MXPO</t>
        </is>
      </c>
      <c r="F13" t="inlineStr">
        <is>
          <t>MXL</t>
        </is>
      </c>
      <c r="G13" t="n">
        <v>900008815</v>
      </c>
      <c r="H13" t="inlineStr">
        <is>
          <t>SF TC-PETROLOGIA E INGENIERIA</t>
        </is>
      </c>
      <c r="I13" t="n">
        <v>5093347</v>
      </c>
      <c r="J13" t="inlineStr">
        <is>
          <t>PETROLOGIA E INGENIERIA AVANZADA SA</t>
        </is>
      </c>
      <c r="K13" t="inlineStr">
        <is>
          <t>Z09</t>
        </is>
      </c>
      <c r="L13" t="inlineStr">
        <is>
          <t>(AP) 90 Dias</t>
        </is>
      </c>
      <c r="M13" t="n">
        <v>10000151</v>
      </c>
      <c r="N13" t="inlineStr">
        <is>
          <t>Grava Triturada Basalto 10 mm - 3/8"</t>
        </is>
      </c>
      <c r="O13" t="inlineStr">
        <is>
          <t>DW82</t>
        </is>
      </c>
      <c r="P13" t="inlineStr">
        <is>
          <t>MX-CED. DURANGO</t>
        </is>
      </c>
      <c r="Q13" t="n">
        <v>20240606</v>
      </c>
      <c r="R13" t="n">
        <v>20291231</v>
      </c>
      <c r="S13" t="n">
        <v>20250210</v>
      </c>
      <c r="T13" t="n">
        <v>20301231</v>
      </c>
      <c r="U13" t="n">
        <v>237.6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6644391540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20250303</v>
      </c>
      <c r="AM13" t="inlineStr">
        <is>
          <t>DW82-900008815-10000151</t>
        </is>
      </c>
    </row>
    <row r="14">
      <c r="A14" t="inlineStr">
        <is>
          <t>900008816DW82D15210164161</t>
        </is>
      </c>
      <c r="B14" t="inlineStr">
        <is>
          <t>4600069513-40</t>
        </is>
      </c>
      <c r="C14" t="n">
        <v>4600069513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900008816</v>
      </c>
      <c r="H14" t="inlineStr">
        <is>
          <t>SF TC-ED PETROLOGIA E INGENIERIA</t>
        </is>
      </c>
      <c r="I14" t="n">
        <v>5093347</v>
      </c>
      <c r="J14" t="inlineStr">
        <is>
          <t>PETROLOGIA E INGENIERIA AVANZADA SA</t>
        </is>
      </c>
      <c r="K14" t="inlineStr">
        <is>
          <t>Z09</t>
        </is>
      </c>
      <c r="L14" t="inlineStr">
        <is>
          <t>(AP) 90 Dias</t>
        </is>
      </c>
      <c r="M14" t="n">
        <v>10164161</v>
      </c>
      <c r="N14" t="inlineStr">
        <is>
          <t>ARENA CLASIFICADA RÍO MALLA 4</t>
        </is>
      </c>
      <c r="O14" t="inlineStr">
        <is>
          <t>DW82</t>
        </is>
      </c>
      <c r="P14" t="inlineStr">
        <is>
          <t>MX-CED. DURANGO</t>
        </is>
      </c>
      <c r="Q14" t="n">
        <v>20240513</v>
      </c>
      <c r="R14" t="n">
        <v>20291231</v>
      </c>
      <c r="S14" t="n">
        <v>20240513</v>
      </c>
      <c r="T14" t="n">
        <v>20291231</v>
      </c>
      <c r="U14" t="n">
        <v>363.5</v>
      </c>
      <c r="V14" t="inlineStr">
        <is>
          <t>MXN</t>
        </is>
      </c>
      <c r="W14" t="inlineStr">
        <is>
          <t>M3</t>
        </is>
      </c>
      <c r="X14" t="n">
        <v>48.5</v>
      </c>
      <c r="Y14" t="inlineStr">
        <is>
          <t>MXN</t>
        </is>
      </c>
      <c r="Z14" t="inlineStr">
        <is>
          <t>M3</t>
        </is>
      </c>
      <c r="AA14" t="inlineStr">
        <is>
          <t>D152</t>
        </is>
      </c>
      <c r="AB14" t="inlineStr">
        <is>
          <t>SICLO-PD034 DURANGO</t>
        </is>
      </c>
      <c r="AC14" t="n">
        <v>56103638</v>
      </c>
      <c r="AD14" t="n">
        <v>6644391540</v>
      </c>
      <c r="AE14" t="n">
        <v>4</v>
      </c>
      <c r="AF14" t="inlineStr">
        <is>
          <t>ENTREGA DIRECTA</t>
        </is>
      </c>
      <c r="AG14" t="n">
        <v>1.35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20240515</v>
      </c>
      <c r="AM14" t="inlineStr">
        <is>
          <t>DW82-900008816-D152-10164161-4</t>
        </is>
      </c>
    </row>
    <row r="15">
      <c r="A15" t="inlineStr">
        <is>
          <t>900008816DW82D15210179731</t>
        </is>
      </c>
      <c r="B15" t="inlineStr">
        <is>
          <t>4600069513-30</t>
        </is>
      </c>
      <c r="C15" t="n">
        <v>4600069513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900008816</v>
      </c>
      <c r="H15" t="inlineStr">
        <is>
          <t>SF TC-ED PETROLOGIA E INGENIERIA</t>
        </is>
      </c>
      <c r="I15" t="n">
        <v>5093347</v>
      </c>
      <c r="J15" t="inlineStr">
        <is>
          <t>PETROLOGIA E INGENIERIA AVANZADA SA</t>
        </is>
      </c>
      <c r="K15" t="inlineStr">
        <is>
          <t>Z09</t>
        </is>
      </c>
      <c r="L15" t="inlineStr">
        <is>
          <t>(AP) 90 Dias</t>
        </is>
      </c>
      <c r="M15" t="n">
        <v>10179731</v>
      </c>
      <c r="N15" t="inlineStr">
        <is>
          <t>BASE H TRITURADA BASALTO  1 1/2" A FINOS</t>
        </is>
      </c>
      <c r="O15" t="inlineStr">
        <is>
          <t>DW82</t>
        </is>
      </c>
      <c r="P15" t="inlineStr">
        <is>
          <t>MX-CED. DURANGO</t>
        </is>
      </c>
      <c r="Q15" t="n">
        <v>20240513</v>
      </c>
      <c r="R15" t="n">
        <v>20291231</v>
      </c>
      <c r="S15" t="n">
        <v>20240513</v>
      </c>
      <c r="T15" t="n">
        <v>20291231</v>
      </c>
      <c r="U15" t="n">
        <v>253.5</v>
      </c>
      <c r="V15" t="inlineStr">
        <is>
          <t>MXN</t>
        </is>
      </c>
      <c r="W15" t="inlineStr">
        <is>
          <t>M3</t>
        </is>
      </c>
      <c r="X15" t="n">
        <v>48.5</v>
      </c>
      <c r="Y15" t="inlineStr">
        <is>
          <t>MXN</t>
        </is>
      </c>
      <c r="Z15" t="inlineStr">
        <is>
          <t>M3</t>
        </is>
      </c>
      <c r="AA15" t="inlineStr">
        <is>
          <t>D152</t>
        </is>
      </c>
      <c r="AB15" t="inlineStr">
        <is>
          <t>SICLO-PD034 DURANGO</t>
        </is>
      </c>
      <c r="AC15" t="n">
        <v>56103590</v>
      </c>
      <c r="AD15" t="n">
        <v>6644391540</v>
      </c>
      <c r="AE15" t="n">
        <v>4</v>
      </c>
      <c r="AF15" t="inlineStr">
        <is>
          <t>ENTREGA DIRECTA</t>
        </is>
      </c>
      <c r="AG15" t="n">
        <v>1.619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20241204</v>
      </c>
      <c r="AM15" t="inlineStr">
        <is>
          <t>DW82-900008816-D152-10179731-4</t>
        </is>
      </c>
    </row>
    <row r="16">
      <c r="A16" t="inlineStr">
        <is>
          <t>900008991DW82D15210000137</t>
        </is>
      </c>
      <c r="B16" t="inlineStr">
        <is>
          <t>4600070407-10</t>
        </is>
      </c>
      <c r="C16" t="n">
        <v>4600070407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900008991</v>
      </c>
      <c r="H16" t="inlineStr">
        <is>
          <t>SF TC-ED RIOGRAVA</t>
        </is>
      </c>
      <c r="I16" t="n">
        <v>5094376</v>
      </c>
      <c r="J16" t="inlineStr">
        <is>
          <t>HEIDE DYCK JOHAN</t>
        </is>
      </c>
      <c r="K16" t="inlineStr">
        <is>
          <t>Z09</t>
        </is>
      </c>
      <c r="L16" t="inlineStr">
        <is>
          <t>(AP) 90 Dias</t>
        </is>
      </c>
      <c r="M16" t="n">
        <v>10000137</v>
      </c>
      <c r="N16" t="inlineStr">
        <is>
          <t>Arena Triturada Basalto Malla 5</t>
        </is>
      </c>
      <c r="O16" t="inlineStr">
        <is>
          <t>DW82</t>
        </is>
      </c>
      <c r="P16" t="inlineStr">
        <is>
          <t>MX-CED. DURANGO</t>
        </is>
      </c>
      <c r="Q16" t="n">
        <v>20241021</v>
      </c>
      <c r="R16" t="n">
        <v>20291231</v>
      </c>
      <c r="S16" t="n">
        <v>20241021</v>
      </c>
      <c r="T16" t="n">
        <v>20291231</v>
      </c>
      <c r="U16" t="n">
        <v>400.88</v>
      </c>
      <c r="V16" t="inlineStr">
        <is>
          <t>MXN</t>
        </is>
      </c>
      <c r="W16" t="inlineStr">
        <is>
          <t>TN</t>
        </is>
      </c>
      <c r="X16" t="n">
        <v>205.88</v>
      </c>
      <c r="Y16" t="inlineStr">
        <is>
          <t>MXN</t>
        </is>
      </c>
      <c r="Z16" t="inlineStr">
        <is>
          <t>TN</t>
        </is>
      </c>
      <c r="AA16" t="inlineStr">
        <is>
          <t>D152</t>
        </is>
      </c>
      <c r="AB16" t="inlineStr">
        <is>
          <t>SICLO-PD034 DURANGO</t>
        </is>
      </c>
      <c r="AC16" t="n">
        <v>56103638</v>
      </c>
      <c r="AD16" t="n">
        <v>6644391540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20241023</v>
      </c>
      <c r="AM16" t="inlineStr">
        <is>
          <t>DW82-900008991-D152-10000137-4</t>
        </is>
      </c>
    </row>
    <row r="17">
      <c r="A17" t="inlineStr">
        <is>
          <t>900008991DW82D15210000437</t>
        </is>
      </c>
      <c r="B17" t="inlineStr">
        <is>
          <t>4600070407-20</t>
        </is>
      </c>
      <c r="C17" t="n">
        <v>4600070407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900008991</v>
      </c>
      <c r="H17" t="inlineStr">
        <is>
          <t>SF TC-ED RIOGRAVA</t>
        </is>
      </c>
      <c r="I17" t="n">
        <v>5094376</v>
      </c>
      <c r="J17" t="inlineStr">
        <is>
          <t>HEIDE DYCK JOHAN</t>
        </is>
      </c>
      <c r="K17" t="inlineStr">
        <is>
          <t>Z09</t>
        </is>
      </c>
      <c r="L17" t="inlineStr">
        <is>
          <t>(AP) 90 Dias</t>
        </is>
      </c>
      <c r="M17" t="n">
        <v>10000437</v>
      </c>
      <c r="N17" t="inlineStr">
        <is>
          <t>Grava Triturada Basalto 20 mm - 3/4"</t>
        </is>
      </c>
      <c r="O17" t="inlineStr">
        <is>
          <t>DW82</t>
        </is>
      </c>
      <c r="P17" t="inlineStr">
        <is>
          <t>MX-CED. DURANGO</t>
        </is>
      </c>
      <c r="Q17" t="n">
        <v>20241021</v>
      </c>
      <c r="R17" t="n">
        <v>20291231</v>
      </c>
      <c r="S17" t="n">
        <v>20241021</v>
      </c>
      <c r="T17" t="n">
        <v>20291231</v>
      </c>
      <c r="U17" t="n">
        <v>425</v>
      </c>
      <c r="V17" t="inlineStr">
        <is>
          <t>MXN</t>
        </is>
      </c>
      <c r="W17" t="inlineStr">
        <is>
          <t>TN</t>
        </is>
      </c>
      <c r="X17" t="n">
        <v>218.75</v>
      </c>
      <c r="Y17" t="inlineStr">
        <is>
          <t>MXN</t>
        </is>
      </c>
      <c r="Z17" t="inlineStr">
        <is>
          <t>TN</t>
        </is>
      </c>
      <c r="AA17" t="inlineStr">
        <is>
          <t>D152</t>
        </is>
      </c>
      <c r="AB17" t="inlineStr">
        <is>
          <t>SICLO-PD034 DURANGO</t>
        </is>
      </c>
      <c r="AC17" t="n">
        <v>56103637</v>
      </c>
      <c r="AD17" t="n">
        <v>6644391540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20241023</v>
      </c>
      <c r="AM17" t="inlineStr">
        <is>
          <t>DW82-900008991-D152-10000437-4</t>
        </is>
      </c>
    </row>
    <row r="18">
      <c r="A18" t="inlineStr">
        <is>
          <t>900008629DW82D15210000437</t>
        </is>
      </c>
      <c r="B18" t="inlineStr">
        <is>
          <t>4600068989-10</t>
        </is>
      </c>
      <c r="C18" t="n">
        <v>4600068989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900008629</v>
      </c>
      <c r="H18" t="inlineStr">
        <is>
          <t>SF TC-ED GL ASFALTOS</t>
        </is>
      </c>
      <c r="I18" t="n">
        <v>5092668</v>
      </c>
      <c r="J18" t="inlineStr">
        <is>
          <t>GL ASFALTOS Y TRITURADOS SA DE CV</t>
        </is>
      </c>
      <c r="K18" t="inlineStr">
        <is>
          <t>Z04</t>
        </is>
      </c>
      <c r="L18" t="inlineStr">
        <is>
          <t>(AP) 30 Dias</t>
        </is>
      </c>
      <c r="M18" t="n">
        <v>10000437</v>
      </c>
      <c r="N18" t="inlineStr">
        <is>
          <t>Grava Triturada Basalto 20 mm - 3/4"</t>
        </is>
      </c>
      <c r="O18" t="inlineStr">
        <is>
          <t>DW82</t>
        </is>
      </c>
      <c r="P18" t="inlineStr">
        <is>
          <t>MX-CED. DURANGO</t>
        </is>
      </c>
      <c r="Q18" t="n">
        <v>20240111</v>
      </c>
      <c r="R18" t="n">
        <v>20291231</v>
      </c>
      <c r="S18" t="n">
        <v>20250717</v>
      </c>
      <c r="T18" t="n">
        <v>20301231</v>
      </c>
      <c r="U18" t="n">
        <v>211.2</v>
      </c>
      <c r="V18" t="inlineStr">
        <is>
          <t>MXN</t>
        </is>
      </c>
      <c r="W18" t="inlineStr">
        <is>
          <t>TN</t>
        </is>
      </c>
      <c r="X18" t="n">
        <v>46.2</v>
      </c>
      <c r="Y18" t="inlineStr">
        <is>
          <t>MXN</t>
        </is>
      </c>
      <c r="Z18" t="inlineStr">
        <is>
          <t>TN</t>
        </is>
      </c>
      <c r="AA18" t="inlineStr">
        <is>
          <t>D152</t>
        </is>
      </c>
      <c r="AB18" t="inlineStr">
        <is>
          <t>SICLO-PD034 DURANGO</t>
        </is>
      </c>
      <c r="AC18" t="n">
        <v>56103637</v>
      </c>
      <c r="AD18" t="n">
        <v>6644391540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20250731</v>
      </c>
      <c r="AM18" t="inlineStr">
        <is>
          <t>DW82-900008629-D152-10000437-4</t>
        </is>
      </c>
    </row>
    <row r="19">
      <c r="A19" t="inlineStr">
        <is>
          <t>900008629DW82D15210000413</t>
        </is>
      </c>
      <c r="B19" t="inlineStr">
        <is>
          <t>4600068989-20</t>
        </is>
      </c>
      <c r="C19" t="n">
        <v>4600068989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900008629</v>
      </c>
      <c r="H19" t="inlineStr">
        <is>
          <t>SF TC-ED GL ASFALTOS</t>
        </is>
      </c>
      <c r="I19" t="n">
        <v>5092668</v>
      </c>
      <c r="J19" t="inlineStr">
        <is>
          <t>GL ASFALTOS Y TRITURADOS SA DE CV</t>
        </is>
      </c>
      <c r="K19" t="inlineStr">
        <is>
          <t>Z04</t>
        </is>
      </c>
      <c r="L19" t="inlineStr">
        <is>
          <t>(AP) 30 Dias</t>
        </is>
      </c>
      <c r="M19" t="n">
        <v>10000413</v>
      </c>
      <c r="N19" t="inlineStr">
        <is>
          <t>Grava Triturada Basalto 40 mm - 1 1/2"</t>
        </is>
      </c>
      <c r="O19" t="inlineStr">
        <is>
          <t>DW82</t>
        </is>
      </c>
      <c r="P19" t="inlineStr">
        <is>
          <t>MX-CED. DURANGO</t>
        </is>
      </c>
      <c r="Q19" t="n">
        <v>20240111</v>
      </c>
      <c r="R19" t="n">
        <v>20291231</v>
      </c>
      <c r="S19" t="n">
        <v>20250717</v>
      </c>
      <c r="T19" t="n">
        <v>20301231</v>
      </c>
      <c r="U19" t="n">
        <v>209.2</v>
      </c>
      <c r="V19" t="inlineStr">
        <is>
          <t>MXN</t>
        </is>
      </c>
      <c r="W19" t="inlineStr">
        <is>
          <t>TN</t>
        </is>
      </c>
      <c r="X19" t="n">
        <v>46.2</v>
      </c>
      <c r="Y19" t="inlineStr">
        <is>
          <t>MXN</t>
        </is>
      </c>
      <c r="Z19" t="inlineStr">
        <is>
          <t>TN</t>
        </is>
      </c>
      <c r="AA19" t="inlineStr">
        <is>
          <t>D152</t>
        </is>
      </c>
      <c r="AB19" t="inlineStr">
        <is>
          <t>SICLO-PD034 DURANGO</t>
        </is>
      </c>
      <c r="AC19" t="n">
        <v>56103637</v>
      </c>
      <c r="AD19" t="n">
        <v>6644391540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20250731</v>
      </c>
      <c r="AM19" t="inlineStr">
        <is>
          <t>DW82-900008629-D152-10000413-4</t>
        </is>
      </c>
    </row>
    <row r="20">
      <c r="A20" t="inlineStr">
        <is>
          <t>900008817DW8210164161</t>
        </is>
      </c>
      <c r="B20" t="inlineStr">
        <is>
          <t>4600069514-40</t>
        </is>
      </c>
      <c r="C20" t="n">
        <v>4600069514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900008817</v>
      </c>
      <c r="H20" t="inlineStr">
        <is>
          <t>SF TC-REC PETROLOGIA E INGENIERIA</t>
        </is>
      </c>
      <c r="I20" t="n">
        <v>5093347</v>
      </c>
      <c r="J20" t="inlineStr">
        <is>
          <t>PETROLOGIA E INGENIERIA AVANZADA SA</t>
        </is>
      </c>
      <c r="K20" t="inlineStr">
        <is>
          <t>Z09</t>
        </is>
      </c>
      <c r="L20" t="inlineStr">
        <is>
          <t>(AP) 90 Dias</t>
        </is>
      </c>
      <c r="M20" t="n">
        <v>10164161</v>
      </c>
      <c r="N20" t="inlineStr">
        <is>
          <t>ARENA CLASIFICADA RÍO MALLA 4</t>
        </is>
      </c>
      <c r="O20" t="inlineStr">
        <is>
          <t>DW82</t>
        </is>
      </c>
      <c r="P20" t="inlineStr">
        <is>
          <t>MX-CED. DURANGO</t>
        </is>
      </c>
      <c r="Q20" t="n">
        <v>20240513</v>
      </c>
      <c r="R20" t="n">
        <v>20291231</v>
      </c>
      <c r="S20" t="n">
        <v>20240513</v>
      </c>
      <c r="T20" t="n">
        <v>20291231</v>
      </c>
      <c r="U20" t="n">
        <v>315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6644391540</v>
      </c>
      <c r="AE20" t="n">
        <v>2</v>
      </c>
      <c r="AF20" t="inlineStr">
        <is>
          <t>RECOGIDO</t>
        </is>
      </c>
      <c r="AG20" t="n">
        <v>1.35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20240515</v>
      </c>
      <c r="AM20" t="inlineStr">
        <is>
          <t>DW82-900008817-10164161</t>
        </is>
      </c>
    </row>
    <row r="21">
      <c r="A21" t="inlineStr">
        <is>
          <t>900008629DW82D15210000137</t>
        </is>
      </c>
      <c r="B21" t="inlineStr">
        <is>
          <t>4600068989-40</t>
        </is>
      </c>
      <c r="C21" t="n">
        <v>4600068989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900008629</v>
      </c>
      <c r="H21" t="inlineStr">
        <is>
          <t>SF TC-ED GL ASFALTOS</t>
        </is>
      </c>
      <c r="I21" t="n">
        <v>5092668</v>
      </c>
      <c r="J21" t="inlineStr">
        <is>
          <t>GL ASFALTOS Y TRITURADOS SA DE CV</t>
        </is>
      </c>
      <c r="K21" t="inlineStr">
        <is>
          <t>Z04</t>
        </is>
      </c>
      <c r="L21" t="inlineStr">
        <is>
          <t>(AP) 30 Dias</t>
        </is>
      </c>
      <c r="M21" t="n">
        <v>10000137</v>
      </c>
      <c r="N21" t="inlineStr">
        <is>
          <t>Arena Triturada Basalto Malla 5</t>
        </is>
      </c>
      <c r="O21" t="inlineStr">
        <is>
          <t>DW82</t>
        </is>
      </c>
      <c r="P21" t="inlineStr">
        <is>
          <t>MX-CED. DURANGO</t>
        </is>
      </c>
      <c r="Q21" t="n">
        <v>20240111</v>
      </c>
      <c r="R21" t="n">
        <v>20291231</v>
      </c>
      <c r="S21" t="n">
        <v>20250717</v>
      </c>
      <c r="T21" t="n">
        <v>20301231</v>
      </c>
      <c r="U21" t="n">
        <v>256.2</v>
      </c>
      <c r="V21" t="inlineStr">
        <is>
          <t>MXN</t>
        </is>
      </c>
      <c r="W21" t="inlineStr">
        <is>
          <t>TN</t>
        </is>
      </c>
      <c r="X21" t="n">
        <v>46.2</v>
      </c>
      <c r="Y21" t="inlineStr">
        <is>
          <t>MXN</t>
        </is>
      </c>
      <c r="Z21" t="inlineStr">
        <is>
          <t>TN</t>
        </is>
      </c>
      <c r="AA21" t="inlineStr">
        <is>
          <t>D152</t>
        </is>
      </c>
      <c r="AB21" t="inlineStr">
        <is>
          <t>SICLO-PD034 DURANGO</t>
        </is>
      </c>
      <c r="AC21" t="n">
        <v>56103638</v>
      </c>
      <c r="AD21" t="n">
        <v>6644391540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20250731</v>
      </c>
      <c r="AM21" t="inlineStr">
        <is>
          <t>DW82-900008629-D152-10000137-4</t>
        </is>
      </c>
    </row>
    <row r="22">
      <c r="A22" t="inlineStr">
        <is>
          <t>900008817DW8210000437</t>
        </is>
      </c>
      <c r="B22" t="inlineStr">
        <is>
          <t>4600069514-10</t>
        </is>
      </c>
      <c r="C22" t="n">
        <v>4600069514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900008817</v>
      </c>
      <c r="H22" t="inlineStr">
        <is>
          <t>SF TC-REC PETROLOGIA E INGENIERIA</t>
        </is>
      </c>
      <c r="I22" t="n">
        <v>5093347</v>
      </c>
      <c r="J22" t="inlineStr">
        <is>
          <t>PETROLOGIA E INGENIERIA AVANZADA SA</t>
        </is>
      </c>
      <c r="K22" t="inlineStr">
        <is>
          <t>Z09</t>
        </is>
      </c>
      <c r="L22" t="inlineStr">
        <is>
          <t>(AP) 90 Dias</t>
        </is>
      </c>
      <c r="M22" t="n">
        <v>10000437</v>
      </c>
      <c r="N22" t="inlineStr">
        <is>
          <t>Grava Triturada Basalto 20 mm - 3/4"</t>
        </is>
      </c>
      <c r="O22" t="inlineStr">
        <is>
          <t>DW82</t>
        </is>
      </c>
      <c r="P22" t="inlineStr">
        <is>
          <t>MX-CED. DURANGO</t>
        </is>
      </c>
      <c r="Q22" t="n">
        <v>20240513</v>
      </c>
      <c r="R22" t="n">
        <v>20291231</v>
      </c>
      <c r="S22" t="n">
        <v>20240513</v>
      </c>
      <c r="T22" t="n">
        <v>20291231</v>
      </c>
      <c r="U22" t="n">
        <v>210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6644391540</v>
      </c>
      <c r="AE22" t="n">
        <v>2</v>
      </c>
      <c r="AF22" t="inlineStr">
        <is>
          <t>RECOGIDO</t>
        </is>
      </c>
      <c r="AG22" t="n">
        <v>1.505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20240515</v>
      </c>
      <c r="AM22" t="inlineStr">
        <is>
          <t>DW82-900008817-10000437</t>
        </is>
      </c>
    </row>
    <row r="23">
      <c r="A23" t="inlineStr">
        <is>
          <t>900008817DW8210000137</t>
        </is>
      </c>
      <c r="B23" t="inlineStr">
        <is>
          <t>4600069514-60</t>
        </is>
      </c>
      <c r="C23" t="n">
        <v>4600069514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900008817</v>
      </c>
      <c r="H23" t="inlineStr">
        <is>
          <t>SF TC-REC PETROLOGIA E INGENIERIA</t>
        </is>
      </c>
      <c r="I23" t="n">
        <v>5093347</v>
      </c>
      <c r="J23" t="inlineStr">
        <is>
          <t>PETROLOGIA E INGENIERIA AVANZADA SA</t>
        </is>
      </c>
      <c r="K23" t="inlineStr">
        <is>
          <t>Z09</t>
        </is>
      </c>
      <c r="L23" t="inlineStr">
        <is>
          <t>(AP) 90 Dias</t>
        </is>
      </c>
      <c r="M23" t="n">
        <v>10000137</v>
      </c>
      <c r="N23" t="inlineStr">
        <is>
          <t>Arena Triturada Basalto Malla 5</t>
        </is>
      </c>
      <c r="O23" t="inlineStr">
        <is>
          <t>DW82</t>
        </is>
      </c>
      <c r="P23" t="inlineStr">
        <is>
          <t>MX-CED. DURANGO</t>
        </is>
      </c>
      <c r="Q23" t="n">
        <v>20240513</v>
      </c>
      <c r="R23" t="n">
        <v>20291231</v>
      </c>
      <c r="S23" t="n">
        <v>20240716</v>
      </c>
      <c r="T23" t="n">
        <v>20291231</v>
      </c>
      <c r="U23" t="n">
        <v>315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6644391540</v>
      </c>
      <c r="AE23" t="n">
        <v>2</v>
      </c>
      <c r="AF23" t="inlineStr">
        <is>
          <t>RECOGIDO</t>
        </is>
      </c>
      <c r="AG23" t="n">
        <v>1.7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20240717</v>
      </c>
      <c r="AM23" t="inlineStr">
        <is>
          <t>DW82-900008817-10000137</t>
        </is>
      </c>
    </row>
    <row r="24">
      <c r="A24" t="inlineStr">
        <is>
          <t>900008817DW8210000151</t>
        </is>
      </c>
      <c r="B24" t="inlineStr">
        <is>
          <t>4600069514-20</t>
        </is>
      </c>
      <c r="C24" t="n">
        <v>4600069514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900008817</v>
      </c>
      <c r="H24" t="inlineStr">
        <is>
          <t>SF TC-REC PETROLOGIA E INGENIERIA</t>
        </is>
      </c>
      <c r="I24" t="n">
        <v>5093347</v>
      </c>
      <c r="J24" t="inlineStr">
        <is>
          <t>PETROLOGIA E INGENIERIA AVANZADA SA</t>
        </is>
      </c>
      <c r="K24" t="inlineStr">
        <is>
          <t>Z09</t>
        </is>
      </c>
      <c r="L24" t="inlineStr">
        <is>
          <t>(AP) 90 Dias</t>
        </is>
      </c>
      <c r="M24" t="n">
        <v>10000151</v>
      </c>
      <c r="N24" t="inlineStr">
        <is>
          <t>Grava Triturada Basalto 10 mm - 3/8"</t>
        </is>
      </c>
      <c r="O24" t="inlineStr">
        <is>
          <t>DW82</t>
        </is>
      </c>
      <c r="P24" t="inlineStr">
        <is>
          <t>MX-CED. DURANGO</t>
        </is>
      </c>
      <c r="Q24" t="n">
        <v>20240513</v>
      </c>
      <c r="R24" t="n">
        <v>20291231</v>
      </c>
      <c r="S24" t="n">
        <v>20240513</v>
      </c>
      <c r="T24" t="n">
        <v>20291231</v>
      </c>
      <c r="U24" t="n">
        <v>290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6644391540</v>
      </c>
      <c r="AE24" t="n">
        <v>2</v>
      </c>
      <c r="AF24" t="inlineStr">
        <is>
          <t>RECOGIDO</t>
        </is>
      </c>
      <c r="AG24" t="n">
        <v>1.5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20240515</v>
      </c>
      <c r="AM24" t="inlineStr">
        <is>
          <t>DW82-900008817-10000151</t>
        </is>
      </c>
    </row>
    <row r="25">
      <c r="A25" t="inlineStr">
        <is>
          <t>900008817DW8210179731</t>
        </is>
      </c>
      <c r="B25" t="inlineStr">
        <is>
          <t>4600069514-30</t>
        </is>
      </c>
      <c r="C25" t="n">
        <v>4600069514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900008817</v>
      </c>
      <c r="H25" t="inlineStr">
        <is>
          <t>SF TC-REC PETROLOGIA E INGENIERIA</t>
        </is>
      </c>
      <c r="I25" t="n">
        <v>5093347</v>
      </c>
      <c r="J25" t="inlineStr">
        <is>
          <t>PETROLOGIA E INGENIERIA AVANZADA SA</t>
        </is>
      </c>
      <c r="K25" t="inlineStr">
        <is>
          <t>Z09</t>
        </is>
      </c>
      <c r="L25" t="inlineStr">
        <is>
          <t>(AP) 90 Dias</t>
        </is>
      </c>
      <c r="M25" t="n">
        <v>10179731</v>
      </c>
      <c r="N25" t="inlineStr">
        <is>
          <t>BASE H TRITURADA BASALTO  1 1/2" A FINOS</t>
        </is>
      </c>
      <c r="O25" t="inlineStr">
        <is>
          <t>DW82</t>
        </is>
      </c>
      <c r="P25" t="inlineStr">
        <is>
          <t>MX-CED. DURANGO</t>
        </is>
      </c>
      <c r="Q25" t="n">
        <v>20240513</v>
      </c>
      <c r="R25" t="n">
        <v>20291231</v>
      </c>
      <c r="S25" t="n">
        <v>20240513</v>
      </c>
      <c r="T25" t="n">
        <v>20291231</v>
      </c>
      <c r="U25" t="n">
        <v>205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56103590</v>
      </c>
      <c r="AD25" t="n">
        <v>6644391540</v>
      </c>
      <c r="AE25" t="n">
        <v>2</v>
      </c>
      <c r="AF25" t="inlineStr">
        <is>
          <t>RECOGIDO</t>
        </is>
      </c>
      <c r="AG25" t="n">
        <v>1.619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20240606</v>
      </c>
      <c r="AM25" t="inlineStr">
        <is>
          <t>DW82-900008817-10179731</t>
        </is>
      </c>
    </row>
    <row r="26">
      <c r="A26" t="inlineStr">
        <is>
          <t>900005956DW82D15210164161</t>
        </is>
      </c>
      <c r="B26" t="inlineStr">
        <is>
          <t>4600050369-10</t>
        </is>
      </c>
      <c r="C26" t="n">
        <v>4600050369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900005956</v>
      </c>
      <c r="H26" t="inlineStr">
        <is>
          <t>SF TC- ED- HOMERO SAMUEL HERDANDEZ</t>
        </is>
      </c>
      <c r="I26" t="n">
        <v>5005214</v>
      </c>
      <c r="J26" t="inlineStr">
        <is>
          <t>HERNANDEZ TUERO HOMERO SAMUEL</t>
        </is>
      </c>
      <c r="K26" t="inlineStr">
        <is>
          <t>N90</t>
        </is>
      </c>
      <c r="L26" t="inlineStr">
        <is>
          <t>(AP) NAFIN 90 Dias</t>
        </is>
      </c>
      <c r="M26" t="n">
        <v>10164161</v>
      </c>
      <c r="N26" t="inlineStr">
        <is>
          <t>ARENA CLASIFICADA RÍO MALLA 4</t>
        </is>
      </c>
      <c r="O26" t="inlineStr">
        <is>
          <t>DW82</t>
        </is>
      </c>
      <c r="P26" t="inlineStr">
        <is>
          <t>MX-CED. DURANGO</t>
        </is>
      </c>
      <c r="Q26" t="n">
        <v>20210801</v>
      </c>
      <c r="R26" t="n">
        <v>20291231</v>
      </c>
      <c r="S26" t="n">
        <v>20240429</v>
      </c>
      <c r="T26" t="n">
        <v>20291231</v>
      </c>
      <c r="U26" t="n">
        <v>230</v>
      </c>
      <c r="V26" t="inlineStr">
        <is>
          <t>MXN</t>
        </is>
      </c>
      <c r="W26" t="inlineStr">
        <is>
          <t>TN</t>
        </is>
      </c>
      <c r="X26" t="n">
        <v>46</v>
      </c>
      <c r="Y26" t="inlineStr">
        <is>
          <t>MXN</t>
        </is>
      </c>
      <c r="Z26" t="inlineStr">
        <is>
          <t>TN</t>
        </is>
      </c>
      <c r="AA26" t="inlineStr">
        <is>
          <t>D152</t>
        </is>
      </c>
      <c r="AB26" t="inlineStr">
        <is>
          <t>SICLO-PD034 DURANGO</t>
        </is>
      </c>
      <c r="AC26" t="n">
        <v>56103638</v>
      </c>
      <c r="AD26" t="n">
        <v>6644391540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20240524</v>
      </c>
      <c r="AM26" t="inlineStr">
        <is>
          <t>DW82-900005956-D152-10164161-4</t>
        </is>
      </c>
    </row>
    <row r="27">
      <c r="A27" t="inlineStr">
        <is>
          <t>900008816DW82D15210000413</t>
        </is>
      </c>
      <c r="B27" t="inlineStr">
        <is>
          <t>4600069513-100</t>
        </is>
      </c>
      <c r="C27" t="n">
        <v>4600069513</v>
      </c>
      <c r="D27" t="n">
        <v>100</v>
      </c>
      <c r="E27" t="inlineStr">
        <is>
          <t>MXPO</t>
        </is>
      </c>
      <c r="F27" t="inlineStr">
        <is>
          <t>MXL</t>
        </is>
      </c>
      <c r="G27" t="n">
        <v>900008816</v>
      </c>
      <c r="H27" t="inlineStr">
        <is>
          <t>SF TC-ED PETROLOGIA E INGENIERIA</t>
        </is>
      </c>
      <c r="I27" t="n">
        <v>5093347</v>
      </c>
      <c r="J27" t="inlineStr">
        <is>
          <t>PETROLOGIA E INGENIERIA AVANZADA SA</t>
        </is>
      </c>
      <c r="K27" t="inlineStr">
        <is>
          <t>Z09</t>
        </is>
      </c>
      <c r="L27" t="inlineStr">
        <is>
          <t>(AP) 90 Dias</t>
        </is>
      </c>
      <c r="M27" t="n">
        <v>10000413</v>
      </c>
      <c r="N27" t="inlineStr">
        <is>
          <t>Grava Triturada Basalto 40 mm - 1 1/2"</t>
        </is>
      </c>
      <c r="O27" t="inlineStr">
        <is>
          <t>DW82</t>
        </is>
      </c>
      <c r="P27" t="inlineStr">
        <is>
          <t>MX-CED. DURANGO</t>
        </is>
      </c>
      <c r="Q27" t="n">
        <v>20240513</v>
      </c>
      <c r="R27" t="n">
        <v>20291231</v>
      </c>
      <c r="S27" t="n">
        <v>20250210</v>
      </c>
      <c r="T27" t="n">
        <v>20301231</v>
      </c>
      <c r="U27" t="n">
        <v>200.88</v>
      </c>
      <c r="V27" t="inlineStr">
        <is>
          <t>MXN</t>
        </is>
      </c>
      <c r="W27" t="inlineStr">
        <is>
          <t>TN</t>
        </is>
      </c>
      <c r="X27" t="n">
        <v>37.8</v>
      </c>
      <c r="Y27" t="inlineStr">
        <is>
          <t>MXN</t>
        </is>
      </c>
      <c r="Z27" t="inlineStr">
        <is>
          <t>TN</t>
        </is>
      </c>
      <c r="AA27" t="inlineStr">
        <is>
          <t>D152</t>
        </is>
      </c>
      <c r="AB27" t="inlineStr">
        <is>
          <t>SICLO-PD034 DURANGO</t>
        </is>
      </c>
      <c r="AC27" t="n">
        <v>56103637</v>
      </c>
      <c r="AD27" t="n">
        <v>6644391540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20250221</v>
      </c>
      <c r="AM27" t="inlineStr">
        <is>
          <t>DW82-900008816-D152-10000413-4</t>
        </is>
      </c>
    </row>
    <row r="28">
      <c r="A28" t="inlineStr">
        <is>
          <t>900008816DW82D15210000151</t>
        </is>
      </c>
      <c r="B28" t="inlineStr">
        <is>
          <t>4600069513-120</t>
        </is>
      </c>
      <c r="C28" t="n">
        <v>4600069513</v>
      </c>
      <c r="D28" t="n">
        <v>120</v>
      </c>
      <c r="E28" t="inlineStr">
        <is>
          <t>MXPO</t>
        </is>
      </c>
      <c r="F28" t="inlineStr">
        <is>
          <t>MXL</t>
        </is>
      </c>
      <c r="G28" t="n">
        <v>900008816</v>
      </c>
      <c r="H28" t="inlineStr">
        <is>
          <t>SF TC-ED PETROLOGIA E INGENIERIA</t>
        </is>
      </c>
      <c r="I28" t="n">
        <v>5093347</v>
      </c>
      <c r="J28" t="inlineStr">
        <is>
          <t>PETROLOGIA E INGENIERIA AVANZADA SA</t>
        </is>
      </c>
      <c r="K28" t="inlineStr">
        <is>
          <t>Z09</t>
        </is>
      </c>
      <c r="L28" t="inlineStr">
        <is>
          <t>(AP) 90 Dias</t>
        </is>
      </c>
      <c r="M28" t="n">
        <v>10000151</v>
      </c>
      <c r="N28" t="inlineStr">
        <is>
          <t>Grava Triturada Basalto 10 mm - 3/8"</t>
        </is>
      </c>
      <c r="O28" t="inlineStr">
        <is>
          <t>DW82</t>
        </is>
      </c>
      <c r="P28" t="inlineStr">
        <is>
          <t>MX-CED. DURANGO</t>
        </is>
      </c>
      <c r="Q28" t="n">
        <v>20240513</v>
      </c>
      <c r="R28" t="n">
        <v>20291231</v>
      </c>
      <c r="S28" t="n">
        <v>20250210</v>
      </c>
      <c r="T28" t="n">
        <v>20301231</v>
      </c>
      <c r="U28" t="n">
        <v>278.06</v>
      </c>
      <c r="V28" t="inlineStr">
        <is>
          <t>MXN</t>
        </is>
      </c>
      <c r="W28" t="inlineStr">
        <is>
          <t>TN</t>
        </is>
      </c>
      <c r="X28" t="n">
        <v>40.46</v>
      </c>
      <c r="Y28" t="inlineStr">
        <is>
          <t>MXN</t>
        </is>
      </c>
      <c r="Z28" t="inlineStr">
        <is>
          <t>TN</t>
        </is>
      </c>
      <c r="AA28" t="inlineStr">
        <is>
          <t>D152</t>
        </is>
      </c>
      <c r="AB28" t="inlineStr">
        <is>
          <t>SICLO-PD034 DURANGO</t>
        </is>
      </c>
      <c r="AC28" t="n">
        <v>56103637</v>
      </c>
      <c r="AD28" t="n">
        <v>6644391540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20250221</v>
      </c>
      <c r="AM28" t="inlineStr">
        <is>
          <t>DW82-900008816-D152-10000151-4</t>
        </is>
      </c>
    </row>
    <row r="29">
      <c r="A29" t="inlineStr">
        <is>
          <t>900008816DW82D15210000437</t>
        </is>
      </c>
      <c r="B29" t="inlineStr">
        <is>
          <t>4600069513-90</t>
        </is>
      </c>
      <c r="C29" t="n">
        <v>4600069513</v>
      </c>
      <c r="D29" t="n">
        <v>90</v>
      </c>
      <c r="E29" t="inlineStr">
        <is>
          <t>MXPO</t>
        </is>
      </c>
      <c r="F29" t="inlineStr">
        <is>
          <t>MXL</t>
        </is>
      </c>
      <c r="G29" t="n">
        <v>900008816</v>
      </c>
      <c r="H29" t="inlineStr">
        <is>
          <t>SF TC-ED PETROLOGIA E INGENIERIA</t>
        </is>
      </c>
      <c r="I29" t="n">
        <v>5093347</v>
      </c>
      <c r="J29" t="inlineStr">
        <is>
          <t>PETROLOGIA E INGENIERIA AVANZADA SA</t>
        </is>
      </c>
      <c r="K29" t="inlineStr">
        <is>
          <t>Z09</t>
        </is>
      </c>
      <c r="L29" t="inlineStr">
        <is>
          <t>(AP) 90 Dias</t>
        </is>
      </c>
      <c r="M29" t="n">
        <v>10000437</v>
      </c>
      <c r="N29" t="inlineStr">
        <is>
          <t>Grava Triturada Basalto 20 mm - 3/4"</t>
        </is>
      </c>
      <c r="O29" t="inlineStr">
        <is>
          <t>DW82</t>
        </is>
      </c>
      <c r="P29" t="inlineStr">
        <is>
          <t>MX-CED. DURANGO</t>
        </is>
      </c>
      <c r="Q29" t="n">
        <v>20240513</v>
      </c>
      <c r="R29" t="n">
        <v>20291231</v>
      </c>
      <c r="S29" t="n">
        <v>20250210</v>
      </c>
      <c r="T29" t="n">
        <v>20301231</v>
      </c>
      <c r="U29" t="n">
        <v>204.12</v>
      </c>
      <c r="V29" t="inlineStr">
        <is>
          <t>MXN</t>
        </is>
      </c>
      <c r="W29" t="inlineStr">
        <is>
          <t>TN</t>
        </is>
      </c>
      <c r="X29" t="n">
        <v>38.88</v>
      </c>
      <c r="Y29" t="inlineStr">
        <is>
          <t>MXN</t>
        </is>
      </c>
      <c r="Z29" t="inlineStr">
        <is>
          <t>TN</t>
        </is>
      </c>
      <c r="AA29" t="inlineStr">
        <is>
          <t>D152</t>
        </is>
      </c>
      <c r="AB29" t="inlineStr">
        <is>
          <t>SICLO-PD034 DURANGO</t>
        </is>
      </c>
      <c r="AC29" t="n">
        <v>56103637</v>
      </c>
      <c r="AD29" t="n">
        <v>6644391540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20250221</v>
      </c>
      <c r="AM29" t="inlineStr">
        <is>
          <t>DW82-900008816-D152-10000437-4</t>
        </is>
      </c>
    </row>
    <row r="30">
      <c r="A30" t="inlineStr">
        <is>
          <t>900008816DW82D15210000137</t>
        </is>
      </c>
      <c r="B30" t="inlineStr">
        <is>
          <t>4600069513-130</t>
        </is>
      </c>
      <c r="C30" t="n">
        <v>4600069513</v>
      </c>
      <c r="D30" t="n">
        <v>130</v>
      </c>
      <c r="E30" t="inlineStr">
        <is>
          <t>MXPO</t>
        </is>
      </c>
      <c r="F30" t="inlineStr">
        <is>
          <t>MXL</t>
        </is>
      </c>
      <c r="G30" t="n">
        <v>900008816</v>
      </c>
      <c r="H30" t="inlineStr">
        <is>
          <t>SF TC-ED PETROLOGIA E INGENIERIA</t>
        </is>
      </c>
      <c r="I30" t="n">
        <v>5093347</v>
      </c>
      <c r="J30" t="inlineStr">
        <is>
          <t>PETROLOGIA E INGENIERIA AVANZADA SA</t>
        </is>
      </c>
      <c r="K30" t="inlineStr">
        <is>
          <t>Z09</t>
        </is>
      </c>
      <c r="L30" t="inlineStr">
        <is>
          <t>(AP) 90 Dias</t>
        </is>
      </c>
      <c r="M30" t="n">
        <v>10000137</v>
      </c>
      <c r="N30" t="inlineStr">
        <is>
          <t>Arena Triturada Basalto Malla 5</t>
        </is>
      </c>
      <c r="O30" t="inlineStr">
        <is>
          <t>DW82</t>
        </is>
      </c>
      <c r="P30" t="inlineStr">
        <is>
          <t>MX-CED. DURANGO</t>
        </is>
      </c>
      <c r="Q30" t="n">
        <v>20240513</v>
      </c>
      <c r="R30" t="n">
        <v>20291231</v>
      </c>
      <c r="S30" t="n">
        <v>20250210</v>
      </c>
      <c r="T30" t="n">
        <v>20301231</v>
      </c>
      <c r="U30" t="n">
        <v>244.08</v>
      </c>
      <c r="V30" t="inlineStr">
        <is>
          <t>MXN</t>
        </is>
      </c>
      <c r="W30" t="inlineStr">
        <is>
          <t>TN</t>
        </is>
      </c>
      <c r="X30" t="n">
        <v>33.48</v>
      </c>
      <c r="Y30" t="inlineStr">
        <is>
          <t>MXN</t>
        </is>
      </c>
      <c r="Z30" t="inlineStr">
        <is>
          <t>TN</t>
        </is>
      </c>
      <c r="AA30" t="inlineStr">
        <is>
          <t>D152</t>
        </is>
      </c>
      <c r="AB30" t="inlineStr">
        <is>
          <t>SICLO-PD034 DURANGO</t>
        </is>
      </c>
      <c r="AC30" t="n">
        <v>56103638</v>
      </c>
      <c r="AD30" t="n">
        <v>6644391540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20250221</v>
      </c>
      <c r="AM30" t="inlineStr">
        <is>
          <t>DW82-900008816-D152-10000137-4</t>
        </is>
      </c>
    </row>
    <row r="31">
      <c r="A31" t="inlineStr">
        <is>
          <t>900007460DW8210164161</t>
        </is>
      </c>
      <c r="B31" t="inlineStr">
        <is>
          <t>4600052868-10</t>
        </is>
      </c>
      <c r="C31" t="n">
        <v>4600052868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900007460</v>
      </c>
      <c r="H31" t="inlineStr">
        <is>
          <t>SF TP-VTA CRUZADA SHHT</t>
        </is>
      </c>
      <c r="I31" t="n">
        <v>5005214</v>
      </c>
      <c r="J31" t="inlineStr">
        <is>
          <t>HERNANDEZ TUERO HOMERO SAMUEL</t>
        </is>
      </c>
      <c r="K31" t="inlineStr">
        <is>
          <t>N90</t>
        </is>
      </c>
      <c r="L31" t="inlineStr">
        <is>
          <t>(AP) NAFIN 90 Dias</t>
        </is>
      </c>
      <c r="M31" t="n">
        <v>10164161</v>
      </c>
      <c r="N31" t="inlineStr">
        <is>
          <t>ARENA CLASIFICADA RÍO MALLA 4</t>
        </is>
      </c>
      <c r="O31" t="inlineStr">
        <is>
          <t>DW82</t>
        </is>
      </c>
      <c r="P31" t="inlineStr">
        <is>
          <t>MX-CED. DURANGO</t>
        </is>
      </c>
      <c r="Q31" t="n">
        <v>20220117</v>
      </c>
      <c r="R31" t="n">
        <v>20271231</v>
      </c>
      <c r="S31" t="n">
        <v>20220112</v>
      </c>
      <c r="T31" t="n">
        <v>20271231</v>
      </c>
      <c r="U31" t="n">
        <v>84.38</v>
      </c>
      <c r="V31" t="inlineStr">
        <is>
          <t>MXN</t>
        </is>
      </c>
      <c r="W31" t="inlineStr">
        <is>
          <t>TN</t>
        </is>
      </c>
      <c r="AC31" t="n">
        <v>56103638</v>
      </c>
      <c r="AD31" t="n">
        <v>6644391540</v>
      </c>
      <c r="AE31" t="n">
        <v>1</v>
      </c>
      <c r="AF31" t="inlineStr">
        <is>
          <t>ENTREGADO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DW82-900007460-10164161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2026-09-14T14:23:32Z</dcterms:created>
  <dcterms:modified xsi:type="dcterms:W3CDTF">2026-09-14T14:23:33Z</dcterms:modified>
</cp:coreProperties>
</file>