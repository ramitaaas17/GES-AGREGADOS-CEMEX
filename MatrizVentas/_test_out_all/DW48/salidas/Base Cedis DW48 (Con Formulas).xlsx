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4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900008664</v>
      </c>
      <c r="D3" s="7">
        <f>IFERROR(VLOOKUP(C3,TRAOPE!$G:$H,2,0),"")</f>
        <v/>
      </c>
      <c r="E3" s="8" t="inlineStr">
        <is>
          <t>DW48</t>
        </is>
      </c>
      <c r="F3" s="8" t="inlineStr">
        <is>
          <t>ER72</t>
        </is>
      </c>
      <c r="G3" s="8">
        <f>IFERROR(VLOOKUP(A3,Flete!$A:$E,5,0),"")</f>
        <v/>
      </c>
      <c r="H3" s="7">
        <f>IFERROR(VLOOKUP(F3,TRAOPE!$AA:$AB,2,0),"")</f>
        <v/>
      </c>
      <c r="I3" s="7" t="n">
        <v>10252050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20240223</t>
        </is>
      </c>
      <c r="M3" s="8" t="inlineStr">
        <is>
          <t>99991231</t>
        </is>
      </c>
      <c r="N3" s="10" t="n">
        <v>638.95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900008664</v>
      </c>
      <c r="D4" s="7">
        <f>IFERROR(VLOOKUP(C4,TRAOPE!$G:$H,2,0),"")</f>
        <v/>
      </c>
      <c r="E4" s="8" t="inlineStr">
        <is>
          <t>DW48</t>
        </is>
      </c>
      <c r="F4" s="8" t="inlineStr">
        <is>
          <t>ER72</t>
        </is>
      </c>
      <c r="G4" s="8">
        <f>IFERROR(VLOOKUP(A4,Flete!$A:$E,5,0),"")</f>
        <v/>
      </c>
      <c r="H4" s="7">
        <f>IFERROR(VLOOKUP(F4,TRAOPE!$AA:$AB,2,0),"")</f>
        <v/>
      </c>
      <c r="I4" s="7" t="n">
        <v>10252051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20240223</t>
        </is>
      </c>
      <c r="M4" s="8" t="inlineStr">
        <is>
          <t>99991231</t>
        </is>
      </c>
      <c r="N4" s="10" t="n">
        <v>597.46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900008664</v>
      </c>
      <c r="D5" s="7">
        <f>IFERROR(VLOOKUP(C5,TRAOPE!$G:$H,2,0),"")</f>
        <v/>
      </c>
      <c r="E5" s="8" t="inlineStr">
        <is>
          <t>DW48</t>
        </is>
      </c>
      <c r="F5" s="8" t="inlineStr">
        <is>
          <t>ER72</t>
        </is>
      </c>
      <c r="G5" s="8">
        <f>IFERROR(VLOOKUP(A5,Flete!$A:$E,5,0),"")</f>
        <v/>
      </c>
      <c r="H5" s="7">
        <f>IFERROR(VLOOKUP(F5,TRAOPE!$AA:$AB,2,0),"")</f>
        <v/>
      </c>
      <c r="I5" s="7" t="n">
        <v>10254171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20240223</t>
        </is>
      </c>
      <c r="M5" s="8" t="inlineStr">
        <is>
          <t>99991231</t>
        </is>
      </c>
      <c r="N5" s="10" t="n">
        <v>522.4299999999999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900008700</v>
      </c>
      <c r="D6" s="7">
        <f>IFERROR(VLOOKUP(C6,TRAOPE!$G:$H,2,0),"")</f>
        <v/>
      </c>
      <c r="E6" s="8" t="inlineStr">
        <is>
          <t>DW48</t>
        </is>
      </c>
      <c r="F6" s="8" t="inlineStr">
        <is>
          <t>ER72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10172330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20240503</t>
        </is>
      </c>
      <c r="M6" s="8" t="inlineStr">
        <is>
          <t>99991231</t>
        </is>
      </c>
      <c r="N6" s="10" t="n">
        <v>638.95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900008700</v>
      </c>
      <c r="D7" s="7">
        <f>IFERROR(VLOOKUP(C7,TRAOPE!$G:$H,2,0),"")</f>
        <v/>
      </c>
      <c r="E7" s="8" t="inlineStr">
        <is>
          <t>DW48</t>
        </is>
      </c>
      <c r="F7" s="8" t="inlineStr">
        <is>
          <t>ER72</t>
        </is>
      </c>
      <c r="G7" s="8">
        <f>IFERROR(VLOOKUP(A7,Flete!$A:$E,5,0),"")</f>
        <v/>
      </c>
      <c r="H7" s="7">
        <f>IFERROR(VLOOKUP(F7,TRAOPE!$AA:$AB,2,0),"")</f>
        <v/>
      </c>
      <c r="I7" s="7" t="n">
        <v>10252051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20240503</t>
        </is>
      </c>
      <c r="M7" s="8" t="inlineStr">
        <is>
          <t>99991231</t>
        </is>
      </c>
      <c r="N7" s="10" t="n">
        <v>597.46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900008700</v>
      </c>
      <c r="D8" s="7">
        <f>IFERROR(VLOOKUP(C8,TRAOPE!$G:$H,2,0),"")</f>
        <v/>
      </c>
      <c r="E8" s="8" t="inlineStr">
        <is>
          <t>DW48</t>
        </is>
      </c>
      <c r="F8" s="8" t="inlineStr">
        <is>
          <t>ER72</t>
        </is>
      </c>
      <c r="G8" s="8">
        <f>IFERROR(VLOOKUP(A8,Flete!$A:$E,5,0),"")</f>
        <v/>
      </c>
      <c r="H8" s="7">
        <f>IFERROR(VLOOKUP(F8,TRAOPE!$AA:$AB,2,0),"")</f>
        <v/>
      </c>
      <c r="I8" s="7" t="n">
        <v>10254171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20240503</t>
        </is>
      </c>
      <c r="M8" s="8" t="inlineStr">
        <is>
          <t>99991231</t>
        </is>
      </c>
      <c r="N8" s="10" t="n">
        <v>522.4299999999999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900008701</v>
      </c>
      <c r="D9" s="7">
        <f>IFERROR(VLOOKUP(C9,TRAOPE!$G:$H,2,0),"")</f>
        <v/>
      </c>
      <c r="E9" s="8" t="inlineStr">
        <is>
          <t>DW48</t>
        </is>
      </c>
      <c r="F9" s="8" t="inlineStr">
        <is>
          <t>ER72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10172330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20240503</t>
        </is>
      </c>
      <c r="M9" s="8" t="inlineStr">
        <is>
          <t>99991231</t>
        </is>
      </c>
      <c r="N9" s="10" t="n">
        <v>638.95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900008701</v>
      </c>
      <c r="D10" s="7">
        <f>IFERROR(VLOOKUP(C10,TRAOPE!$G:$H,2,0),"")</f>
        <v/>
      </c>
      <c r="E10" s="8" t="inlineStr">
        <is>
          <t>DW48</t>
        </is>
      </c>
      <c r="F10" s="8" t="inlineStr">
        <is>
          <t>ER72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10252051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20240503</t>
        </is>
      </c>
      <c r="M10" s="8" t="inlineStr">
        <is>
          <t>99991231</t>
        </is>
      </c>
      <c r="N10" s="10" t="n">
        <v>597.46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900008701</v>
      </c>
      <c r="D11" s="7">
        <f>IFERROR(VLOOKUP(C11,TRAOPE!$G:$H,2,0),"")</f>
        <v/>
      </c>
      <c r="E11" s="8" t="inlineStr">
        <is>
          <t>DW48</t>
        </is>
      </c>
      <c r="F11" s="8" t="inlineStr">
        <is>
          <t>ER72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10254171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20240503</t>
        </is>
      </c>
      <c r="M11" s="8" t="inlineStr">
        <is>
          <t>99991231</t>
        </is>
      </c>
      <c r="N11" s="10" t="n">
        <v>522.4299999999999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900008664</t>
        </is>
      </c>
      <c r="B2" t="inlineStr">
        <is>
          <t>DW48</t>
        </is>
      </c>
      <c r="C2" t="inlineStr">
        <is>
          <t>ER72</t>
        </is>
      </c>
      <c r="D2" t="inlineStr">
        <is>
          <t>10252050</t>
        </is>
      </c>
      <c r="E2" t="inlineStr"/>
      <c r="F2" s="11" t="n">
        <v>638.95</v>
      </c>
      <c r="G2" t="inlineStr"/>
      <c r="I2" t="inlineStr">
        <is>
          <t>TN</t>
        </is>
      </c>
      <c r="J2" t="inlineStr"/>
      <c r="K2" t="inlineStr">
        <is>
          <t>20240223</t>
        </is>
      </c>
      <c r="L2" t="inlineStr">
        <is>
          <t>99991231</t>
        </is>
      </c>
    </row>
    <row r="3">
      <c r="A3" t="inlineStr">
        <is>
          <t>900008664</t>
        </is>
      </c>
      <c r="B3" t="inlineStr">
        <is>
          <t>DW48</t>
        </is>
      </c>
      <c r="C3" t="inlineStr">
        <is>
          <t>ER72</t>
        </is>
      </c>
      <c r="D3" t="inlineStr">
        <is>
          <t>10252051</t>
        </is>
      </c>
      <c r="E3" t="inlineStr"/>
      <c r="F3" s="11" t="n">
        <v>597.46</v>
      </c>
      <c r="G3" t="inlineStr"/>
      <c r="I3" t="inlineStr">
        <is>
          <t>TN</t>
        </is>
      </c>
      <c r="J3" t="inlineStr"/>
      <c r="K3" t="inlineStr">
        <is>
          <t>20240223</t>
        </is>
      </c>
      <c r="L3" t="inlineStr">
        <is>
          <t>99991231</t>
        </is>
      </c>
    </row>
    <row r="4">
      <c r="A4" t="inlineStr">
        <is>
          <t>900008664</t>
        </is>
      </c>
      <c r="B4" t="inlineStr">
        <is>
          <t>DW48</t>
        </is>
      </c>
      <c r="C4" t="inlineStr">
        <is>
          <t>ER72</t>
        </is>
      </c>
      <c r="D4" t="inlineStr">
        <is>
          <t>10254171</t>
        </is>
      </c>
      <c r="E4" t="inlineStr"/>
      <c r="F4" s="11" t="n">
        <v>522.4299999999999</v>
      </c>
      <c r="G4" t="inlineStr"/>
      <c r="I4" t="inlineStr">
        <is>
          <t>TN</t>
        </is>
      </c>
      <c r="J4" t="inlineStr"/>
      <c r="K4" t="inlineStr">
        <is>
          <t>20240223</t>
        </is>
      </c>
      <c r="L4" t="inlineStr">
        <is>
          <t>99991231</t>
        </is>
      </c>
    </row>
    <row r="5">
      <c r="A5" t="inlineStr">
        <is>
          <t>900008700</t>
        </is>
      </c>
      <c r="B5" t="inlineStr">
        <is>
          <t>DW48</t>
        </is>
      </c>
      <c r="C5" t="inlineStr">
        <is>
          <t>ER72</t>
        </is>
      </c>
      <c r="D5" t="inlineStr">
        <is>
          <t>10172330</t>
        </is>
      </c>
      <c r="E5" t="inlineStr"/>
      <c r="F5" s="11" t="n">
        <v>638.95</v>
      </c>
      <c r="G5" t="inlineStr"/>
      <c r="I5" t="inlineStr">
        <is>
          <t>TN</t>
        </is>
      </c>
      <c r="J5" t="inlineStr"/>
      <c r="K5" t="inlineStr">
        <is>
          <t>20240503</t>
        </is>
      </c>
      <c r="L5" t="inlineStr">
        <is>
          <t>99991231</t>
        </is>
      </c>
    </row>
    <row r="6">
      <c r="A6" t="inlineStr">
        <is>
          <t>900008700</t>
        </is>
      </c>
      <c r="B6" t="inlineStr">
        <is>
          <t>DW48</t>
        </is>
      </c>
      <c r="C6" t="inlineStr">
        <is>
          <t>ER72</t>
        </is>
      </c>
      <c r="D6" t="inlineStr">
        <is>
          <t>10252051</t>
        </is>
      </c>
      <c r="E6" t="inlineStr"/>
      <c r="F6" s="11" t="n">
        <v>597.46</v>
      </c>
      <c r="G6" t="inlineStr"/>
      <c r="I6" t="inlineStr">
        <is>
          <t>TN</t>
        </is>
      </c>
      <c r="J6" t="inlineStr"/>
      <c r="K6" t="inlineStr">
        <is>
          <t>20240503</t>
        </is>
      </c>
      <c r="L6" t="inlineStr">
        <is>
          <t>99991231</t>
        </is>
      </c>
    </row>
    <row r="7">
      <c r="A7" t="inlineStr">
        <is>
          <t>900008700</t>
        </is>
      </c>
      <c r="B7" t="inlineStr">
        <is>
          <t>DW48</t>
        </is>
      </c>
      <c r="C7" t="inlineStr">
        <is>
          <t>ER72</t>
        </is>
      </c>
      <c r="D7" t="inlineStr">
        <is>
          <t>10254171</t>
        </is>
      </c>
      <c r="E7" t="inlineStr"/>
      <c r="F7" s="11" t="n">
        <v>522.4299999999999</v>
      </c>
      <c r="G7" t="inlineStr"/>
      <c r="I7" t="inlineStr">
        <is>
          <t>TN</t>
        </is>
      </c>
      <c r="J7" t="inlineStr"/>
      <c r="K7" t="inlineStr">
        <is>
          <t>20240503</t>
        </is>
      </c>
      <c r="L7" t="inlineStr">
        <is>
          <t>99991231</t>
        </is>
      </c>
    </row>
    <row r="8">
      <c r="A8" t="inlineStr">
        <is>
          <t>900008701</t>
        </is>
      </c>
      <c r="B8" t="inlineStr">
        <is>
          <t>DW48</t>
        </is>
      </c>
      <c r="C8" t="inlineStr">
        <is>
          <t>ER72</t>
        </is>
      </c>
      <c r="D8" t="inlineStr">
        <is>
          <t>10172330</t>
        </is>
      </c>
      <c r="E8" t="inlineStr"/>
      <c r="F8" s="11" t="n">
        <v>638.95</v>
      </c>
      <c r="G8" t="inlineStr"/>
      <c r="I8" t="inlineStr">
        <is>
          <t>TN</t>
        </is>
      </c>
      <c r="J8" t="inlineStr"/>
      <c r="K8" t="inlineStr">
        <is>
          <t>20240503</t>
        </is>
      </c>
      <c r="L8" t="inlineStr">
        <is>
          <t>99991231</t>
        </is>
      </c>
    </row>
    <row r="9">
      <c r="A9" t="inlineStr">
        <is>
          <t>900008701</t>
        </is>
      </c>
      <c r="B9" t="inlineStr">
        <is>
          <t>DW48</t>
        </is>
      </c>
      <c r="C9" t="inlineStr">
        <is>
          <t>ER72</t>
        </is>
      </c>
      <c r="D9" t="inlineStr">
        <is>
          <t>10252051</t>
        </is>
      </c>
      <c r="E9" t="inlineStr"/>
      <c r="F9" s="11" t="n">
        <v>597.46</v>
      </c>
      <c r="G9" t="inlineStr"/>
      <c r="I9" t="inlineStr">
        <is>
          <t>TN</t>
        </is>
      </c>
      <c r="J9" t="inlineStr"/>
      <c r="K9" t="inlineStr">
        <is>
          <t>20240503</t>
        </is>
      </c>
      <c r="L9" t="inlineStr">
        <is>
          <t>99991231</t>
        </is>
      </c>
    </row>
    <row r="10">
      <c r="A10" t="inlineStr">
        <is>
          <t>900008701</t>
        </is>
      </c>
      <c r="B10" t="inlineStr">
        <is>
          <t>DW48</t>
        </is>
      </c>
      <c r="C10" t="inlineStr">
        <is>
          <t>ER72</t>
        </is>
      </c>
      <c r="D10" t="inlineStr">
        <is>
          <t>10254171</t>
        </is>
      </c>
      <c r="E10" t="inlineStr"/>
      <c r="F10" s="11" t="n">
        <v>522.4299999999999</v>
      </c>
      <c r="G10" t="inlineStr"/>
      <c r="I10" t="inlineStr">
        <is>
          <t>TN</t>
        </is>
      </c>
      <c r="J10" t="inlineStr"/>
      <c r="K10" t="inlineStr">
        <is>
          <t>20240503</t>
        </is>
      </c>
      <c r="L10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900008664DW48ER7210252050</t>
        </is>
      </c>
      <c r="B2" t="inlineStr">
        <is>
          <t>900008664</t>
        </is>
      </c>
      <c r="C2" t="inlineStr">
        <is>
          <t>DW48</t>
        </is>
      </c>
      <c r="D2" t="inlineStr">
        <is>
          <t>ER72</t>
        </is>
      </c>
      <c r="E2" t="inlineStr">
        <is>
          <t>1</t>
        </is>
      </c>
      <c r="F2" t="inlineStr">
        <is>
          <t>10252050</t>
        </is>
      </c>
      <c r="H2" t="inlineStr"/>
      <c r="J2" t="n">
        <v>17.56</v>
      </c>
      <c r="K2" t="inlineStr"/>
      <c r="M2" t="inlineStr">
        <is>
          <t>TN</t>
        </is>
      </c>
      <c r="N2" t="inlineStr"/>
      <c r="P2" t="inlineStr">
        <is>
          <t>20240223</t>
        </is>
      </c>
      <c r="Q2" t="inlineStr">
        <is>
          <t>99991231</t>
        </is>
      </c>
    </row>
    <row r="3">
      <c r="A3" t="inlineStr">
        <is>
          <t>900008664DW48ER7210252051</t>
        </is>
      </c>
      <c r="B3" t="inlineStr">
        <is>
          <t>900008664</t>
        </is>
      </c>
      <c r="C3" t="inlineStr">
        <is>
          <t>DW48</t>
        </is>
      </c>
      <c r="D3" t="inlineStr">
        <is>
          <t>ER72</t>
        </is>
      </c>
      <c r="E3" t="inlineStr">
        <is>
          <t>1</t>
        </is>
      </c>
      <c r="F3" t="inlineStr">
        <is>
          <t>10252051</t>
        </is>
      </c>
      <c r="H3" t="inlineStr"/>
      <c r="J3" t="n">
        <v>16.42</v>
      </c>
      <c r="K3" t="inlineStr"/>
      <c r="M3" t="inlineStr">
        <is>
          <t>TN</t>
        </is>
      </c>
      <c r="N3" t="inlineStr"/>
      <c r="P3" t="inlineStr">
        <is>
          <t>20240223</t>
        </is>
      </c>
      <c r="Q3" t="inlineStr">
        <is>
          <t>99991231</t>
        </is>
      </c>
    </row>
    <row r="4">
      <c r="A4" t="inlineStr">
        <is>
          <t>900008664DW48ER7210254171</t>
        </is>
      </c>
      <c r="B4" t="inlineStr">
        <is>
          <t>900008664</t>
        </is>
      </c>
      <c r="C4" t="inlineStr">
        <is>
          <t>DW48</t>
        </is>
      </c>
      <c r="D4" t="inlineStr">
        <is>
          <t>ER72</t>
        </is>
      </c>
      <c r="E4" t="inlineStr">
        <is>
          <t>1</t>
        </is>
      </c>
      <c r="F4" t="inlineStr">
        <is>
          <t>10254171</t>
        </is>
      </c>
      <c r="H4" t="inlineStr"/>
      <c r="J4" t="n">
        <v>14.27</v>
      </c>
      <c r="K4" t="inlineStr"/>
      <c r="M4" t="inlineStr">
        <is>
          <t>TN</t>
        </is>
      </c>
      <c r="N4" t="inlineStr"/>
      <c r="P4" t="inlineStr">
        <is>
          <t>20240223</t>
        </is>
      </c>
      <c r="Q4" t="inlineStr">
        <is>
          <t>99991231</t>
        </is>
      </c>
    </row>
    <row r="5">
      <c r="A5" t="inlineStr">
        <is>
          <t>900008700DW48ER7210172330</t>
        </is>
      </c>
      <c r="B5" t="inlineStr">
        <is>
          <t>900008700</t>
        </is>
      </c>
      <c r="C5" t="inlineStr">
        <is>
          <t>DW48</t>
        </is>
      </c>
      <c r="D5" t="inlineStr">
        <is>
          <t>ER72</t>
        </is>
      </c>
      <c r="E5" t="inlineStr">
        <is>
          <t>1</t>
        </is>
      </c>
      <c r="F5" t="inlineStr">
        <is>
          <t>10172330</t>
        </is>
      </c>
      <c r="H5" t="inlineStr"/>
      <c r="J5" t="n">
        <v>17.56</v>
      </c>
      <c r="K5" t="inlineStr"/>
      <c r="M5" t="inlineStr">
        <is>
          <t>TN</t>
        </is>
      </c>
      <c r="N5" t="inlineStr"/>
      <c r="P5" t="inlineStr">
        <is>
          <t>20240503</t>
        </is>
      </c>
      <c r="Q5" t="inlineStr">
        <is>
          <t>99991231</t>
        </is>
      </c>
    </row>
    <row r="6">
      <c r="A6" t="inlineStr">
        <is>
          <t>900008700DW48ER7210252051</t>
        </is>
      </c>
      <c r="B6" t="inlineStr">
        <is>
          <t>900008700</t>
        </is>
      </c>
      <c r="C6" t="inlineStr">
        <is>
          <t>DW48</t>
        </is>
      </c>
      <c r="D6" t="inlineStr">
        <is>
          <t>ER72</t>
        </is>
      </c>
      <c r="E6" t="inlineStr">
        <is>
          <t>1</t>
        </is>
      </c>
      <c r="F6" t="inlineStr">
        <is>
          <t>10252051</t>
        </is>
      </c>
      <c r="H6" t="inlineStr"/>
      <c r="J6" t="n">
        <v>16.42</v>
      </c>
      <c r="K6" t="inlineStr"/>
      <c r="M6" t="inlineStr">
        <is>
          <t>TN</t>
        </is>
      </c>
      <c r="N6" t="inlineStr"/>
      <c r="P6" t="inlineStr">
        <is>
          <t>20240503</t>
        </is>
      </c>
      <c r="Q6" t="inlineStr">
        <is>
          <t>99991231</t>
        </is>
      </c>
    </row>
    <row r="7">
      <c r="A7" t="inlineStr">
        <is>
          <t>900008700DW48ER7210254171</t>
        </is>
      </c>
      <c r="B7" t="inlineStr">
        <is>
          <t>900008700</t>
        </is>
      </c>
      <c r="C7" t="inlineStr">
        <is>
          <t>DW48</t>
        </is>
      </c>
      <c r="D7" t="inlineStr">
        <is>
          <t>ER72</t>
        </is>
      </c>
      <c r="E7" t="inlineStr">
        <is>
          <t>1</t>
        </is>
      </c>
      <c r="F7" t="inlineStr">
        <is>
          <t>10254171</t>
        </is>
      </c>
      <c r="H7" t="inlineStr"/>
      <c r="J7" t="n">
        <v>14.27</v>
      </c>
      <c r="K7" t="inlineStr"/>
      <c r="M7" t="inlineStr">
        <is>
          <t>TN</t>
        </is>
      </c>
      <c r="N7" t="inlineStr"/>
      <c r="P7" t="inlineStr">
        <is>
          <t>20240503</t>
        </is>
      </c>
      <c r="Q7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900008701DW4810254171</t>
        </is>
      </c>
      <c r="B2" t="inlineStr">
        <is>
          <t>4600069477-30</t>
        </is>
      </c>
      <c r="C2" t="n">
        <v>4600069477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900008701</v>
      </c>
      <c r="H2" t="inlineStr">
        <is>
          <t>SF TC-RECOGIDO ROCK CRUSHERS TON</t>
        </is>
      </c>
      <c r="I2" t="n">
        <v>5092712</v>
      </c>
      <c r="J2" t="inlineStr">
        <is>
          <t>ROCK CRUSHERS SA DE CV</t>
        </is>
      </c>
      <c r="K2" t="inlineStr">
        <is>
          <t>Z04</t>
        </is>
      </c>
      <c r="L2" t="inlineStr">
        <is>
          <t>(AP) 30 Dias</t>
        </is>
      </c>
      <c r="M2" t="n">
        <v>10254171</v>
      </c>
      <c r="N2" t="inlineStr">
        <is>
          <t>ARENA CALIZA TRIT MALLA 4</t>
        </is>
      </c>
      <c r="O2" t="inlineStr">
        <is>
          <t>DW48</t>
        </is>
      </c>
      <c r="P2" t="inlineStr">
        <is>
          <t>MX-CEDIS MAQ CHETUMAL T6</t>
        </is>
      </c>
      <c r="Q2" t="n">
        <v>20240503</v>
      </c>
      <c r="R2" t="n">
        <v>20291231</v>
      </c>
      <c r="S2" t="n">
        <v>20240503</v>
      </c>
      <c r="T2" t="n">
        <v>20291231</v>
      </c>
      <c r="U2" t="n">
        <v>173.8</v>
      </c>
      <c r="V2" t="inlineStr">
        <is>
          <t>MXN</t>
        </is>
      </c>
      <c r="W2" t="inlineStr">
        <is>
          <t>TN</t>
        </is>
      </c>
      <c r="X2" t="n">
        <v>0</v>
      </c>
      <c r="Y2" t="inlineStr">
        <is>
          <t>MXN</t>
        </is>
      </c>
      <c r="Z2" t="inlineStr">
        <is>
          <t>TN</t>
        </is>
      </c>
      <c r="AC2" t="n">
        <v>56103638</v>
      </c>
      <c r="AD2" t="n">
        <v>6644821540</v>
      </c>
      <c r="AE2" t="n">
        <v>2</v>
      </c>
      <c r="AF2" t="inlineStr">
        <is>
          <t>RECOGIDO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20240508</v>
      </c>
      <c r="AM2" t="inlineStr">
        <is>
          <t>DW48-900008701-10254171</t>
        </is>
      </c>
    </row>
    <row r="3">
      <c r="A3" t="inlineStr">
        <is>
          <t>900008701DW4810252051</t>
        </is>
      </c>
      <c r="B3" t="inlineStr">
        <is>
          <t>4600069477-20</t>
        </is>
      </c>
      <c r="C3" t="n">
        <v>4600069477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900008701</v>
      </c>
      <c r="H3" t="inlineStr">
        <is>
          <t>SF TC-RECOGIDO ROCK CRUSHERS TON</t>
        </is>
      </c>
      <c r="I3" t="n">
        <v>5092712</v>
      </c>
      <c r="J3" t="inlineStr">
        <is>
          <t>ROCK CRUSHERS SA DE CV</t>
        </is>
      </c>
      <c r="K3" t="inlineStr">
        <is>
          <t>Z04</t>
        </is>
      </c>
      <c r="L3" t="inlineStr">
        <is>
          <t>(AP) 30 Dias</t>
        </is>
      </c>
      <c r="M3" t="n">
        <v>10252051</v>
      </c>
      <c r="N3" t="inlineStr">
        <is>
          <t>GRAVA TRITURADA CALIZA 10MM 3/8" - MERC.</t>
        </is>
      </c>
      <c r="O3" t="inlineStr">
        <is>
          <t>DW48</t>
        </is>
      </c>
      <c r="P3" t="inlineStr">
        <is>
          <t>MX-CEDIS MAQ CHETUMAL T6</t>
        </is>
      </c>
      <c r="Q3" t="n">
        <v>20240503</v>
      </c>
      <c r="R3" t="n">
        <v>20291231</v>
      </c>
      <c r="S3" t="n">
        <v>20240503</v>
      </c>
      <c r="T3" t="n">
        <v>20291231</v>
      </c>
      <c r="U3" t="n">
        <v>200</v>
      </c>
      <c r="V3" t="inlineStr">
        <is>
          <t>MXN</t>
        </is>
      </c>
      <c r="W3" t="inlineStr">
        <is>
          <t>TN</t>
        </is>
      </c>
      <c r="X3" t="n">
        <v>0</v>
      </c>
      <c r="Y3" t="inlineStr">
        <is>
          <t>MXN</t>
        </is>
      </c>
      <c r="Z3" t="inlineStr">
        <is>
          <t>TN</t>
        </is>
      </c>
      <c r="AC3" t="n">
        <v>56103637</v>
      </c>
      <c r="AD3" t="n">
        <v>6644821540</v>
      </c>
      <c r="AE3" t="n">
        <v>2</v>
      </c>
      <c r="AF3" t="inlineStr">
        <is>
          <t>RECOGIDO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20240508</v>
      </c>
      <c r="AM3" t="inlineStr">
        <is>
          <t>DW48-900008701-10252051</t>
        </is>
      </c>
    </row>
    <row r="4">
      <c r="A4" t="inlineStr">
        <is>
          <t>900008700DW4810254171</t>
        </is>
      </c>
      <c r="B4" t="inlineStr">
        <is>
          <t>4600069476-30</t>
        </is>
      </c>
      <c r="C4" t="n">
        <v>4600069476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900008700</v>
      </c>
      <c r="H4" t="inlineStr">
        <is>
          <t>SF TC-ROCK CRUSHERS TON</t>
        </is>
      </c>
      <c r="I4" t="n">
        <v>5092712</v>
      </c>
      <c r="J4" t="inlineStr">
        <is>
          <t>ROCK CRUSHERS SA DE CV</t>
        </is>
      </c>
      <c r="K4" t="inlineStr">
        <is>
          <t>Z04</t>
        </is>
      </c>
      <c r="L4" t="inlineStr">
        <is>
          <t>(AP) 30 Dias</t>
        </is>
      </c>
      <c r="M4" t="n">
        <v>10254171</v>
      </c>
      <c r="N4" t="inlineStr">
        <is>
          <t>ARENA CALIZA TRIT MALLA 4</t>
        </is>
      </c>
      <c r="O4" t="inlineStr">
        <is>
          <t>DW48</t>
        </is>
      </c>
      <c r="P4" t="inlineStr">
        <is>
          <t>MX-CEDIS MAQ CHETUMAL T6</t>
        </is>
      </c>
      <c r="Q4" t="n">
        <v>20240503</v>
      </c>
      <c r="R4" t="n">
        <v>20291231</v>
      </c>
      <c r="S4" t="n">
        <v>20240503</v>
      </c>
      <c r="T4" t="n">
        <v>20291231</v>
      </c>
      <c r="U4" t="n">
        <v>173.8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56103638</v>
      </c>
      <c r="AD4" t="n">
        <v>6644821540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20240508</v>
      </c>
      <c r="AM4" t="inlineStr">
        <is>
          <t>DW48-900008700-10254171</t>
        </is>
      </c>
    </row>
    <row r="5">
      <c r="A5" t="inlineStr">
        <is>
          <t>900008700DW4810252051</t>
        </is>
      </c>
      <c r="B5" t="inlineStr">
        <is>
          <t>4600069476-20</t>
        </is>
      </c>
      <c r="C5" t="n">
        <v>4600069476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900008700</v>
      </c>
      <c r="H5" t="inlineStr">
        <is>
          <t>SF TC-ROCK CRUSHERS TON</t>
        </is>
      </c>
      <c r="I5" t="n">
        <v>5092712</v>
      </c>
      <c r="J5" t="inlineStr">
        <is>
          <t>ROCK CRUSHERS SA DE CV</t>
        </is>
      </c>
      <c r="K5" t="inlineStr">
        <is>
          <t>Z04</t>
        </is>
      </c>
      <c r="L5" t="inlineStr">
        <is>
          <t>(AP) 30 Dias</t>
        </is>
      </c>
      <c r="M5" t="n">
        <v>10252051</v>
      </c>
      <c r="N5" t="inlineStr">
        <is>
          <t>GRAVA TRITURADA CALIZA 10MM 3/8" - MERC.</t>
        </is>
      </c>
      <c r="O5" t="inlineStr">
        <is>
          <t>DW48</t>
        </is>
      </c>
      <c r="P5" t="inlineStr">
        <is>
          <t>MX-CEDIS MAQ CHETUMAL T6</t>
        </is>
      </c>
      <c r="Q5" t="n">
        <v>20240503</v>
      </c>
      <c r="R5" t="n">
        <v>20291231</v>
      </c>
      <c r="S5" t="n">
        <v>20240503</v>
      </c>
      <c r="T5" t="n">
        <v>20291231</v>
      </c>
      <c r="U5" t="n">
        <v>200</v>
      </c>
      <c r="V5" t="inlineStr">
        <is>
          <t>MXN</t>
        </is>
      </c>
      <c r="W5" t="inlineStr">
        <is>
          <t>TN</t>
        </is>
      </c>
      <c r="X5" t="n">
        <v>0</v>
      </c>
      <c r="Y5" t="inlineStr">
        <is>
          <t>MXN</t>
        </is>
      </c>
      <c r="Z5" t="inlineStr">
        <is>
          <t>TN</t>
        </is>
      </c>
      <c r="AC5" t="n">
        <v>56103637</v>
      </c>
      <c r="AD5" t="n">
        <v>6644821540</v>
      </c>
      <c r="AE5" t="n">
        <v>1</v>
      </c>
      <c r="AF5" t="inlineStr">
        <is>
          <t>ENTREGADO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20240508</v>
      </c>
      <c r="AM5" t="inlineStr">
        <is>
          <t>DW48-900008700-10252051</t>
        </is>
      </c>
    </row>
    <row r="6">
      <c r="A6" t="inlineStr">
        <is>
          <t>900008664DW4810254171</t>
        </is>
      </c>
      <c r="B6" t="inlineStr">
        <is>
          <t>4600069153-10</t>
        </is>
      </c>
      <c r="C6" t="n">
        <v>4600069153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900008664</v>
      </c>
      <c r="H6" t="inlineStr">
        <is>
          <t>SF TC-ROCK CRUSHERS</t>
        </is>
      </c>
      <c r="I6" t="n">
        <v>5092712</v>
      </c>
      <c r="J6" t="inlineStr">
        <is>
          <t>ROCK CRUSHERS SA DE CV</t>
        </is>
      </c>
      <c r="K6" t="inlineStr">
        <is>
          <t>Z04</t>
        </is>
      </c>
      <c r="L6" t="inlineStr">
        <is>
          <t>(AP) 30 Dias</t>
        </is>
      </c>
      <c r="M6" t="n">
        <v>10254171</v>
      </c>
      <c r="N6" t="inlineStr">
        <is>
          <t>ARENA CALIZA TRIT MALLA 4</t>
        </is>
      </c>
      <c r="O6" t="inlineStr">
        <is>
          <t>DW48</t>
        </is>
      </c>
      <c r="P6" t="inlineStr">
        <is>
          <t>MX-CEDIS MAQ CHETUMAL T6</t>
        </is>
      </c>
      <c r="Q6" t="n">
        <v>20240223</v>
      </c>
      <c r="R6" t="n">
        <v>20291231</v>
      </c>
      <c r="S6" t="n">
        <v>20240223</v>
      </c>
      <c r="T6" t="n">
        <v>20291231</v>
      </c>
      <c r="U6" t="n">
        <v>268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6644821540</v>
      </c>
      <c r="AE6" t="n">
        <v>1</v>
      </c>
      <c r="AF6" t="inlineStr">
        <is>
          <t>ENTREGADO</t>
        </is>
      </c>
      <c r="AG6" t="n">
        <v>1.542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20240229</v>
      </c>
      <c r="AM6" t="inlineStr">
        <is>
          <t>DW48-900008664-10254171</t>
        </is>
      </c>
    </row>
    <row r="7">
      <c r="A7" t="inlineStr">
        <is>
          <t>900008664DW4810252050</t>
        </is>
      </c>
      <c r="B7" t="inlineStr">
        <is>
          <t>4600069153-20</t>
        </is>
      </c>
      <c r="C7" t="n">
        <v>4600069153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900008664</v>
      </c>
      <c r="H7" t="inlineStr">
        <is>
          <t>SF TC-ROCK CRUSHERS</t>
        </is>
      </c>
      <c r="I7" t="n">
        <v>5092712</v>
      </c>
      <c r="J7" t="inlineStr">
        <is>
          <t>ROCK CRUSHERS SA DE CV</t>
        </is>
      </c>
      <c r="K7" t="inlineStr">
        <is>
          <t>Z04</t>
        </is>
      </c>
      <c r="L7" t="inlineStr">
        <is>
          <t>(AP) 30 Dias</t>
        </is>
      </c>
      <c r="M7" t="n">
        <v>10252050</v>
      </c>
      <c r="N7" t="inlineStr">
        <is>
          <t>GRAVA TRITURADA CALIZA 20MM 3/4" - MERC.</t>
        </is>
      </c>
      <c r="O7" t="inlineStr">
        <is>
          <t>DW48</t>
        </is>
      </c>
      <c r="P7" t="inlineStr">
        <is>
          <t>MX-CEDIS MAQ CHETUMAL T6</t>
        </is>
      </c>
      <c r="Q7" t="n">
        <v>20240223</v>
      </c>
      <c r="R7" t="n">
        <v>20291231</v>
      </c>
      <c r="S7" t="n">
        <v>20240223</v>
      </c>
      <c r="T7" t="n">
        <v>20291231</v>
      </c>
      <c r="U7" t="n">
        <v>268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6644821540</v>
      </c>
      <c r="AE7" t="n">
        <v>1</v>
      </c>
      <c r="AF7" t="inlineStr">
        <is>
          <t>ENTREGADO</t>
        </is>
      </c>
      <c r="AG7" t="n">
        <v>1.253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20240229</v>
      </c>
      <c r="AM7" t="inlineStr">
        <is>
          <t>DW48-900008664-10252050</t>
        </is>
      </c>
    </row>
    <row r="8">
      <c r="A8" t="inlineStr">
        <is>
          <t>900008700DW4810172330</t>
        </is>
      </c>
      <c r="B8" t="inlineStr">
        <is>
          <t>4600069476-10</t>
        </is>
      </c>
      <c r="C8" t="n">
        <v>4600069476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900008700</v>
      </c>
      <c r="H8" t="inlineStr">
        <is>
          <t>SF TC-ROCK CRUSHERS TON</t>
        </is>
      </c>
      <c r="I8" t="n">
        <v>5092712</v>
      </c>
      <c r="J8" t="inlineStr">
        <is>
          <t>ROCK CRUSHERS SA DE CV</t>
        </is>
      </c>
      <c r="K8" t="inlineStr">
        <is>
          <t>Z04</t>
        </is>
      </c>
      <c r="L8" t="inlineStr">
        <is>
          <t>(AP) 30 Dias</t>
        </is>
      </c>
      <c r="M8" t="n">
        <v>10172330</v>
      </c>
      <c r="N8" t="inlineStr">
        <is>
          <t>GRAVA TRITURADA CALIZA 20 MM - 3/4"</t>
        </is>
      </c>
      <c r="O8" t="inlineStr">
        <is>
          <t>DW48</t>
        </is>
      </c>
      <c r="P8" t="inlineStr">
        <is>
          <t>MX-CEDIS MAQ CHETUMAL T6</t>
        </is>
      </c>
      <c r="Q8" t="n">
        <v>20240503</v>
      </c>
      <c r="R8" t="n">
        <v>20291231</v>
      </c>
      <c r="S8" t="n">
        <v>20240503</v>
      </c>
      <c r="T8" t="n">
        <v>20291231</v>
      </c>
      <c r="U8" t="n">
        <v>213.89</v>
      </c>
      <c r="V8" t="inlineStr">
        <is>
          <t>MXN</t>
        </is>
      </c>
      <c r="W8" t="inlineStr">
        <is>
          <t>TN</t>
        </is>
      </c>
      <c r="X8" t="n">
        <v>0</v>
      </c>
      <c r="Y8" t="inlineStr">
        <is>
          <t>MXN</t>
        </is>
      </c>
      <c r="Z8" t="inlineStr">
        <is>
          <t>TN</t>
        </is>
      </c>
      <c r="AC8" t="n">
        <v>56103637</v>
      </c>
      <c r="AD8" t="n">
        <v>6644821540</v>
      </c>
      <c r="AE8" t="n">
        <v>1</v>
      </c>
      <c r="AF8" t="inlineStr">
        <is>
          <t>ENTREGADO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20240508</v>
      </c>
      <c r="AM8" t="inlineStr">
        <is>
          <t>DW48-900008700-10172330</t>
        </is>
      </c>
    </row>
    <row r="9">
      <c r="A9" t="inlineStr">
        <is>
          <t>900008701DW4810172330</t>
        </is>
      </c>
      <c r="B9" t="inlineStr">
        <is>
          <t>4600069477-10</t>
        </is>
      </c>
      <c r="C9" t="n">
        <v>4600069477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900008701</v>
      </c>
      <c r="H9" t="inlineStr">
        <is>
          <t>SF TC-RECOGIDO ROCK CRUSHERS TON</t>
        </is>
      </c>
      <c r="I9" t="n">
        <v>5092712</v>
      </c>
      <c r="J9" t="inlineStr">
        <is>
          <t>ROCK CRUSHERS SA DE CV</t>
        </is>
      </c>
      <c r="K9" t="inlineStr">
        <is>
          <t>Z04</t>
        </is>
      </c>
      <c r="L9" t="inlineStr">
        <is>
          <t>(AP) 30 Dias</t>
        </is>
      </c>
      <c r="M9" t="n">
        <v>10172330</v>
      </c>
      <c r="N9" t="inlineStr">
        <is>
          <t>GRAVA TRITURADA CALIZA 20 MM - 3/4"</t>
        </is>
      </c>
      <c r="O9" t="inlineStr">
        <is>
          <t>DW48</t>
        </is>
      </c>
      <c r="P9" t="inlineStr">
        <is>
          <t>MX-CEDIS MAQ CHETUMAL T6</t>
        </is>
      </c>
      <c r="Q9" t="n">
        <v>20240503</v>
      </c>
      <c r="R9" t="n">
        <v>20291231</v>
      </c>
      <c r="S9" t="n">
        <v>20240503</v>
      </c>
      <c r="T9" t="n">
        <v>20291231</v>
      </c>
      <c r="U9" t="n">
        <v>213.89</v>
      </c>
      <c r="V9" t="inlineStr">
        <is>
          <t>MXN</t>
        </is>
      </c>
      <c r="W9" t="inlineStr">
        <is>
          <t>TN</t>
        </is>
      </c>
      <c r="X9" t="n">
        <v>0</v>
      </c>
      <c r="Y9" t="inlineStr">
        <is>
          <t>MXN</t>
        </is>
      </c>
      <c r="Z9" t="inlineStr">
        <is>
          <t>TN</t>
        </is>
      </c>
      <c r="AC9" t="n">
        <v>56103637</v>
      </c>
      <c r="AD9" t="n">
        <v>6644821540</v>
      </c>
      <c r="AE9" t="n">
        <v>2</v>
      </c>
      <c r="AF9" t="inlineStr">
        <is>
          <t>RECOGIDO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20240508</v>
      </c>
      <c r="AM9" t="inlineStr">
        <is>
          <t>DW48-900008701-10172330</t>
        </is>
      </c>
    </row>
    <row r="10">
      <c r="A10" t="inlineStr">
        <is>
          <t>900008664DW4810252051</t>
        </is>
      </c>
      <c r="B10" t="inlineStr">
        <is>
          <t>4600069153-30</t>
        </is>
      </c>
      <c r="C10" t="n">
        <v>4600069153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900008664</v>
      </c>
      <c r="H10" t="inlineStr">
        <is>
          <t>SF TC-ROCK CRUSHERS</t>
        </is>
      </c>
      <c r="I10" t="n">
        <v>5092712</v>
      </c>
      <c r="J10" t="inlineStr">
        <is>
          <t>ROCK CRUSHERS SA DE CV</t>
        </is>
      </c>
      <c r="K10" t="inlineStr">
        <is>
          <t>Z04</t>
        </is>
      </c>
      <c r="L10" t="inlineStr">
        <is>
          <t>(AP) 30 Dias</t>
        </is>
      </c>
      <c r="M10" t="n">
        <v>10252051</v>
      </c>
      <c r="N10" t="inlineStr">
        <is>
          <t>GRAVA TRITURADA CALIZA 10MM 3/8" - MERC.</t>
        </is>
      </c>
      <c r="O10" t="inlineStr">
        <is>
          <t>DW48</t>
        </is>
      </c>
      <c r="P10" t="inlineStr">
        <is>
          <t>MX-CEDIS MAQ CHETUMAL T6</t>
        </is>
      </c>
      <c r="Q10" t="n">
        <v>20240223</v>
      </c>
      <c r="R10" t="n">
        <v>20291231</v>
      </c>
      <c r="S10" t="n">
        <v>20240223</v>
      </c>
      <c r="T10" t="n">
        <v>20291231</v>
      </c>
      <c r="U10" t="n">
        <v>268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6644821540</v>
      </c>
      <c r="AE10" t="n">
        <v>1</v>
      </c>
      <c r="AF10" t="inlineStr">
        <is>
          <t>ENTREGADO</t>
        </is>
      </c>
      <c r="AG10" t="n">
        <v>1.34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20240229</v>
      </c>
      <c r="AM10" t="inlineStr">
        <is>
          <t>DW48-900008664-10252051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2026-09-14T14:21:25Z</dcterms:created>
  <dcterms:modified xsi:type="dcterms:W3CDTF">2026-09-14T14:21:26Z</dcterms:modified>
</cp:coreProperties>
</file>