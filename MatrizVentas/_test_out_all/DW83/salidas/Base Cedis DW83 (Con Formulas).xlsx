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83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900000045</v>
      </c>
      <c r="D3" s="7">
        <f>IFERROR(VLOOKUP(C3,TRAOPE!$G:$H,2,0),"")</f>
        <v/>
      </c>
      <c r="E3" s="8" t="inlineStr">
        <is>
          <t>DW83</t>
        </is>
      </c>
      <c r="F3" s="8" t="inlineStr">
        <is>
          <t>D216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10000377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20210620</t>
        </is>
      </c>
      <c r="M3" s="8" t="inlineStr">
        <is>
          <t>20251031</t>
        </is>
      </c>
      <c r="N3" s="10" t="n">
        <v>107.59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900000045</v>
      </c>
      <c r="D4" s="7">
        <f>IFERROR(VLOOKUP(C4,TRAOPE!$G:$H,2,0),"")</f>
        <v/>
      </c>
      <c r="E4" s="8" t="inlineStr">
        <is>
          <t>DW83</t>
        </is>
      </c>
      <c r="F4" s="8" t="inlineStr">
        <is>
          <t>D216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10000379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20210620</t>
        </is>
      </c>
      <c r="M4" s="8" t="inlineStr">
        <is>
          <t>20251031</t>
        </is>
      </c>
      <c r="N4" s="10" t="n">
        <v>119.23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900000045</v>
      </c>
      <c r="D5" s="7">
        <f>IFERROR(VLOOKUP(C5,TRAOPE!$G:$H,2,0),"")</f>
        <v/>
      </c>
      <c r="E5" s="8" t="inlineStr">
        <is>
          <t>DW83</t>
        </is>
      </c>
      <c r="F5" s="8" t="inlineStr">
        <is>
          <t>D216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10000381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20210620</t>
        </is>
      </c>
      <c r="M5" s="8" t="inlineStr">
        <is>
          <t>20251031</t>
        </is>
      </c>
      <c r="N5" s="10" t="n">
        <v>69.97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900000045</v>
      </c>
      <c r="D6" s="7">
        <f>IFERROR(VLOOKUP(C6,TRAOPE!$G:$H,2,0),"")</f>
        <v/>
      </c>
      <c r="E6" s="8" t="inlineStr">
        <is>
          <t>DW83</t>
        </is>
      </c>
      <c r="F6" s="8" t="inlineStr">
        <is>
          <t>D216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10000719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20210620</t>
        </is>
      </c>
      <c r="M6" s="8" t="inlineStr">
        <is>
          <t>20251031</t>
        </is>
      </c>
      <c r="N6" s="10" t="n">
        <v>79.92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900000045</v>
      </c>
      <c r="D7" s="7">
        <f>IFERROR(VLOOKUP(C7,TRAOPE!$G:$H,2,0),"")</f>
        <v/>
      </c>
      <c r="E7" s="8" t="inlineStr">
        <is>
          <t>DW83</t>
        </is>
      </c>
      <c r="F7" s="8" t="inlineStr">
        <is>
          <t>D216</t>
        </is>
      </c>
      <c r="G7" s="8">
        <f>IFERROR(VLOOKUP(A7,Flete!$A:$E,5,0),"")</f>
        <v/>
      </c>
      <c r="H7" s="7">
        <f>IFERROR(VLOOKUP(F7,TRAOPE!$AA:$AB,2,0),"")</f>
        <v/>
      </c>
      <c r="I7" s="7" t="n">
        <v>10192197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20210620</t>
        </is>
      </c>
      <c r="M7" s="8" t="inlineStr">
        <is>
          <t>20251031</t>
        </is>
      </c>
      <c r="N7" s="10" t="n">
        <v>76.39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900000045</v>
      </c>
      <c r="D8" s="7">
        <f>IFERROR(VLOOKUP(C8,TRAOPE!$G:$H,2,0),"")</f>
        <v/>
      </c>
      <c r="E8" s="8" t="inlineStr">
        <is>
          <t>DW83</t>
        </is>
      </c>
      <c r="F8" s="8" t="inlineStr">
        <is>
          <t>D243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10000379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20230301</t>
        </is>
      </c>
      <c r="M8" s="8" t="inlineStr">
        <is>
          <t>20250129</t>
        </is>
      </c>
      <c r="N8" s="10" t="n">
        <v>119.23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900000045</v>
      </c>
      <c r="D9" s="7">
        <f>IFERROR(VLOOKUP(C9,TRAOPE!$G:$H,2,0),"")</f>
        <v/>
      </c>
      <c r="E9" s="8" t="inlineStr">
        <is>
          <t>DW83</t>
        </is>
      </c>
      <c r="F9" s="8" t="inlineStr">
        <is>
          <t>D243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10000719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20230301</t>
        </is>
      </c>
      <c r="M9" s="8" t="inlineStr">
        <is>
          <t>20250129</t>
        </is>
      </c>
      <c r="N9" s="10" t="n">
        <v>91.54000000000001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900000045</v>
      </c>
      <c r="D10" s="7">
        <f>IFERROR(VLOOKUP(C10,TRAOPE!$G:$H,2,0),"")</f>
        <v/>
      </c>
      <c r="E10" s="8" t="inlineStr">
        <is>
          <t>DW83</t>
        </is>
      </c>
      <c r="F10" s="8" t="inlineStr">
        <is>
          <t>D243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10192197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20230301</t>
        </is>
      </c>
      <c r="M10" s="8" t="inlineStr">
        <is>
          <t>20250129</t>
        </is>
      </c>
      <c r="N10" s="10" t="n">
        <v>76.39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900000045</v>
      </c>
      <c r="D11" s="7">
        <f>IFERROR(VLOOKUP(C11,TRAOPE!$G:$H,2,0),"")</f>
        <v/>
      </c>
      <c r="E11" s="8" t="inlineStr">
        <is>
          <t>DW83</t>
        </is>
      </c>
      <c r="F11" s="8" t="inlineStr">
        <is>
          <t>D269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10000332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20230203</t>
        </is>
      </c>
      <c r="M11" s="8" t="inlineStr">
        <is>
          <t>20240201</t>
        </is>
      </c>
      <c r="N11" s="10" t="n">
        <v>327.5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900000045</v>
      </c>
      <c r="D12" s="7">
        <f>IFERROR(VLOOKUP(C12,TRAOPE!$G:$H,2,0),"")</f>
        <v/>
      </c>
      <c r="E12" s="8" t="inlineStr">
        <is>
          <t>DW83</t>
        </is>
      </c>
      <c r="F12" s="8" t="inlineStr">
        <is>
          <t>D269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10000377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20260601</t>
        </is>
      </c>
      <c r="M12" s="8" t="inlineStr">
        <is>
          <t>99991231</t>
        </is>
      </c>
      <c r="N12" s="10" t="n">
        <v>94.88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900000045</v>
      </c>
      <c r="D13" s="7">
        <f>IFERROR(VLOOKUP(C13,TRAOPE!$G:$H,2,0),"")</f>
        <v/>
      </c>
      <c r="E13" s="8" t="inlineStr">
        <is>
          <t>DW83</t>
        </is>
      </c>
      <c r="F13" s="8" t="inlineStr">
        <is>
          <t>D269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10000379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20260601</t>
        </is>
      </c>
      <c r="M13" s="8" t="inlineStr">
        <is>
          <t>99991231</t>
        </is>
      </c>
      <c r="N13" s="10" t="n">
        <v>144.17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900000045</v>
      </c>
      <c r="D14" s="7">
        <f>IFERROR(VLOOKUP(C14,TRAOPE!$G:$H,2,0),"")</f>
        <v/>
      </c>
      <c r="E14" s="8" t="inlineStr">
        <is>
          <t>DW83</t>
        </is>
      </c>
      <c r="F14" s="8" t="inlineStr">
        <is>
          <t>D269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10000381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20230203</t>
        </is>
      </c>
      <c r="M14" s="8" t="inlineStr">
        <is>
          <t>20240201</t>
        </is>
      </c>
      <c r="N14" s="10" t="n">
        <v>46.17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900000045</v>
      </c>
      <c r="D15" s="7">
        <f>IFERROR(VLOOKUP(C15,TRAOPE!$G:$H,2,0),"")</f>
        <v/>
      </c>
      <c r="E15" s="8" t="inlineStr">
        <is>
          <t>DW83</t>
        </is>
      </c>
      <c r="F15" s="8" t="inlineStr">
        <is>
          <t>D269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10000383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20260601</t>
        </is>
      </c>
      <c r="M15" s="8" t="inlineStr">
        <is>
          <t>99991231</t>
        </is>
      </c>
      <c r="N15" s="10" t="n">
        <v>151.71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900000045</v>
      </c>
      <c r="D16" s="7">
        <f>IFERROR(VLOOKUP(C16,TRAOPE!$G:$H,2,0),"")</f>
        <v/>
      </c>
      <c r="E16" s="8" t="inlineStr">
        <is>
          <t>DW83</t>
        </is>
      </c>
      <c r="F16" s="8" t="inlineStr">
        <is>
          <t>D269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10000719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20260601</t>
        </is>
      </c>
      <c r="M16" s="8" t="inlineStr">
        <is>
          <t>99991231</t>
        </is>
      </c>
      <c r="N16" s="10" t="n">
        <v>117.41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900000045</v>
      </c>
      <c r="D17" s="7">
        <f>IFERROR(VLOOKUP(C17,TRAOPE!$G:$H,2,0),"")</f>
        <v/>
      </c>
      <c r="E17" s="8" t="inlineStr">
        <is>
          <t>DW83</t>
        </is>
      </c>
      <c r="F17" s="8" t="inlineStr">
        <is>
          <t>D269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10192197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20260601</t>
        </is>
      </c>
      <c r="M17" s="8" t="inlineStr">
        <is>
          <t>99991231</t>
        </is>
      </c>
      <c r="N17" s="10" t="n">
        <v>110.62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900000050</v>
      </c>
      <c r="D18" s="7">
        <f>IFERROR(VLOOKUP(C18,TRAOPE!$G:$H,2,0),"")</f>
        <v/>
      </c>
      <c r="E18" s="8" t="inlineStr">
        <is>
          <t>DW83</t>
        </is>
      </c>
      <c r="F18" s="8" t="inlineStr">
        <is>
          <t>D215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10000332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20220812</t>
        </is>
      </c>
      <c r="M18" s="8" t="inlineStr">
        <is>
          <t>20251031</t>
        </is>
      </c>
      <c r="N18" s="10" t="n">
        <v>161.63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900000050</v>
      </c>
      <c r="D19" s="7">
        <f>IFERROR(VLOOKUP(C19,TRAOPE!$G:$H,2,0),"")</f>
        <v/>
      </c>
      <c r="E19" s="8" t="inlineStr">
        <is>
          <t>DW83</t>
        </is>
      </c>
      <c r="F19" s="8" t="inlineStr">
        <is>
          <t>D216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10000237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20220812</t>
        </is>
      </c>
      <c r="M19" s="8" t="inlineStr">
        <is>
          <t>20251031</t>
        </is>
      </c>
      <c r="N19" s="10" t="n">
        <v>288.37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900000050</v>
      </c>
      <c r="D20" s="7">
        <f>IFERROR(VLOOKUP(C20,TRAOPE!$G:$H,2,0),"")</f>
        <v/>
      </c>
      <c r="E20" s="8" t="inlineStr">
        <is>
          <t>DW83</t>
        </is>
      </c>
      <c r="F20" s="8" t="inlineStr">
        <is>
          <t>D216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10000318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20220812</t>
        </is>
      </c>
      <c r="M20" s="8" t="inlineStr">
        <is>
          <t>20251031</t>
        </is>
      </c>
      <c r="N20" s="10" t="n">
        <v>224.46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900000050</v>
      </c>
      <c r="D21" s="7">
        <f>IFERROR(VLOOKUP(C21,TRAOPE!$G:$H,2,0),"")</f>
        <v/>
      </c>
      <c r="E21" s="8" t="inlineStr">
        <is>
          <t>DW83</t>
        </is>
      </c>
      <c r="F21" s="8" t="inlineStr">
        <is>
          <t>D216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10000320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20220812</t>
        </is>
      </c>
      <c r="M21" s="8" t="inlineStr">
        <is>
          <t>20251031</t>
        </is>
      </c>
      <c r="N21" s="10" t="n">
        <v>213.95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900000050</v>
      </c>
      <c r="D22" s="7">
        <f>IFERROR(VLOOKUP(C22,TRAOPE!$G:$H,2,0),"")</f>
        <v/>
      </c>
      <c r="E22" s="8" t="inlineStr">
        <is>
          <t>DW83</t>
        </is>
      </c>
      <c r="F22" s="8" t="inlineStr">
        <is>
          <t>D216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10000332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20220812</t>
        </is>
      </c>
      <c r="M22" s="8" t="inlineStr">
        <is>
          <t>20251031</t>
        </is>
      </c>
      <c r="N22" s="10" t="n">
        <v>136.16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900000050</v>
      </c>
      <c r="D23" s="7">
        <f>IFERROR(VLOOKUP(C23,TRAOPE!$G:$H,2,0),"")</f>
        <v/>
      </c>
      <c r="E23" s="8" t="inlineStr">
        <is>
          <t>DW83</t>
        </is>
      </c>
      <c r="F23" s="8" t="inlineStr">
        <is>
          <t>D216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10000554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20220812</t>
        </is>
      </c>
      <c r="M23" s="8" t="inlineStr">
        <is>
          <t>20251031</t>
        </is>
      </c>
      <c r="N23" s="10" t="n">
        <v>221.18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900000050</v>
      </c>
      <c r="D24" s="7">
        <f>IFERROR(VLOOKUP(C24,TRAOPE!$G:$H,2,0),"")</f>
        <v/>
      </c>
      <c r="E24" s="8" t="inlineStr">
        <is>
          <t>DW83</t>
        </is>
      </c>
      <c r="F24" s="8" t="inlineStr">
        <is>
          <t>D216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10045015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20220812</t>
        </is>
      </c>
      <c r="M24" s="8" t="inlineStr">
        <is>
          <t>20251031</t>
        </is>
      </c>
      <c r="N24" s="10" t="n">
        <v>294.37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900000050</v>
      </c>
      <c r="D25" s="7">
        <f>IFERROR(VLOOKUP(C25,TRAOPE!$G:$H,2,0),"")</f>
        <v/>
      </c>
      <c r="E25" s="8" t="inlineStr">
        <is>
          <t>DW83</t>
        </is>
      </c>
      <c r="F25" s="8" t="inlineStr">
        <is>
          <t>D243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10000237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20230301</t>
        </is>
      </c>
      <c r="M25" s="8" t="inlineStr">
        <is>
          <t>20250129</t>
        </is>
      </c>
      <c r="N25" s="10" t="n">
        <v>288.37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900000050</v>
      </c>
      <c r="D26" s="7">
        <f>IFERROR(VLOOKUP(C26,TRAOPE!$G:$H,2,0),"")</f>
        <v/>
      </c>
      <c r="E26" s="8" t="inlineStr">
        <is>
          <t>DW83</t>
        </is>
      </c>
      <c r="F26" s="8" t="inlineStr">
        <is>
          <t>D243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10000318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20230301</t>
        </is>
      </c>
      <c r="M26" s="8" t="inlineStr">
        <is>
          <t>20250129</t>
        </is>
      </c>
      <c r="N26" s="10" t="n">
        <v>224.46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900000050</v>
      </c>
      <c r="D27" s="7">
        <f>IFERROR(VLOOKUP(C27,TRAOPE!$G:$H,2,0),"")</f>
        <v/>
      </c>
      <c r="E27" s="8" t="inlineStr">
        <is>
          <t>DW83</t>
        </is>
      </c>
      <c r="F27" s="8" t="inlineStr">
        <is>
          <t>D243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10000320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20230301</t>
        </is>
      </c>
      <c r="M27" s="8" t="inlineStr">
        <is>
          <t>20250129</t>
        </is>
      </c>
      <c r="N27" s="10" t="n">
        <v>213.95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900000050</v>
      </c>
      <c r="D28" s="7">
        <f>IFERROR(VLOOKUP(C28,TRAOPE!$G:$H,2,0),"")</f>
        <v/>
      </c>
      <c r="E28" s="8" t="inlineStr">
        <is>
          <t>DW83</t>
        </is>
      </c>
      <c r="F28" s="8" t="inlineStr">
        <is>
          <t>D386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10000332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20220812</t>
        </is>
      </c>
      <c r="M28" s="8" t="inlineStr">
        <is>
          <t>20251031</t>
        </is>
      </c>
      <c r="N28" s="10" t="n">
        <v>98.75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900000050</v>
      </c>
      <c r="D29" s="7">
        <f>IFERROR(VLOOKUP(C29,TRAOPE!$G:$H,2,0),"")</f>
        <v/>
      </c>
      <c r="E29" s="8" t="inlineStr">
        <is>
          <t>DW83</t>
        </is>
      </c>
      <c r="F29" s="8" t="inlineStr">
        <is>
          <t>DE03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10000320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20230301</t>
        </is>
      </c>
      <c r="M29" s="8" t="inlineStr">
        <is>
          <t>20250129</t>
        </is>
      </c>
      <c r="N29" s="10" t="n">
        <v>147.83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900000434</v>
      </c>
      <c r="D30" s="7">
        <f>IFERROR(VLOOKUP(C30,TRAOPE!$G:$H,2,0),"")</f>
        <v/>
      </c>
      <c r="E30" s="8" t="inlineStr">
        <is>
          <t>DW83</t>
        </is>
      </c>
      <c r="F30" s="8" t="inlineStr">
        <is>
          <t>D033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10000377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20230301</t>
        </is>
      </c>
      <c r="M30" s="8" t="inlineStr">
        <is>
          <t>20251031</t>
        </is>
      </c>
      <c r="N30" s="10" t="n">
        <v>78.45999999999999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900000434</v>
      </c>
      <c r="D31" s="7">
        <f>IFERROR(VLOOKUP(C31,TRAOPE!$G:$H,2,0),"")</f>
        <v/>
      </c>
      <c r="E31" s="8" t="inlineStr">
        <is>
          <t>DW83</t>
        </is>
      </c>
      <c r="F31" s="8" t="inlineStr">
        <is>
          <t>D033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10000379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20260601</t>
        </is>
      </c>
      <c r="M31" s="8" t="inlineStr">
        <is>
          <t>99991231</t>
        </is>
      </c>
      <c r="N31" s="10" t="n">
        <v>139.56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900000434</v>
      </c>
      <c r="D32" s="7">
        <f>IFERROR(VLOOKUP(C32,TRAOPE!$G:$H,2,0),"")</f>
        <v/>
      </c>
      <c r="E32" s="8" t="inlineStr">
        <is>
          <t>DW83</t>
        </is>
      </c>
      <c r="F32" s="8" t="inlineStr">
        <is>
          <t>D033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10000383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20260601</t>
        </is>
      </c>
      <c r="M32" s="8" t="inlineStr">
        <is>
          <t>99991231</t>
        </is>
      </c>
      <c r="N32" s="10" t="n">
        <v>146.85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900000434</v>
      </c>
      <c r="D33" s="7">
        <f>IFERROR(VLOOKUP(C33,TRAOPE!$G:$H,2,0),"")</f>
        <v/>
      </c>
      <c r="E33" s="8" t="inlineStr">
        <is>
          <t>DW83</t>
        </is>
      </c>
      <c r="F33" s="8" t="inlineStr">
        <is>
          <t>D215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10000377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20230301</t>
        </is>
      </c>
      <c r="M33" s="8" t="inlineStr">
        <is>
          <t>99991231</t>
        </is>
      </c>
      <c r="N33" s="10" t="n">
        <v>78.45999999999999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900000434</v>
      </c>
      <c r="D34" s="7">
        <f>IFERROR(VLOOKUP(C34,TRAOPE!$G:$H,2,0),"")</f>
        <v/>
      </c>
      <c r="E34" s="8" t="inlineStr">
        <is>
          <t>DW83</t>
        </is>
      </c>
      <c r="F34" s="8" t="inlineStr">
        <is>
          <t>D215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10000379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20260601</t>
        </is>
      </c>
      <c r="M34" s="8" t="inlineStr">
        <is>
          <t>99991231</t>
        </is>
      </c>
      <c r="N34" s="10" t="n">
        <v>139.56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900000434</v>
      </c>
      <c r="D35" s="7">
        <f>IFERROR(VLOOKUP(C35,TRAOPE!$G:$H,2,0),"")</f>
        <v/>
      </c>
      <c r="E35" s="8" t="inlineStr">
        <is>
          <t>DW83</t>
        </is>
      </c>
      <c r="F35" s="8" t="inlineStr">
        <is>
          <t>D215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10000383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20260601</t>
        </is>
      </c>
      <c r="M35" s="8" t="inlineStr">
        <is>
          <t>99991231</t>
        </is>
      </c>
      <c r="N35" s="10" t="n">
        <v>146.85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900000434</v>
      </c>
      <c r="D36" s="7">
        <f>IFERROR(VLOOKUP(C36,TRAOPE!$G:$H,2,0),"")</f>
        <v/>
      </c>
      <c r="E36" s="8" t="inlineStr">
        <is>
          <t>DW83</t>
        </is>
      </c>
      <c r="F36" s="8" t="inlineStr">
        <is>
          <t>D215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10192197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20260601</t>
        </is>
      </c>
      <c r="M36" s="8" t="inlineStr">
        <is>
          <t>99991231</t>
        </is>
      </c>
      <c r="N36" s="10" t="n">
        <v>107.06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900000434</v>
      </c>
      <c r="D37" s="7">
        <f>IFERROR(VLOOKUP(C37,TRAOPE!$G:$H,2,0),"")</f>
        <v/>
      </c>
      <c r="E37" s="8" t="inlineStr">
        <is>
          <t>DW83</t>
        </is>
      </c>
      <c r="F37" s="8" t="inlineStr">
        <is>
          <t>D216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10000320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20230301</t>
        </is>
      </c>
      <c r="M37" s="8" t="inlineStr">
        <is>
          <t>20251031</t>
        </is>
      </c>
      <c r="N37" s="10" t="n">
        <v>87.3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900000434</v>
      </c>
      <c r="D38" s="7">
        <f>IFERROR(VLOOKUP(C38,TRAOPE!$G:$H,2,0),"")</f>
        <v/>
      </c>
      <c r="E38" s="8" t="inlineStr">
        <is>
          <t>DW83</t>
        </is>
      </c>
      <c r="F38" s="8" t="inlineStr">
        <is>
          <t>D216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10000379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20230301</t>
        </is>
      </c>
      <c r="M38" s="8" t="inlineStr">
        <is>
          <t>20251031</t>
        </is>
      </c>
      <c r="N38" s="10" t="n">
        <v>119.23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900000434</v>
      </c>
      <c r="D39" s="7">
        <f>IFERROR(VLOOKUP(C39,TRAOPE!$G:$H,2,0),"")</f>
        <v/>
      </c>
      <c r="E39" s="8" t="inlineStr">
        <is>
          <t>DW83</t>
        </is>
      </c>
      <c r="F39" s="8" t="inlineStr">
        <is>
          <t>D216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10000383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20230301</t>
        </is>
      </c>
      <c r="M39" s="8" t="inlineStr">
        <is>
          <t>20251031</t>
        </is>
      </c>
      <c r="N39" s="10" t="n">
        <v>125.46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900000434</v>
      </c>
      <c r="D40" s="7">
        <f>IFERROR(VLOOKUP(C40,TRAOPE!$G:$H,2,0),"")</f>
        <v/>
      </c>
      <c r="E40" s="8" t="inlineStr">
        <is>
          <t>DW83</t>
        </is>
      </c>
      <c r="F40" s="8" t="inlineStr">
        <is>
          <t>D216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10000719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20230301</t>
        </is>
      </c>
      <c r="M40" s="8" t="inlineStr">
        <is>
          <t>20251031</t>
        </is>
      </c>
      <c r="N40" s="10" t="n">
        <v>114.42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900000434</v>
      </c>
      <c r="D41" s="7">
        <f>IFERROR(VLOOKUP(C41,TRAOPE!$G:$H,2,0),"")</f>
        <v/>
      </c>
      <c r="E41" s="8" t="inlineStr">
        <is>
          <t>DW83</t>
        </is>
      </c>
      <c r="F41" s="8" t="inlineStr">
        <is>
          <t>D216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10192197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20230301</t>
        </is>
      </c>
      <c r="M41" s="8" t="inlineStr">
        <is>
          <t>20251031</t>
        </is>
      </c>
      <c r="N41" s="10" t="n">
        <v>91.48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900000434</v>
      </c>
      <c r="D42" s="7">
        <f>IFERROR(VLOOKUP(C42,TRAOPE!$G:$H,2,0),"")</f>
        <v/>
      </c>
      <c r="E42" s="8" t="inlineStr">
        <is>
          <t>DW83</t>
        </is>
      </c>
      <c r="F42" s="8" t="inlineStr">
        <is>
          <t>D243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10000320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20230301</t>
        </is>
      </c>
      <c r="M42" s="8" t="inlineStr">
        <is>
          <t>20250129</t>
        </is>
      </c>
      <c r="N42" s="10" t="n">
        <v>87.3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900000434</v>
      </c>
      <c r="D43" s="7">
        <f>IFERROR(VLOOKUP(C43,TRAOPE!$G:$H,2,0),"")</f>
        <v/>
      </c>
      <c r="E43" s="8" t="inlineStr">
        <is>
          <t>DW83</t>
        </is>
      </c>
      <c r="F43" s="8" t="inlineStr">
        <is>
          <t>D243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10000377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20230301</t>
        </is>
      </c>
      <c r="M43" s="8" t="inlineStr">
        <is>
          <t>20250129</t>
        </is>
      </c>
      <c r="N43" s="10" t="n">
        <v>78.45999999999999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900000434</v>
      </c>
      <c r="D44" s="7">
        <f>IFERROR(VLOOKUP(C44,TRAOPE!$G:$H,2,0),"")</f>
        <v/>
      </c>
      <c r="E44" s="8" t="inlineStr">
        <is>
          <t>DW83</t>
        </is>
      </c>
      <c r="F44" s="8" t="inlineStr">
        <is>
          <t>D243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10000379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20230301</t>
        </is>
      </c>
      <c r="M44" s="8" t="inlineStr">
        <is>
          <t>20250129</t>
        </is>
      </c>
      <c r="N44" s="10" t="n">
        <v>119.23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900000434</v>
      </c>
      <c r="D45" s="7">
        <f>IFERROR(VLOOKUP(C45,TRAOPE!$G:$H,2,0),"")</f>
        <v/>
      </c>
      <c r="E45" s="8" t="inlineStr">
        <is>
          <t>DW83</t>
        </is>
      </c>
      <c r="F45" s="8" t="inlineStr">
        <is>
          <t>D243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10000383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20230301</t>
        </is>
      </c>
      <c r="M45" s="8" t="inlineStr">
        <is>
          <t>20250129</t>
        </is>
      </c>
      <c r="N45" s="10" t="n">
        <v>125.46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900000434</v>
      </c>
      <c r="D46" s="7">
        <f>IFERROR(VLOOKUP(C46,TRAOPE!$G:$H,2,0),"")</f>
        <v/>
      </c>
      <c r="E46" s="8" t="inlineStr">
        <is>
          <t>DW83</t>
        </is>
      </c>
      <c r="F46" s="8" t="inlineStr">
        <is>
          <t>D243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10000719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20230301</t>
        </is>
      </c>
      <c r="M46" s="8" t="inlineStr">
        <is>
          <t>20250129</t>
        </is>
      </c>
      <c r="N46" s="10" t="n">
        <v>114.42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900000434</v>
      </c>
      <c r="D47" s="7">
        <f>IFERROR(VLOOKUP(C47,TRAOPE!$G:$H,2,0),"")</f>
        <v/>
      </c>
      <c r="E47" s="8" t="inlineStr">
        <is>
          <t>DW83</t>
        </is>
      </c>
      <c r="F47" s="8" t="inlineStr">
        <is>
          <t>D243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10192197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20230301</t>
        </is>
      </c>
      <c r="M47" s="8" t="inlineStr">
        <is>
          <t>20250129</t>
        </is>
      </c>
      <c r="N47" s="10" t="n">
        <v>91.48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900000472</v>
      </c>
      <c r="D48" s="7">
        <f>IFERROR(VLOOKUP(C48,TRAOPE!$G:$H,2,0),"")</f>
        <v/>
      </c>
      <c r="E48" s="8" t="inlineStr">
        <is>
          <t>DW83</t>
        </is>
      </c>
      <c r="F48" s="8" t="inlineStr">
        <is>
          <t>D215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10000643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20240215</t>
        </is>
      </c>
      <c r="M48" s="8" t="inlineStr">
        <is>
          <t>20251031</t>
        </is>
      </c>
      <c r="N48" s="10" t="n">
        <v>1349.42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900000472</v>
      </c>
      <c r="D49" s="7">
        <f>IFERROR(VLOOKUP(C49,TRAOPE!$G:$H,2,0),"")</f>
        <v/>
      </c>
      <c r="E49" s="8" t="inlineStr">
        <is>
          <t>DW83</t>
        </is>
      </c>
      <c r="F49" s="8" t="inlineStr">
        <is>
          <t>D215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10000655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20240215</t>
        </is>
      </c>
      <c r="M49" s="8" t="inlineStr">
        <is>
          <t>20251031</t>
        </is>
      </c>
      <c r="N49" s="10" t="n">
        <v>1349.42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900000472</v>
      </c>
      <c r="D50" s="7">
        <f>IFERROR(VLOOKUP(C50,TRAOPE!$G:$H,2,0),"")</f>
        <v/>
      </c>
      <c r="E50" s="8" t="inlineStr">
        <is>
          <t>DW83</t>
        </is>
      </c>
      <c r="F50" s="8" t="inlineStr">
        <is>
          <t>D215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10001456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20240215</t>
        </is>
      </c>
      <c r="M50" s="8" t="inlineStr">
        <is>
          <t>20251031</t>
        </is>
      </c>
      <c r="N50" s="10" t="n">
        <v>1349.42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900000472</v>
      </c>
      <c r="D51" s="7">
        <f>IFERROR(VLOOKUP(C51,TRAOPE!$G:$H,2,0),"")</f>
        <v/>
      </c>
      <c r="E51" s="8" t="inlineStr">
        <is>
          <t>DW83</t>
        </is>
      </c>
      <c r="F51" s="8" t="inlineStr">
        <is>
          <t>D215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10210344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20240215</t>
        </is>
      </c>
      <c r="M51" s="8" t="inlineStr">
        <is>
          <t>20251031</t>
        </is>
      </c>
      <c r="N51" s="10" t="n">
        <v>1349.42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900000560</v>
      </c>
      <c r="D52" s="7">
        <f>IFERROR(VLOOKUP(C52,TRAOPE!$G:$H,2,0),"")</f>
        <v/>
      </c>
      <c r="E52" s="8" t="inlineStr">
        <is>
          <t>DW83</t>
        </is>
      </c>
      <c r="F52" s="8" t="inlineStr">
        <is>
          <t>D216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10000437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20230310</t>
        </is>
      </c>
      <c r="M52" s="8" t="inlineStr">
        <is>
          <t>20250701</t>
        </is>
      </c>
      <c r="N52" s="10" t="n">
        <v>232.56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900000560</v>
      </c>
      <c r="D53" s="7">
        <f>IFERROR(VLOOKUP(C53,TRAOPE!$G:$H,2,0),"")</f>
        <v/>
      </c>
      <c r="E53" s="8" t="inlineStr">
        <is>
          <t>DW83</t>
        </is>
      </c>
      <c r="F53" s="8" t="inlineStr">
        <is>
          <t>D216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10000829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20240705</t>
        </is>
      </c>
      <c r="M53" s="8" t="inlineStr">
        <is>
          <t>20240705</t>
        </is>
      </c>
      <c r="N53" s="10" t="n">
        <v>244.76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900000560</v>
      </c>
      <c r="D54" s="7">
        <f>IFERROR(VLOOKUP(C54,TRAOPE!$G:$H,2,0),"")</f>
        <v/>
      </c>
      <c r="E54" s="8" t="inlineStr">
        <is>
          <t>DW83</t>
        </is>
      </c>
      <c r="F54" s="8" t="inlineStr">
        <is>
          <t>D216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10258539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20240704</t>
        </is>
      </c>
      <c r="M54" s="8" t="inlineStr">
        <is>
          <t>20250701</t>
        </is>
      </c>
      <c r="N54" s="10" t="n">
        <v>219.99</v>
      </c>
      <c r="O54" s="10">
        <f>IFERROR(VLOOKUP(A54,Flete!$A:$J,10,0),"")</f>
        <v/>
      </c>
      <c r="P54" s="8" t="inlineStr">
        <is>
          <t>TN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900001405</v>
      </c>
      <c r="D55" s="7">
        <f>IFERROR(VLOOKUP(C55,TRAOPE!$G:$H,2,0),"")</f>
        <v/>
      </c>
      <c r="E55" s="8" t="inlineStr">
        <is>
          <t>DW83</t>
        </is>
      </c>
      <c r="F55" s="8" t="inlineStr">
        <is>
          <t>D215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10000586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20220516</t>
        </is>
      </c>
      <c r="M55" s="8" t="inlineStr">
        <is>
          <t>20251031</t>
        </is>
      </c>
      <c r="N55" s="10" t="n">
        <v>250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900001405</v>
      </c>
      <c r="D56" s="7">
        <f>IFERROR(VLOOKUP(C56,TRAOPE!$G:$H,2,0),"")</f>
        <v/>
      </c>
      <c r="E56" s="8" t="inlineStr">
        <is>
          <t>DW83</t>
        </is>
      </c>
      <c r="F56" s="8" t="inlineStr">
        <is>
          <t>D215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10001867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20220516</t>
        </is>
      </c>
      <c r="M56" s="8" t="inlineStr">
        <is>
          <t>20251031</t>
        </is>
      </c>
      <c r="N56" s="10" t="n">
        <v>250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900003017</v>
      </c>
      <c r="D57" s="7">
        <f>IFERROR(VLOOKUP(C57,TRAOPE!$G:$H,2,0),"")</f>
        <v/>
      </c>
      <c r="E57" s="8" t="inlineStr">
        <is>
          <t>DW83</t>
        </is>
      </c>
      <c r="F57" s="8" t="inlineStr">
        <is>
          <t>D216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10049556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20220516</t>
        </is>
      </c>
      <c r="M57" s="8" t="inlineStr">
        <is>
          <t>20251031</t>
        </is>
      </c>
      <c r="N57" s="10" t="n">
        <v>131.78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900003017</v>
      </c>
      <c r="D58" s="7">
        <f>IFERROR(VLOOKUP(C58,TRAOPE!$G:$H,2,0),"")</f>
        <v/>
      </c>
      <c r="E58" s="8" t="inlineStr">
        <is>
          <t>DW83</t>
        </is>
      </c>
      <c r="F58" s="8" t="inlineStr">
        <is>
          <t>D243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10000383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20230301</t>
        </is>
      </c>
      <c r="M58" s="8" t="inlineStr">
        <is>
          <t>20250129</t>
        </is>
      </c>
      <c r="N58" s="10" t="n">
        <v>125.46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900003017</v>
      </c>
      <c r="D59" s="7">
        <f>IFERROR(VLOOKUP(C59,TRAOPE!$G:$H,2,0),"")</f>
        <v/>
      </c>
      <c r="E59" s="8" t="inlineStr">
        <is>
          <t>DW83</t>
        </is>
      </c>
      <c r="F59" s="8" t="inlineStr">
        <is>
          <t>D243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10049554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20230301</t>
        </is>
      </c>
      <c r="M59" s="8" t="inlineStr">
        <is>
          <t>20250129</t>
        </is>
      </c>
      <c r="N59" s="10" t="n">
        <v>133.41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900003017</v>
      </c>
      <c r="D60" s="7">
        <f>IFERROR(VLOOKUP(C60,TRAOPE!$G:$H,2,0),"")</f>
        <v/>
      </c>
      <c r="E60" s="8" t="inlineStr">
        <is>
          <t>DW83</t>
        </is>
      </c>
      <c r="F60" s="8" t="inlineStr">
        <is>
          <t>D243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10049556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20230301</t>
        </is>
      </c>
      <c r="M60" s="8" t="inlineStr">
        <is>
          <t>20250129</t>
        </is>
      </c>
      <c r="N60" s="10" t="n">
        <v>86.14</v>
      </c>
      <c r="O60" s="10">
        <f>IFERROR(VLOOKUP(A60,Flete!$A:$J,10,0),"")</f>
        <v/>
      </c>
      <c r="P60" s="8" t="inlineStr">
        <is>
          <t>TN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900003017</v>
      </c>
      <c r="D61" s="7">
        <f>IFERROR(VLOOKUP(C61,TRAOPE!$G:$H,2,0),"")</f>
        <v/>
      </c>
      <c r="E61" s="8" t="inlineStr">
        <is>
          <t>DW83</t>
        </is>
      </c>
      <c r="F61" s="8" t="inlineStr">
        <is>
          <t>D243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10052407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20230301</t>
        </is>
      </c>
      <c r="M61" s="8" t="inlineStr">
        <is>
          <t>20250129</t>
        </is>
      </c>
      <c r="N61" s="10" t="n">
        <v>82.78</v>
      </c>
      <c r="O61" s="10">
        <f>IFERROR(VLOOKUP(A61,Flete!$A:$J,10,0),"")</f>
        <v/>
      </c>
      <c r="P61" s="8" t="inlineStr">
        <is>
          <t>TN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900003017</v>
      </c>
      <c r="D62" s="7">
        <f>IFERROR(VLOOKUP(C62,TRAOPE!$G:$H,2,0),"")</f>
        <v/>
      </c>
      <c r="E62" s="8" t="inlineStr">
        <is>
          <t>DW83</t>
        </is>
      </c>
      <c r="F62" s="8" t="inlineStr">
        <is>
          <t>D243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10060689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20230301</t>
        </is>
      </c>
      <c r="M62" s="8" t="inlineStr">
        <is>
          <t>20250129</t>
        </is>
      </c>
      <c r="N62" s="10" t="n">
        <v>80</v>
      </c>
      <c r="O62" s="10">
        <f>IFERROR(VLOOKUP(A62,Flete!$A:$J,10,0),"")</f>
        <v/>
      </c>
      <c r="P62" s="8" t="inlineStr">
        <is>
          <t>TN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900003368</v>
      </c>
      <c r="D63" s="7">
        <f>IFERROR(VLOOKUP(C63,TRAOPE!$G:$H,2,0),"")</f>
        <v/>
      </c>
      <c r="E63" s="8" t="inlineStr">
        <is>
          <t>DW83</t>
        </is>
      </c>
      <c r="F63" s="8" t="inlineStr">
        <is>
          <t>D215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10000332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20230203</t>
        </is>
      </c>
      <c r="M63" s="8" t="inlineStr">
        <is>
          <t>20240201</t>
        </is>
      </c>
      <c r="N63" s="10" t="n">
        <v>327.5</v>
      </c>
      <c r="O63" s="10">
        <f>IFERROR(VLOOKUP(A63,Flete!$A:$J,10,0),"")</f>
        <v/>
      </c>
      <c r="P63" s="8" t="inlineStr">
        <is>
          <t>TN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900003368</v>
      </c>
      <c r="D64" s="7">
        <f>IFERROR(VLOOKUP(C64,TRAOPE!$G:$H,2,0),"")</f>
        <v/>
      </c>
      <c r="E64" s="8" t="inlineStr">
        <is>
          <t>DW83</t>
        </is>
      </c>
      <c r="F64" s="8" t="inlineStr">
        <is>
          <t>D215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10000377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20260601</t>
        </is>
      </c>
      <c r="M64" s="8" t="inlineStr">
        <is>
          <t>99991231</t>
        </is>
      </c>
      <c r="N64" s="10" t="n">
        <v>91.83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900003368</v>
      </c>
      <c r="D65" s="7">
        <f>IFERROR(VLOOKUP(C65,TRAOPE!$G:$H,2,0),"")</f>
        <v/>
      </c>
      <c r="E65" s="8" t="inlineStr">
        <is>
          <t>DW83</t>
        </is>
      </c>
      <c r="F65" s="8" t="inlineStr">
        <is>
          <t>D215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10000379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20260601</t>
        </is>
      </c>
      <c r="M65" s="8" t="inlineStr">
        <is>
          <t>99991231</t>
        </is>
      </c>
      <c r="N65" s="10" t="n">
        <v>139.55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900003368</v>
      </c>
      <c r="D66" s="7">
        <f>IFERROR(VLOOKUP(C66,TRAOPE!$G:$H,2,0),"")</f>
        <v/>
      </c>
      <c r="E66" s="8" t="inlineStr">
        <is>
          <t>DW83</t>
        </is>
      </c>
      <c r="F66" s="8" t="inlineStr">
        <is>
          <t>D215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10000381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20230203</t>
        </is>
      </c>
      <c r="M66" s="8" t="inlineStr">
        <is>
          <t>20240201</t>
        </is>
      </c>
      <c r="N66" s="10" t="n">
        <v>55.85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900003368</v>
      </c>
      <c r="D67" s="7">
        <f>IFERROR(VLOOKUP(C67,TRAOPE!$G:$H,2,0),"")</f>
        <v/>
      </c>
      <c r="E67" s="8" t="inlineStr">
        <is>
          <t>DW83</t>
        </is>
      </c>
      <c r="F67" s="8" t="inlineStr">
        <is>
          <t>D215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10000383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20260601</t>
        </is>
      </c>
      <c r="M67" s="8" t="inlineStr">
        <is>
          <t>99991231</t>
        </is>
      </c>
      <c r="N67" s="10" t="n">
        <v>146.84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900003368</v>
      </c>
      <c r="D68" s="7">
        <f>IFERROR(VLOOKUP(C68,TRAOPE!$G:$H,2,0),"")</f>
        <v/>
      </c>
      <c r="E68" s="8" t="inlineStr">
        <is>
          <t>DW83</t>
        </is>
      </c>
      <c r="F68" s="8" t="inlineStr">
        <is>
          <t>D215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10000719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20260601</t>
        </is>
      </c>
      <c r="M68" s="8" t="inlineStr">
        <is>
          <t>99991231</t>
        </is>
      </c>
      <c r="N68" s="10" t="n">
        <v>107.14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900003368</v>
      </c>
      <c r="D69" s="7">
        <f>IFERROR(VLOOKUP(C69,TRAOPE!$G:$H,2,0),"")</f>
        <v/>
      </c>
      <c r="E69" s="8" t="inlineStr">
        <is>
          <t>DW83</t>
        </is>
      </c>
      <c r="F69" s="8" t="inlineStr">
        <is>
          <t>D215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10192197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20260601</t>
        </is>
      </c>
      <c r="M69" s="8" t="inlineStr">
        <is>
          <t>99991231</t>
        </is>
      </c>
      <c r="N69" s="10" t="n">
        <v>107.07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900003368</v>
      </c>
      <c r="D70" s="7">
        <f>IFERROR(VLOOKUP(C70,TRAOPE!$G:$H,2,0),"")</f>
        <v/>
      </c>
      <c r="E70" s="8" t="inlineStr">
        <is>
          <t>DW83</t>
        </is>
      </c>
      <c r="F70" s="8" t="inlineStr">
        <is>
          <t>D216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10000719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20230203</t>
        </is>
      </c>
      <c r="M70" s="8" t="inlineStr">
        <is>
          <t>99991231</t>
        </is>
      </c>
      <c r="N70" s="10" t="n">
        <v>97.09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900003368</v>
      </c>
      <c r="D71" s="7">
        <f>IFERROR(VLOOKUP(C71,TRAOPE!$G:$H,2,0),"")</f>
        <v/>
      </c>
      <c r="E71" s="8" t="inlineStr">
        <is>
          <t>DW83</t>
        </is>
      </c>
      <c r="F71" s="8" t="inlineStr">
        <is>
          <t>D386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10000332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20230203</t>
        </is>
      </c>
      <c r="M71" s="8" t="inlineStr">
        <is>
          <t>20240201</t>
        </is>
      </c>
      <c r="N71" s="10" t="n">
        <v>327.5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900003368</v>
      </c>
      <c r="D72" s="7">
        <f>IFERROR(VLOOKUP(C72,TRAOPE!$G:$H,2,0),"")</f>
        <v/>
      </c>
      <c r="E72" s="8" t="inlineStr">
        <is>
          <t>DW83</t>
        </is>
      </c>
      <c r="F72" s="8" t="inlineStr">
        <is>
          <t>D386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10210656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20230203</t>
        </is>
      </c>
      <c r="M72" s="8" t="inlineStr">
        <is>
          <t>20240201</t>
        </is>
      </c>
      <c r="N72" s="10" t="n">
        <v>327.5</v>
      </c>
      <c r="O72" s="10">
        <f>IFERROR(VLOOKUP(A72,Flete!$A:$J,10,0),"")</f>
        <v/>
      </c>
      <c r="P72" s="8" t="inlineStr">
        <is>
          <t>TN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900003368</v>
      </c>
      <c r="D73" s="7">
        <f>IFERROR(VLOOKUP(C73,TRAOPE!$G:$H,2,0),"")</f>
        <v/>
      </c>
      <c r="E73" s="8" t="inlineStr">
        <is>
          <t>DW83</t>
        </is>
      </c>
      <c r="F73" s="8" t="inlineStr">
        <is>
          <t>D557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10000332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20230203</t>
        </is>
      </c>
      <c r="M73" s="8" t="inlineStr">
        <is>
          <t>20240201</t>
        </is>
      </c>
      <c r="N73" s="10" t="n">
        <v>327.5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900003368</v>
      </c>
      <c r="D74" s="7">
        <f>IFERROR(VLOOKUP(C74,TRAOPE!$G:$H,2,0),"")</f>
        <v/>
      </c>
      <c r="E74" s="8" t="inlineStr">
        <is>
          <t>DW83</t>
        </is>
      </c>
      <c r="F74" s="8" t="inlineStr">
        <is>
          <t>D557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10000377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20260601</t>
        </is>
      </c>
      <c r="M74" s="8" t="inlineStr">
        <is>
          <t>99991231</t>
        </is>
      </c>
      <c r="N74" s="10" t="n">
        <v>91.83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900003368</v>
      </c>
      <c r="D75" s="7">
        <f>IFERROR(VLOOKUP(C75,TRAOPE!$G:$H,2,0),"")</f>
        <v/>
      </c>
      <c r="E75" s="8" t="inlineStr">
        <is>
          <t>DW83</t>
        </is>
      </c>
      <c r="F75" s="8" t="inlineStr">
        <is>
          <t>D557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10000379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20260601</t>
        </is>
      </c>
      <c r="M75" s="8" t="inlineStr">
        <is>
          <t>99991231</t>
        </is>
      </c>
      <c r="N75" s="10" t="n">
        <v>139.55</v>
      </c>
      <c r="O75" s="10">
        <f>IFERROR(VLOOKUP(A75,Flete!$A:$J,10,0),"")</f>
        <v/>
      </c>
      <c r="P75" s="8" t="inlineStr">
        <is>
          <t>TN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900003368</v>
      </c>
      <c r="D76" s="7">
        <f>IFERROR(VLOOKUP(C76,TRAOPE!$G:$H,2,0),"")</f>
        <v/>
      </c>
      <c r="E76" s="8" t="inlineStr">
        <is>
          <t>DW83</t>
        </is>
      </c>
      <c r="F76" s="8" t="inlineStr">
        <is>
          <t>D557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10000383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20260601</t>
        </is>
      </c>
      <c r="M76" s="8" t="inlineStr">
        <is>
          <t>99991231</t>
        </is>
      </c>
      <c r="N76" s="10" t="n">
        <v>146.84</v>
      </c>
      <c r="O76" s="10">
        <f>IFERROR(VLOOKUP(A76,Flete!$A:$J,10,0),"")</f>
        <v/>
      </c>
      <c r="P76" s="8" t="inlineStr">
        <is>
          <t>TN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900003368</v>
      </c>
      <c r="D77" s="7">
        <f>IFERROR(VLOOKUP(C77,TRAOPE!$G:$H,2,0),"")</f>
        <v/>
      </c>
      <c r="E77" s="8" t="inlineStr">
        <is>
          <t>DW83</t>
        </is>
      </c>
      <c r="F77" s="8" t="inlineStr">
        <is>
          <t>D557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10000719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20260601</t>
        </is>
      </c>
      <c r="M77" s="8" t="inlineStr">
        <is>
          <t>99991231</t>
        </is>
      </c>
      <c r="N77" s="10" t="n">
        <v>107.14</v>
      </c>
      <c r="O77" s="10">
        <f>IFERROR(VLOOKUP(A77,Flete!$A:$J,10,0),"")</f>
        <v/>
      </c>
      <c r="P77" s="8" t="inlineStr">
        <is>
          <t>TN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900003368</v>
      </c>
      <c r="D78" s="7">
        <f>IFERROR(VLOOKUP(C78,TRAOPE!$G:$H,2,0),"")</f>
        <v/>
      </c>
      <c r="E78" s="8" t="inlineStr">
        <is>
          <t>DW83</t>
        </is>
      </c>
      <c r="F78" s="8" t="inlineStr">
        <is>
          <t>D557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10000726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20230301</t>
        </is>
      </c>
      <c r="M78" s="8" t="inlineStr">
        <is>
          <t>99991231</t>
        </is>
      </c>
      <c r="N78" s="10" t="n">
        <v>123.78</v>
      </c>
      <c r="O78" s="10">
        <f>IFERROR(VLOOKUP(A78,Flete!$A:$J,10,0),"")</f>
        <v/>
      </c>
      <c r="P78" s="8" t="inlineStr">
        <is>
          <t>TN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900003368</v>
      </c>
      <c r="D79" s="7">
        <f>IFERROR(VLOOKUP(C79,TRAOPE!$G:$H,2,0),"")</f>
        <v/>
      </c>
      <c r="E79" s="8" t="inlineStr">
        <is>
          <t>DW83</t>
        </is>
      </c>
      <c r="F79" s="8" t="inlineStr">
        <is>
          <t>D557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10192197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20260601</t>
        </is>
      </c>
      <c r="M79" s="8" t="inlineStr">
        <is>
          <t>99991231</t>
        </is>
      </c>
      <c r="N79" s="10" t="n">
        <v>107.07</v>
      </c>
      <c r="O79" s="10">
        <f>IFERROR(VLOOKUP(A79,Flete!$A:$J,10,0),"")</f>
        <v/>
      </c>
      <c r="P79" s="8" t="inlineStr">
        <is>
          <t>TN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900003894</v>
      </c>
      <c r="D80" s="7">
        <f>IFERROR(VLOOKUP(C80,TRAOPE!$G:$H,2,0),"")</f>
        <v/>
      </c>
      <c r="E80" s="8" t="inlineStr">
        <is>
          <t>DW83</t>
        </is>
      </c>
      <c r="F80" s="8" t="inlineStr">
        <is>
          <t>D033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10000377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20220516</t>
        </is>
      </c>
      <c r="M80" s="8" t="inlineStr">
        <is>
          <t>20251031</t>
        </is>
      </c>
      <c r="N80" s="10" t="n">
        <v>76.17</v>
      </c>
      <c r="O80" s="10">
        <f>IFERROR(VLOOKUP(A80,Flete!$A:$J,10,0),"")</f>
        <v/>
      </c>
      <c r="P80" s="8" t="inlineStr">
        <is>
          <t>TN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900003894</v>
      </c>
      <c r="D81" s="7">
        <f>IFERROR(VLOOKUP(C81,TRAOPE!$G:$H,2,0),"")</f>
        <v/>
      </c>
      <c r="E81" s="8" t="inlineStr">
        <is>
          <t>DW83</t>
        </is>
      </c>
      <c r="F81" s="8" t="inlineStr">
        <is>
          <t>D033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10000379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20220516</t>
        </is>
      </c>
      <c r="M81" s="8" t="inlineStr">
        <is>
          <t>20251031</t>
        </is>
      </c>
      <c r="N81" s="10" t="n">
        <v>103.27</v>
      </c>
      <c r="O81" s="10">
        <f>IFERROR(VLOOKUP(A81,Flete!$A:$J,10,0),"")</f>
        <v/>
      </c>
      <c r="P81" s="8" t="inlineStr">
        <is>
          <t>TN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900003894</v>
      </c>
      <c r="D82" s="7">
        <f>IFERROR(VLOOKUP(C82,TRAOPE!$G:$H,2,0),"")</f>
        <v/>
      </c>
      <c r="E82" s="8" t="inlineStr">
        <is>
          <t>DW83</t>
        </is>
      </c>
      <c r="F82" s="8" t="inlineStr">
        <is>
          <t>D033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10000381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20220516</t>
        </is>
      </c>
      <c r="M82" s="8" t="inlineStr">
        <is>
          <t>20251031</t>
        </is>
      </c>
      <c r="N82" s="10" t="n">
        <v>69.08</v>
      </c>
      <c r="O82" s="10">
        <f>IFERROR(VLOOKUP(A82,Flete!$A:$J,10,0),"")</f>
        <v/>
      </c>
      <c r="P82" s="8" t="inlineStr">
        <is>
          <t>TN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900003894</v>
      </c>
      <c r="D83" s="7">
        <f>IFERROR(VLOOKUP(C83,TRAOPE!$G:$H,2,0),"")</f>
        <v/>
      </c>
      <c r="E83" s="8" t="inlineStr">
        <is>
          <t>DW83</t>
        </is>
      </c>
      <c r="F83" s="8" t="inlineStr">
        <is>
          <t>D033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10000383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20220516</t>
        </is>
      </c>
      <c r="M83" s="8" t="inlineStr">
        <is>
          <t>20251031</t>
        </is>
      </c>
      <c r="N83" s="10" t="n">
        <v>108.66</v>
      </c>
      <c r="O83" s="10">
        <f>IFERROR(VLOOKUP(A83,Flete!$A:$J,10,0),"")</f>
        <v/>
      </c>
      <c r="P83" s="8" t="inlineStr">
        <is>
          <t>TN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900003894</v>
      </c>
      <c r="D84" s="7">
        <f>IFERROR(VLOOKUP(C84,TRAOPE!$G:$H,2,0),"")</f>
        <v/>
      </c>
      <c r="E84" s="8" t="inlineStr">
        <is>
          <t>DW83</t>
        </is>
      </c>
      <c r="F84" s="8" t="inlineStr">
        <is>
          <t>D215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10000377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20220516</t>
        </is>
      </c>
      <c r="M84" s="8" t="inlineStr">
        <is>
          <t>20251031</t>
        </is>
      </c>
      <c r="N84" s="10" t="n">
        <v>76.17</v>
      </c>
      <c r="O84" s="10">
        <f>IFERROR(VLOOKUP(A84,Flete!$A:$J,10,0),"")</f>
        <v/>
      </c>
      <c r="P84" s="8" t="inlineStr">
        <is>
          <t>TN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900003894</v>
      </c>
      <c r="D85" s="7">
        <f>IFERROR(VLOOKUP(C85,TRAOPE!$G:$H,2,0),"")</f>
        <v/>
      </c>
      <c r="E85" s="8" t="inlineStr">
        <is>
          <t>DW83</t>
        </is>
      </c>
      <c r="F85" s="8" t="inlineStr">
        <is>
          <t>D215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10000379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20220516</t>
        </is>
      </c>
      <c r="M85" s="8" t="inlineStr">
        <is>
          <t>20251031</t>
        </is>
      </c>
      <c r="N85" s="10" t="n">
        <v>103.27</v>
      </c>
      <c r="O85" s="10">
        <f>IFERROR(VLOOKUP(A85,Flete!$A:$J,10,0),"")</f>
        <v/>
      </c>
      <c r="P85" s="8" t="inlineStr">
        <is>
          <t>TN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900003894</v>
      </c>
      <c r="D86" s="7">
        <f>IFERROR(VLOOKUP(C86,TRAOPE!$G:$H,2,0),"")</f>
        <v/>
      </c>
      <c r="E86" s="8" t="inlineStr">
        <is>
          <t>DW83</t>
        </is>
      </c>
      <c r="F86" s="8" t="inlineStr">
        <is>
          <t>D215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10000381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20220516</t>
        </is>
      </c>
      <c r="M86" s="8" t="inlineStr">
        <is>
          <t>20251031</t>
        </is>
      </c>
      <c r="N86" s="10" t="n">
        <v>69.08</v>
      </c>
      <c r="O86" s="10">
        <f>IFERROR(VLOOKUP(A86,Flete!$A:$J,10,0),"")</f>
        <v/>
      </c>
      <c r="P86" s="8" t="inlineStr">
        <is>
          <t>TN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900003894</v>
      </c>
      <c r="D87" s="7">
        <f>IFERROR(VLOOKUP(C87,TRAOPE!$G:$H,2,0),"")</f>
        <v/>
      </c>
      <c r="E87" s="8" t="inlineStr">
        <is>
          <t>DW83</t>
        </is>
      </c>
      <c r="F87" s="8" t="inlineStr">
        <is>
          <t>D215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10000383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20220516</t>
        </is>
      </c>
      <c r="M87" s="8" t="inlineStr">
        <is>
          <t>20251031</t>
        </is>
      </c>
      <c r="N87" s="10" t="n">
        <v>108.66</v>
      </c>
      <c r="O87" s="10">
        <f>IFERROR(VLOOKUP(A87,Flete!$A:$J,10,0),"")</f>
        <v/>
      </c>
      <c r="P87" s="8" t="inlineStr">
        <is>
          <t>TN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900004148</v>
      </c>
      <c r="D88" s="7">
        <f>IFERROR(VLOOKUP(C88,TRAOPE!$G:$H,2,0),"")</f>
        <v/>
      </c>
      <c r="E88" s="8" t="inlineStr">
        <is>
          <t>DW83</t>
        </is>
      </c>
      <c r="F88" s="8" t="inlineStr">
        <is>
          <t>D243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10066082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20230301</t>
        </is>
      </c>
      <c r="M88" s="8" t="inlineStr">
        <is>
          <t>20250129</t>
        </is>
      </c>
      <c r="N88" s="10" t="n">
        <v>84.06</v>
      </c>
      <c r="O88" s="10">
        <f>IFERROR(VLOOKUP(A88,Flete!$A:$J,10,0),"")</f>
        <v/>
      </c>
      <c r="P88" s="8" t="inlineStr">
        <is>
          <t>TN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900004722</v>
      </c>
      <c r="D89" s="7">
        <f>IFERROR(VLOOKUP(C89,TRAOPE!$G:$H,2,0),"")</f>
        <v/>
      </c>
      <c r="E89" s="8" t="inlineStr">
        <is>
          <t>DW83</t>
        </is>
      </c>
      <c r="F89" s="8" t="inlineStr">
        <is>
          <t>D557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10000377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20220516</t>
        </is>
      </c>
      <c r="M89" s="8" t="inlineStr">
        <is>
          <t>20251031</t>
        </is>
      </c>
      <c r="N89" s="10" t="n">
        <v>98.34999999999999</v>
      </c>
      <c r="O89" s="10">
        <f>IFERROR(VLOOKUP(A89,Flete!$A:$J,10,0),"")</f>
        <v/>
      </c>
      <c r="P89" s="8" t="inlineStr">
        <is>
          <t>TN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900004722</v>
      </c>
      <c r="D90" s="7">
        <f>IFERROR(VLOOKUP(C90,TRAOPE!$G:$H,2,0),"")</f>
        <v/>
      </c>
      <c r="E90" s="8" t="inlineStr">
        <is>
          <t>DW83</t>
        </is>
      </c>
      <c r="F90" s="8" t="inlineStr">
        <is>
          <t>D557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10000379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20220516</t>
        </is>
      </c>
      <c r="M90" s="8" t="inlineStr">
        <is>
          <t>20251031</t>
        </is>
      </c>
      <c r="N90" s="10" t="n">
        <v>111.08</v>
      </c>
      <c r="O90" s="10">
        <f>IFERROR(VLOOKUP(A90,Flete!$A:$J,10,0),"")</f>
        <v/>
      </c>
      <c r="P90" s="8" t="inlineStr">
        <is>
          <t>TN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900004722</v>
      </c>
      <c r="D91" s="7">
        <f>IFERROR(VLOOKUP(C91,TRAOPE!$G:$H,2,0),"")</f>
        <v/>
      </c>
      <c r="E91" s="8" t="inlineStr">
        <is>
          <t>DW83</t>
        </is>
      </c>
      <c r="F91" s="8" t="inlineStr">
        <is>
          <t>D557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10000383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20220516</t>
        </is>
      </c>
      <c r="M91" s="8" t="inlineStr">
        <is>
          <t>20251031</t>
        </is>
      </c>
      <c r="N91" s="10" t="n">
        <v>116.89</v>
      </c>
      <c r="O91" s="10">
        <f>IFERROR(VLOOKUP(A91,Flete!$A:$J,10,0),"")</f>
        <v/>
      </c>
      <c r="P91" s="8" t="inlineStr">
        <is>
          <t>TN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900004722</v>
      </c>
      <c r="D92" s="7">
        <f>IFERROR(VLOOKUP(C92,TRAOPE!$G:$H,2,0),"")</f>
        <v/>
      </c>
      <c r="E92" s="8" t="inlineStr">
        <is>
          <t>DW83</t>
        </is>
      </c>
      <c r="F92" s="8" t="inlineStr">
        <is>
          <t>D557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10000719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20220516</t>
        </is>
      </c>
      <c r="M92" s="8" t="inlineStr">
        <is>
          <t>20251031</t>
        </is>
      </c>
      <c r="N92" s="10" t="n">
        <v>113.73</v>
      </c>
      <c r="O92" s="10">
        <f>IFERROR(VLOOKUP(A92,Flete!$A:$J,10,0),"")</f>
        <v/>
      </c>
      <c r="P92" s="8" t="inlineStr">
        <is>
          <t>TN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900004722</v>
      </c>
      <c r="D93" s="7">
        <f>IFERROR(VLOOKUP(C93,TRAOPE!$G:$H,2,0),"")</f>
        <v/>
      </c>
      <c r="E93" s="8" t="inlineStr">
        <is>
          <t>DW83</t>
        </is>
      </c>
      <c r="F93" s="8" t="inlineStr">
        <is>
          <t>D557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10000726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20220516</t>
        </is>
      </c>
      <c r="M93" s="8" t="inlineStr">
        <is>
          <t>20251031</t>
        </is>
      </c>
      <c r="N93" s="10" t="n">
        <v>157.8</v>
      </c>
      <c r="O93" s="10">
        <f>IFERROR(VLOOKUP(A93,Flete!$A:$J,10,0),"")</f>
        <v/>
      </c>
      <c r="P93" s="8" t="inlineStr">
        <is>
          <t>TN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900004722</v>
      </c>
      <c r="D94" s="7">
        <f>IFERROR(VLOOKUP(C94,TRAOPE!$G:$H,2,0),"")</f>
        <v/>
      </c>
      <c r="E94" s="8" t="inlineStr">
        <is>
          <t>DW83</t>
        </is>
      </c>
      <c r="F94" s="8" t="inlineStr">
        <is>
          <t>D557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10192197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20220516</t>
        </is>
      </c>
      <c r="M94" s="8" t="inlineStr">
        <is>
          <t>20251031</t>
        </is>
      </c>
      <c r="N94" s="10" t="n">
        <v>74.39</v>
      </c>
      <c r="O94" s="10">
        <f>IFERROR(VLOOKUP(A94,Flete!$A:$J,10,0),"")</f>
        <v/>
      </c>
      <c r="P94" s="8" t="inlineStr">
        <is>
          <t>TN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900004777</v>
      </c>
      <c r="D95" s="7">
        <f>IFERROR(VLOOKUP(C95,TRAOPE!$G:$H,2,0),"")</f>
        <v/>
      </c>
      <c r="E95" s="8" t="inlineStr">
        <is>
          <t>DW83</t>
        </is>
      </c>
      <c r="F95" s="8" t="inlineStr">
        <is>
          <t>D059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10000377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20230203</t>
        </is>
      </c>
      <c r="M95" s="8" t="inlineStr">
        <is>
          <t>20240201</t>
        </is>
      </c>
      <c r="N95" s="10" t="n">
        <v>111.47</v>
      </c>
      <c r="O95" s="10">
        <f>IFERROR(VLOOKUP(A95,Flete!$A:$J,10,0),"")</f>
        <v/>
      </c>
      <c r="P95" s="8" t="inlineStr">
        <is>
          <t>TN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900004777</v>
      </c>
      <c r="D96" s="7">
        <f>IFERROR(VLOOKUP(C96,TRAOPE!$G:$H,2,0),"")</f>
        <v/>
      </c>
      <c r="E96" s="8" t="inlineStr">
        <is>
          <t>DW83</t>
        </is>
      </c>
      <c r="F96" s="8" t="inlineStr">
        <is>
          <t>D059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10000379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20230203</t>
        </is>
      </c>
      <c r="M96" s="8" t="inlineStr">
        <is>
          <t>20240201</t>
        </is>
      </c>
      <c r="N96" s="10" t="n">
        <v>129.5</v>
      </c>
      <c r="O96" s="10">
        <f>IFERROR(VLOOKUP(A96,Flete!$A:$J,10,0),"")</f>
        <v/>
      </c>
      <c r="P96" s="8" t="inlineStr">
        <is>
          <t>TN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900004777</v>
      </c>
      <c r="D97" s="7">
        <f>IFERROR(VLOOKUP(C97,TRAOPE!$G:$H,2,0),"")</f>
        <v/>
      </c>
      <c r="E97" s="8" t="inlineStr">
        <is>
          <t>DW83</t>
        </is>
      </c>
      <c r="F97" s="8" t="inlineStr">
        <is>
          <t>D059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10000381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20230203</t>
        </is>
      </c>
      <c r="M97" s="8" t="inlineStr">
        <is>
          <t>20240201</t>
        </is>
      </c>
      <c r="N97" s="10" t="n">
        <v>88.63</v>
      </c>
      <c r="O97" s="10">
        <f>IFERROR(VLOOKUP(A97,Flete!$A:$J,10,0),"")</f>
        <v/>
      </c>
      <c r="P97" s="8" t="inlineStr">
        <is>
          <t>TN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900004777</v>
      </c>
      <c r="D98" s="7">
        <f>IFERROR(VLOOKUP(C98,TRAOPE!$G:$H,2,0),"")</f>
        <v/>
      </c>
      <c r="E98" s="8" t="inlineStr">
        <is>
          <t>DW83</t>
        </is>
      </c>
      <c r="F98" s="8" t="inlineStr">
        <is>
          <t>D059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10000383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20230203</t>
        </is>
      </c>
      <c r="M98" s="8" t="inlineStr">
        <is>
          <t>20240201</t>
        </is>
      </c>
      <c r="N98" s="10" t="n">
        <v>136.26</v>
      </c>
      <c r="O98" s="10">
        <f>IFERROR(VLOOKUP(A98,Flete!$A:$J,10,0),"")</f>
        <v/>
      </c>
      <c r="P98" s="8" t="inlineStr">
        <is>
          <t>TN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900004777</v>
      </c>
      <c r="D99" s="7">
        <f>IFERROR(VLOOKUP(C99,TRAOPE!$G:$H,2,0),"")</f>
        <v/>
      </c>
      <c r="E99" s="8" t="inlineStr">
        <is>
          <t>DW83</t>
        </is>
      </c>
      <c r="F99" s="8" t="inlineStr">
        <is>
          <t>D557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10000381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20230203</t>
        </is>
      </c>
      <c r="M99" s="8" t="inlineStr">
        <is>
          <t>20240201</t>
        </is>
      </c>
      <c r="N99" s="10" t="n">
        <v>73.84999999999999</v>
      </c>
      <c r="O99" s="10">
        <f>IFERROR(VLOOKUP(A99,Flete!$A:$J,10,0),"")</f>
        <v/>
      </c>
      <c r="P99" s="8" t="inlineStr">
        <is>
          <t>TN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900004830</v>
      </c>
      <c r="D100" s="7">
        <f>IFERROR(VLOOKUP(C100,TRAOPE!$G:$H,2,0),"")</f>
        <v/>
      </c>
      <c r="E100" s="8" t="inlineStr">
        <is>
          <t>DW83</t>
        </is>
      </c>
      <c r="F100" s="8" t="inlineStr">
        <is>
          <t>D033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10000377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20260601</t>
        </is>
      </c>
      <c r="M100" s="8" t="inlineStr">
        <is>
          <t>99991231</t>
        </is>
      </c>
      <c r="N100" s="10" t="n">
        <v>91.83</v>
      </c>
      <c r="O100" s="10">
        <f>IFERROR(VLOOKUP(A100,Flete!$A:$J,10,0),"")</f>
        <v/>
      </c>
      <c r="P100" s="8" t="inlineStr">
        <is>
          <t>TN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900004830</v>
      </c>
      <c r="D101" s="7">
        <f>IFERROR(VLOOKUP(C101,TRAOPE!$G:$H,2,0),"")</f>
        <v/>
      </c>
      <c r="E101" s="8" t="inlineStr">
        <is>
          <t>DW83</t>
        </is>
      </c>
      <c r="F101" s="8" t="inlineStr">
        <is>
          <t>D033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10000379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20260601</t>
        </is>
      </c>
      <c r="M101" s="8" t="inlineStr">
        <is>
          <t>99991231</t>
        </is>
      </c>
      <c r="N101" s="10" t="n">
        <v>139.55</v>
      </c>
      <c r="O101" s="10">
        <f>IFERROR(VLOOKUP(A101,Flete!$A:$J,10,0),"")</f>
        <v/>
      </c>
      <c r="P101" s="8" t="inlineStr">
        <is>
          <t>TN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900004830</v>
      </c>
      <c r="D102" s="7">
        <f>IFERROR(VLOOKUP(C102,TRAOPE!$G:$H,2,0),"")</f>
        <v/>
      </c>
      <c r="E102" s="8" t="inlineStr">
        <is>
          <t>DW83</t>
        </is>
      </c>
      <c r="F102" s="8" t="inlineStr">
        <is>
          <t>D033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10000381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20230203</t>
        </is>
      </c>
      <c r="M102" s="8" t="inlineStr">
        <is>
          <t>20240201</t>
        </is>
      </c>
      <c r="N102" s="10" t="n">
        <v>43.77</v>
      </c>
      <c r="O102" s="10">
        <f>IFERROR(VLOOKUP(A102,Flete!$A:$J,10,0),"")</f>
        <v/>
      </c>
      <c r="P102" s="8" t="inlineStr">
        <is>
          <t>TN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900004830</v>
      </c>
      <c r="D103" s="7">
        <f>IFERROR(VLOOKUP(C103,TRAOPE!$G:$H,2,0),"")</f>
        <v/>
      </c>
      <c r="E103" s="8" t="inlineStr">
        <is>
          <t>DW83</t>
        </is>
      </c>
      <c r="F103" s="8" t="inlineStr">
        <is>
          <t>D033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10000383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20260601</t>
        </is>
      </c>
      <c r="M103" s="8" t="inlineStr">
        <is>
          <t>99991231</t>
        </is>
      </c>
      <c r="N103" s="10" t="n">
        <v>146.84</v>
      </c>
      <c r="O103" s="10">
        <f>IFERROR(VLOOKUP(A103,Flete!$A:$J,10,0),"")</f>
        <v/>
      </c>
      <c r="P103" s="8" t="inlineStr">
        <is>
          <t>TN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900004830</v>
      </c>
      <c r="D104" s="7">
        <f>IFERROR(VLOOKUP(C104,TRAOPE!$G:$H,2,0),"")</f>
        <v/>
      </c>
      <c r="E104" s="8" t="inlineStr">
        <is>
          <t>DW83</t>
        </is>
      </c>
      <c r="F104" s="8" t="inlineStr">
        <is>
          <t>D033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10000719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20260601</t>
        </is>
      </c>
      <c r="M104" s="8" t="inlineStr">
        <is>
          <t>99991231</t>
        </is>
      </c>
      <c r="N104" s="10" t="n">
        <v>107.14</v>
      </c>
      <c r="O104" s="10">
        <f>IFERROR(VLOOKUP(A104,Flete!$A:$J,10,0),"")</f>
        <v/>
      </c>
      <c r="P104" s="8" t="inlineStr">
        <is>
          <t>TN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900004830</v>
      </c>
      <c r="D105" s="7">
        <f>IFERROR(VLOOKUP(C105,TRAOPE!$G:$H,2,0),"")</f>
        <v/>
      </c>
      <c r="E105" s="8" t="inlineStr">
        <is>
          <t>DW83</t>
        </is>
      </c>
      <c r="F105" s="8" t="inlineStr">
        <is>
          <t>D033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10000726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20230301</t>
        </is>
      </c>
      <c r="M105" s="8" t="inlineStr">
        <is>
          <t>99991231</t>
        </is>
      </c>
      <c r="N105" s="10" t="n">
        <v>123.78</v>
      </c>
      <c r="O105" s="10">
        <f>IFERROR(VLOOKUP(A105,Flete!$A:$J,10,0),"")</f>
        <v/>
      </c>
      <c r="P105" s="8" t="inlineStr">
        <is>
          <t>TN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900004830</v>
      </c>
      <c r="D106" s="7">
        <f>IFERROR(VLOOKUP(C106,TRAOPE!$G:$H,2,0),"")</f>
        <v/>
      </c>
      <c r="E106" s="8" t="inlineStr">
        <is>
          <t>DW83</t>
        </is>
      </c>
      <c r="F106" s="8" t="inlineStr">
        <is>
          <t>D033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10060689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20230203</t>
        </is>
      </c>
      <c r="M106" s="8" t="inlineStr">
        <is>
          <t>20240201</t>
        </is>
      </c>
      <c r="N106" s="10" t="n">
        <v>62.73</v>
      </c>
      <c r="O106" s="10">
        <f>IFERROR(VLOOKUP(A106,Flete!$A:$J,10,0),"")</f>
        <v/>
      </c>
      <c r="P106" s="8" t="inlineStr">
        <is>
          <t>TN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900004830</v>
      </c>
      <c r="D107" s="7">
        <f>IFERROR(VLOOKUP(C107,TRAOPE!$G:$H,2,0),"")</f>
        <v/>
      </c>
      <c r="E107" s="8" t="inlineStr">
        <is>
          <t>DW83</t>
        </is>
      </c>
      <c r="F107" s="8" t="inlineStr">
        <is>
          <t>D033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10146739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20230203</t>
        </is>
      </c>
      <c r="M107" s="8" t="inlineStr">
        <is>
          <t>20240201</t>
        </is>
      </c>
      <c r="N107" s="10" t="n">
        <v>21.16</v>
      </c>
      <c r="O107" s="10">
        <f>IFERROR(VLOOKUP(A107,Flete!$A:$J,10,0),"")</f>
        <v/>
      </c>
      <c r="P107" s="8" t="inlineStr">
        <is>
          <t>TN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900004830</v>
      </c>
      <c r="D108" s="7">
        <f>IFERROR(VLOOKUP(C108,TRAOPE!$G:$H,2,0),"")</f>
        <v/>
      </c>
      <c r="E108" s="8" t="inlineStr">
        <is>
          <t>DW83</t>
        </is>
      </c>
      <c r="F108" s="8" t="inlineStr">
        <is>
          <t>D033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10192197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20260601</t>
        </is>
      </c>
      <c r="M108" s="8" t="inlineStr">
        <is>
          <t>99991231</t>
        </is>
      </c>
      <c r="N108" s="10" t="n">
        <v>107.07</v>
      </c>
      <c r="O108" s="10">
        <f>IFERROR(VLOOKUP(A108,Flete!$A:$J,10,0),"")</f>
        <v/>
      </c>
      <c r="P108" s="8" t="inlineStr">
        <is>
          <t>TN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900004830</v>
      </c>
      <c r="D109" s="7">
        <f>IFERROR(VLOOKUP(C109,TRAOPE!$G:$H,2,0),"")</f>
        <v/>
      </c>
      <c r="E109" s="8" t="inlineStr">
        <is>
          <t>DW83</t>
        </is>
      </c>
      <c r="F109" s="8" t="inlineStr">
        <is>
          <t>D216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10000379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20230203</t>
        </is>
      </c>
      <c r="M109" s="8" t="inlineStr">
        <is>
          <t>99991231</t>
        </is>
      </c>
      <c r="N109" s="10" t="n">
        <v>119.23</v>
      </c>
      <c r="O109" s="10">
        <f>IFERROR(VLOOKUP(A109,Flete!$A:$J,10,0),"")</f>
        <v/>
      </c>
      <c r="P109" s="8" t="inlineStr">
        <is>
          <t>TN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900004830</v>
      </c>
      <c r="D110" s="7">
        <f>IFERROR(VLOOKUP(C110,TRAOPE!$G:$H,2,0),"")</f>
        <v/>
      </c>
      <c r="E110" s="8" t="inlineStr">
        <is>
          <t>DW83</t>
        </is>
      </c>
      <c r="F110" s="8" t="inlineStr">
        <is>
          <t>D216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10000383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20230203</t>
        </is>
      </c>
      <c r="M110" s="8" t="inlineStr">
        <is>
          <t>99991231</t>
        </is>
      </c>
      <c r="N110" s="10" t="n">
        <v>125.46</v>
      </c>
      <c r="O110" s="10">
        <f>IFERROR(VLOOKUP(A110,Flete!$A:$J,10,0),"")</f>
        <v/>
      </c>
      <c r="P110" s="8" t="inlineStr">
        <is>
          <t>TN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900004830</v>
      </c>
      <c r="D111" s="7">
        <f>IFERROR(VLOOKUP(C111,TRAOPE!$G:$H,2,0),"")</f>
        <v/>
      </c>
      <c r="E111" s="8" t="inlineStr">
        <is>
          <t>DW83</t>
        </is>
      </c>
      <c r="F111" s="8" t="inlineStr">
        <is>
          <t>D386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10000377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20260601</t>
        </is>
      </c>
      <c r="M111" s="8" t="inlineStr">
        <is>
          <t>99991231</t>
        </is>
      </c>
      <c r="N111" s="10" t="n">
        <v>112.38</v>
      </c>
      <c r="O111" s="10">
        <f>IFERROR(VLOOKUP(A111,Flete!$A:$J,10,0),"")</f>
        <v/>
      </c>
      <c r="P111" s="8" t="inlineStr">
        <is>
          <t>TN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900004830</v>
      </c>
      <c r="D112" s="7">
        <f>IFERROR(VLOOKUP(C112,TRAOPE!$G:$H,2,0),"")</f>
        <v/>
      </c>
      <c r="E112" s="8" t="inlineStr">
        <is>
          <t>DW83</t>
        </is>
      </c>
      <c r="F112" s="8" t="inlineStr">
        <is>
          <t>D386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10000379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20260601</t>
        </is>
      </c>
      <c r="M112" s="8" t="inlineStr">
        <is>
          <t>99991231</t>
        </is>
      </c>
      <c r="N112" s="10" t="n">
        <v>139.55</v>
      </c>
      <c r="O112" s="10">
        <f>IFERROR(VLOOKUP(A112,Flete!$A:$J,10,0),"")</f>
        <v/>
      </c>
      <c r="P112" s="8" t="inlineStr">
        <is>
          <t>TN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900004830</v>
      </c>
      <c r="D113" s="7">
        <f>IFERROR(VLOOKUP(C113,TRAOPE!$G:$H,2,0),"")</f>
        <v/>
      </c>
      <c r="E113" s="8" t="inlineStr">
        <is>
          <t>DW83</t>
        </is>
      </c>
      <c r="F113" s="8" t="inlineStr">
        <is>
          <t>D386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10000381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20230203</t>
        </is>
      </c>
      <c r="M113" s="8" t="inlineStr">
        <is>
          <t>20240201</t>
        </is>
      </c>
      <c r="N113" s="10" t="n">
        <v>73.91</v>
      </c>
      <c r="O113" s="10">
        <f>IFERROR(VLOOKUP(A113,Flete!$A:$J,10,0),"")</f>
        <v/>
      </c>
      <c r="P113" s="8" t="inlineStr">
        <is>
          <t>TN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900004830</v>
      </c>
      <c r="D114" s="7">
        <f>IFERROR(VLOOKUP(C114,TRAOPE!$G:$H,2,0),"")</f>
        <v/>
      </c>
      <c r="E114" s="8" t="inlineStr">
        <is>
          <t>DW83</t>
        </is>
      </c>
      <c r="F114" s="8" t="inlineStr">
        <is>
          <t>D386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10000383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20260601</t>
        </is>
      </c>
      <c r="M114" s="8" t="inlineStr">
        <is>
          <t>99991231</t>
        </is>
      </c>
      <c r="N114" s="10" t="n">
        <v>146.84</v>
      </c>
      <c r="O114" s="10">
        <f>IFERROR(VLOOKUP(A114,Flete!$A:$J,10,0),"")</f>
        <v/>
      </c>
      <c r="P114" s="8" t="inlineStr">
        <is>
          <t>TN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900004830</v>
      </c>
      <c r="D115" s="7">
        <f>IFERROR(VLOOKUP(C115,TRAOPE!$G:$H,2,0),"")</f>
        <v/>
      </c>
      <c r="E115" s="8" t="inlineStr">
        <is>
          <t>DW83</t>
        </is>
      </c>
      <c r="F115" s="8" t="inlineStr">
        <is>
          <t>D386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10000719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20260601</t>
        </is>
      </c>
      <c r="M115" s="8" t="inlineStr">
        <is>
          <t>99991231</t>
        </is>
      </c>
      <c r="N115" s="10" t="n">
        <v>107.14</v>
      </c>
      <c r="O115" s="10">
        <f>IFERROR(VLOOKUP(A115,Flete!$A:$J,10,0),"")</f>
        <v/>
      </c>
      <c r="P115" s="8" t="inlineStr">
        <is>
          <t>TN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900004830</v>
      </c>
      <c r="D116" s="7">
        <f>IFERROR(VLOOKUP(C116,TRAOPE!$G:$H,2,0),"")</f>
        <v/>
      </c>
      <c r="E116" s="8" t="inlineStr">
        <is>
          <t>DW83</t>
        </is>
      </c>
      <c r="F116" s="8" t="inlineStr">
        <is>
          <t>D386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10000726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20230301</t>
        </is>
      </c>
      <c r="M116" s="8" t="inlineStr">
        <is>
          <t>99991231</t>
        </is>
      </c>
      <c r="N116" s="10" t="n">
        <v>123.78</v>
      </c>
      <c r="O116" s="10">
        <f>IFERROR(VLOOKUP(A116,Flete!$A:$J,10,0),"")</f>
        <v/>
      </c>
      <c r="P116" s="8" t="inlineStr">
        <is>
          <t>TN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900004830</v>
      </c>
      <c r="D117" s="7">
        <f>IFERROR(VLOOKUP(C117,TRAOPE!$G:$H,2,0),"")</f>
        <v/>
      </c>
      <c r="E117" s="8" t="inlineStr">
        <is>
          <t>DW83</t>
        </is>
      </c>
      <c r="F117" s="8" t="inlineStr">
        <is>
          <t>D386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10192197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20260601</t>
        </is>
      </c>
      <c r="M117" s="8" t="inlineStr">
        <is>
          <t>99991231</t>
        </is>
      </c>
      <c r="N117" s="10" t="n">
        <v>107.07</v>
      </c>
      <c r="O117" s="10">
        <f>IFERROR(VLOOKUP(A117,Flete!$A:$J,10,0),"")</f>
        <v/>
      </c>
      <c r="P117" s="8" t="inlineStr">
        <is>
          <t>TN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900004830</v>
      </c>
      <c r="D118" s="7">
        <f>IFERROR(VLOOKUP(C118,TRAOPE!$G:$H,2,0),"")</f>
        <v/>
      </c>
      <c r="E118" s="8" t="inlineStr">
        <is>
          <t>DW83</t>
        </is>
      </c>
      <c r="F118" s="8" t="inlineStr">
        <is>
          <t>D557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10000332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20230203</t>
        </is>
      </c>
      <c r="M118" s="8" t="inlineStr">
        <is>
          <t>20240201</t>
        </is>
      </c>
      <c r="N118" s="10" t="n">
        <v>350</v>
      </c>
      <c r="O118" s="10">
        <f>IFERROR(VLOOKUP(A118,Flete!$A:$J,10,0),"")</f>
        <v/>
      </c>
      <c r="P118" s="8" t="inlineStr">
        <is>
          <t>TN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900004995</v>
      </c>
      <c r="D119" s="7">
        <f>IFERROR(VLOOKUP(C119,TRAOPE!$G:$H,2,0),"")</f>
        <v/>
      </c>
      <c r="E119" s="8" t="inlineStr">
        <is>
          <t>DW83</t>
        </is>
      </c>
      <c r="F119" s="8" t="inlineStr">
        <is>
          <t>D215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10000332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20240314</t>
        </is>
      </c>
      <c r="M119" s="8" t="inlineStr">
        <is>
          <t>20250529</t>
        </is>
      </c>
      <c r="N119" s="10" t="n">
        <v>198.75</v>
      </c>
      <c r="O119" s="10">
        <f>IFERROR(VLOOKUP(A119,Flete!$A:$J,10,0),"")</f>
        <v/>
      </c>
      <c r="P119" s="8" t="inlineStr">
        <is>
          <t>TN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900004995</v>
      </c>
      <c r="D120" s="7">
        <f>IFERROR(VLOOKUP(C120,TRAOPE!$G:$H,2,0),"")</f>
        <v/>
      </c>
      <c r="E120" s="8" t="inlineStr">
        <is>
          <t>DW83</t>
        </is>
      </c>
      <c r="F120" s="8" t="inlineStr">
        <is>
          <t>D386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10000200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20240529</t>
        </is>
      </c>
      <c r="M120" s="8" t="inlineStr">
        <is>
          <t>20250529</t>
        </is>
      </c>
      <c r="N120" s="10" t="n">
        <v>192.49</v>
      </c>
      <c r="O120" s="10">
        <f>IFERROR(VLOOKUP(A120,Flete!$A:$J,10,0),"")</f>
        <v/>
      </c>
      <c r="P120" s="8" t="inlineStr">
        <is>
          <t>TN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900004995</v>
      </c>
      <c r="D121" s="7">
        <f>IFERROR(VLOOKUP(C121,TRAOPE!$G:$H,2,0),"")</f>
        <v/>
      </c>
      <c r="E121" s="8" t="inlineStr">
        <is>
          <t>DW83</t>
        </is>
      </c>
      <c r="F121" s="8" t="inlineStr">
        <is>
          <t>D386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10210656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20240301</t>
        </is>
      </c>
      <c r="M121" s="8" t="inlineStr">
        <is>
          <t>20250529</t>
        </is>
      </c>
      <c r="N121" s="10" t="n">
        <v>198.75</v>
      </c>
      <c r="O121" s="10">
        <f>IFERROR(VLOOKUP(A121,Flete!$A:$J,10,0),"")</f>
        <v/>
      </c>
      <c r="P121" s="8" t="inlineStr">
        <is>
          <t>TN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900005573</v>
      </c>
      <c r="D122" s="7">
        <f>IFERROR(VLOOKUP(C122,TRAOPE!$G:$H,2,0),"")</f>
        <v/>
      </c>
      <c r="E122" s="8" t="inlineStr">
        <is>
          <t>DW83</t>
        </is>
      </c>
      <c r="F122" s="8" t="inlineStr">
        <is>
          <t>D215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10000377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20220516</t>
        </is>
      </c>
      <c r="M122" s="8" t="inlineStr">
        <is>
          <t>20251031</t>
        </is>
      </c>
      <c r="N122" s="10" t="n">
        <v>48.01</v>
      </c>
      <c r="O122" s="10">
        <f>IFERROR(VLOOKUP(A122,Flete!$A:$J,10,0),"")</f>
        <v/>
      </c>
      <c r="P122" s="8" t="inlineStr">
        <is>
          <t>TN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900005573</v>
      </c>
      <c r="D123" s="7">
        <f>IFERROR(VLOOKUP(C123,TRAOPE!$G:$H,2,0),"")</f>
        <v/>
      </c>
      <c r="E123" s="8" t="inlineStr">
        <is>
          <t>DW83</t>
        </is>
      </c>
      <c r="F123" s="8" t="inlineStr">
        <is>
          <t>D215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10000379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20220516</t>
        </is>
      </c>
      <c r="M123" s="8" t="inlineStr">
        <is>
          <t>20251031</t>
        </is>
      </c>
      <c r="N123" s="10" t="n">
        <v>83.92</v>
      </c>
      <c r="O123" s="10">
        <f>IFERROR(VLOOKUP(A123,Flete!$A:$J,10,0),"")</f>
        <v/>
      </c>
      <c r="P123" s="8" t="inlineStr">
        <is>
          <t>TN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900005573</v>
      </c>
      <c r="D124" s="7">
        <f>IFERROR(VLOOKUP(C124,TRAOPE!$G:$H,2,0),"")</f>
        <v/>
      </c>
      <c r="E124" s="8" t="inlineStr">
        <is>
          <t>DW83</t>
        </is>
      </c>
      <c r="F124" s="8" t="inlineStr">
        <is>
          <t>D215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10000381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20220516</t>
        </is>
      </c>
      <c r="M124" s="8" t="inlineStr">
        <is>
          <t>20251031</t>
        </is>
      </c>
      <c r="N124" s="10" t="n">
        <v>38.82</v>
      </c>
      <c r="O124" s="10">
        <f>IFERROR(VLOOKUP(A124,Flete!$A:$J,10,0),"")</f>
        <v/>
      </c>
      <c r="P124" s="8" t="inlineStr">
        <is>
          <t>TN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900005573</v>
      </c>
      <c r="D125" s="7">
        <f>IFERROR(VLOOKUP(C125,TRAOPE!$G:$H,2,0),"")</f>
        <v/>
      </c>
      <c r="E125" s="8" t="inlineStr">
        <is>
          <t>DW83</t>
        </is>
      </c>
      <c r="F125" s="8" t="inlineStr">
        <is>
          <t>D215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10000383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20220516</t>
        </is>
      </c>
      <c r="M125" s="8" t="inlineStr">
        <is>
          <t>20251031</t>
        </is>
      </c>
      <c r="N125" s="10" t="n">
        <v>86.09</v>
      </c>
      <c r="O125" s="10">
        <f>IFERROR(VLOOKUP(A125,Flete!$A:$J,10,0),"")</f>
        <v/>
      </c>
      <c r="P125" s="8" t="inlineStr">
        <is>
          <t>TN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  <row r="126">
      <c r="A126" s="7">
        <f>CONCATENATE(C126,E126,F126,I126)</f>
        <v/>
      </c>
      <c r="B126" s="7">
        <f>CONCATENATE(C126,E126,I126)</f>
        <v/>
      </c>
      <c r="C126" s="8" t="n">
        <v>900006597</v>
      </c>
      <c r="D126" s="7">
        <f>IFERROR(VLOOKUP(C126,TRAOPE!$G:$H,2,0),"")</f>
        <v/>
      </c>
      <c r="E126" s="8" t="inlineStr">
        <is>
          <t>DW83</t>
        </is>
      </c>
      <c r="F126" s="8" t="inlineStr">
        <is>
          <t>D035</t>
        </is>
      </c>
      <c r="G126" s="8">
        <f>IFERROR(VLOOKUP(A126,Flete!$A:$E,5,0),"")</f>
        <v/>
      </c>
      <c r="H126" s="7">
        <f>IFERROR(VLOOKUP(F126,TRAOPE!$AA:$AB,2,0),"")</f>
        <v/>
      </c>
      <c r="I126" s="7" t="n">
        <v>10000318</v>
      </c>
      <c r="J126" s="7">
        <f>IFERROR(VLOOKUP(I126,Materiales!$A:$H,8,0),"")</f>
        <v/>
      </c>
      <c r="K126" s="9">
        <f>IFERROR(VLOOKUP(I126,Materiales!$A:$G,7,0),"")</f>
        <v/>
      </c>
      <c r="L126" s="8" t="inlineStr">
        <is>
          <t>20210620</t>
        </is>
      </c>
      <c r="M126" s="8" t="inlineStr">
        <is>
          <t>20251031</t>
        </is>
      </c>
      <c r="N126" s="10" t="n">
        <v>129.63</v>
      </c>
      <c r="O126" s="10">
        <f>IFERROR(VLOOKUP(A126,Flete!$A:$J,10,0),"")</f>
        <v/>
      </c>
      <c r="P126" s="8" t="inlineStr">
        <is>
          <t>TN</t>
        </is>
      </c>
      <c r="Q126" s="10">
        <f>IFERROR(IFERROR(VLOOKUP(A126,TRAOPE!$A:$U,21,0),VLOOKUP(B126,TRAOPE!$A:$U,21,0)),"")</f>
        <v/>
      </c>
      <c r="R126" s="8">
        <f>IFERROR(IFERROR(VLOOKUP(A126,TRAOPE!$A:$W,23,0),VLOOKUP(B126,TRAOPE!$A:$W,23,0)),"")</f>
        <v/>
      </c>
      <c r="S126" s="10">
        <f>IF(AND(P126="TN",R126="TN"),N126+N(O126),IF(G126&amp;""="1",N(K126)*N126,(N126+N(O126))*N(K126)))</f>
        <v/>
      </c>
      <c r="T126" s="10">
        <f>IF(Q126="","",Q126-S126)</f>
        <v/>
      </c>
    </row>
    <row r="127">
      <c r="A127" s="7">
        <f>CONCATENATE(C127,E127,F127,I127)</f>
        <v/>
      </c>
      <c r="B127" s="7">
        <f>CONCATENATE(C127,E127,I127)</f>
        <v/>
      </c>
      <c r="C127" s="8" t="n">
        <v>900006597</v>
      </c>
      <c r="D127" s="7">
        <f>IFERROR(VLOOKUP(C127,TRAOPE!$G:$H,2,0),"")</f>
        <v/>
      </c>
      <c r="E127" s="8" t="inlineStr">
        <is>
          <t>DW83</t>
        </is>
      </c>
      <c r="F127" s="8" t="inlineStr">
        <is>
          <t>D035</t>
        </is>
      </c>
      <c r="G127" s="8">
        <f>IFERROR(VLOOKUP(A127,Flete!$A:$E,5,0),"")</f>
        <v/>
      </c>
      <c r="H127" s="7">
        <f>IFERROR(VLOOKUP(F127,TRAOPE!$AA:$AB,2,0),"")</f>
        <v/>
      </c>
      <c r="I127" s="7" t="n">
        <v>10000320</v>
      </c>
      <c r="J127" s="7">
        <f>IFERROR(VLOOKUP(I127,Materiales!$A:$H,8,0),"")</f>
        <v/>
      </c>
      <c r="K127" s="9">
        <f>IFERROR(VLOOKUP(I127,Materiales!$A:$G,7,0),"")</f>
        <v/>
      </c>
      <c r="L127" s="8" t="inlineStr">
        <is>
          <t>20210620</t>
        </is>
      </c>
      <c r="M127" s="8" t="inlineStr">
        <is>
          <t>20251031</t>
        </is>
      </c>
      <c r="N127" s="10" t="n">
        <v>99.20999999999999</v>
      </c>
      <c r="O127" s="10">
        <f>IFERROR(VLOOKUP(A127,Flete!$A:$J,10,0),"")</f>
        <v/>
      </c>
      <c r="P127" s="8" t="inlineStr">
        <is>
          <t>TN</t>
        </is>
      </c>
      <c r="Q127" s="10">
        <f>IFERROR(IFERROR(VLOOKUP(A127,TRAOPE!$A:$U,21,0),VLOOKUP(B127,TRAOPE!$A:$U,21,0)),"")</f>
        <v/>
      </c>
      <c r="R127" s="8">
        <f>IFERROR(IFERROR(VLOOKUP(A127,TRAOPE!$A:$W,23,0),VLOOKUP(B127,TRAOPE!$A:$W,23,0)),"")</f>
        <v/>
      </c>
      <c r="S127" s="10">
        <f>IF(AND(P127="TN",R127="TN"),N127+N(O127),IF(G127&amp;""="1",N(K127)*N127,(N127+N(O127))*N(K127)))</f>
        <v/>
      </c>
      <c r="T127" s="10">
        <f>IF(Q127="","",Q127-S127)</f>
        <v/>
      </c>
    </row>
    <row r="128">
      <c r="A128" s="7">
        <f>CONCATENATE(C128,E128,F128,I128)</f>
        <v/>
      </c>
      <c r="B128" s="7">
        <f>CONCATENATE(C128,E128,I128)</f>
        <v/>
      </c>
      <c r="C128" s="8" t="n">
        <v>900006597</v>
      </c>
      <c r="D128" s="7">
        <f>IFERROR(VLOOKUP(C128,TRAOPE!$G:$H,2,0),"")</f>
        <v/>
      </c>
      <c r="E128" s="8" t="inlineStr">
        <is>
          <t>DW83</t>
        </is>
      </c>
      <c r="F128" s="8" t="inlineStr">
        <is>
          <t>D035</t>
        </is>
      </c>
      <c r="G128" s="8">
        <f>IFERROR(VLOOKUP(A128,Flete!$A:$E,5,0),"")</f>
        <v/>
      </c>
      <c r="H128" s="7">
        <f>IFERROR(VLOOKUP(F128,TRAOPE!$AA:$AB,2,0),"")</f>
        <v/>
      </c>
      <c r="I128" s="7" t="n">
        <v>10000386</v>
      </c>
      <c r="J128" s="7">
        <f>IFERROR(VLOOKUP(I128,Materiales!$A:$H,8,0),"")</f>
        <v/>
      </c>
      <c r="K128" s="9">
        <f>IFERROR(VLOOKUP(I128,Materiales!$A:$G,7,0),"")</f>
        <v/>
      </c>
      <c r="L128" s="8" t="inlineStr">
        <is>
          <t>20210620</t>
        </is>
      </c>
      <c r="M128" s="8" t="inlineStr">
        <is>
          <t>20251031</t>
        </is>
      </c>
      <c r="N128" s="10" t="n">
        <v>115.38</v>
      </c>
      <c r="O128" s="10">
        <f>IFERROR(VLOOKUP(A128,Flete!$A:$J,10,0),"")</f>
        <v/>
      </c>
      <c r="P128" s="8" t="inlineStr">
        <is>
          <t>TN</t>
        </is>
      </c>
      <c r="Q128" s="10">
        <f>IFERROR(IFERROR(VLOOKUP(A128,TRAOPE!$A:$U,21,0),VLOOKUP(B128,TRAOPE!$A:$U,21,0)),"")</f>
        <v/>
      </c>
      <c r="R128" s="8">
        <f>IFERROR(IFERROR(VLOOKUP(A128,TRAOPE!$A:$W,23,0),VLOOKUP(B128,TRAOPE!$A:$W,23,0)),"")</f>
        <v/>
      </c>
      <c r="S128" s="10">
        <f>IF(AND(P128="TN",R128="TN"),N128+N(O128),IF(G128&amp;""="1",N(K128)*N128,(N128+N(O128))*N(K128)))</f>
        <v/>
      </c>
      <c r="T128" s="10">
        <f>IF(Q128="","",Q128-S128)</f>
        <v/>
      </c>
    </row>
    <row r="129">
      <c r="A129" s="7">
        <f>CONCATENATE(C129,E129,F129,I129)</f>
        <v/>
      </c>
      <c r="B129" s="7">
        <f>CONCATENATE(C129,E129,I129)</f>
        <v/>
      </c>
      <c r="C129" s="8" t="n">
        <v>900006597</v>
      </c>
      <c r="D129" s="7">
        <f>IFERROR(VLOOKUP(C129,TRAOPE!$G:$H,2,0),"")</f>
        <v/>
      </c>
      <c r="E129" s="8" t="inlineStr">
        <is>
          <t>DW83</t>
        </is>
      </c>
      <c r="F129" s="8" t="inlineStr">
        <is>
          <t>D035</t>
        </is>
      </c>
      <c r="G129" s="8">
        <f>IFERROR(VLOOKUP(A129,Flete!$A:$E,5,0),"")</f>
        <v/>
      </c>
      <c r="H129" s="7">
        <f>IFERROR(VLOOKUP(F129,TRAOPE!$AA:$AB,2,0),"")</f>
        <v/>
      </c>
      <c r="I129" s="7" t="n">
        <v>10000730</v>
      </c>
      <c r="J129" s="7">
        <f>IFERROR(VLOOKUP(I129,Materiales!$A:$H,8,0),"")</f>
        <v/>
      </c>
      <c r="K129" s="9">
        <f>IFERROR(VLOOKUP(I129,Materiales!$A:$G,7,0),"")</f>
        <v/>
      </c>
      <c r="L129" s="8" t="inlineStr">
        <is>
          <t>20210620</t>
        </is>
      </c>
      <c r="M129" s="8" t="inlineStr">
        <is>
          <t>20251031</t>
        </is>
      </c>
      <c r="N129" s="10" t="n">
        <v>116.9</v>
      </c>
      <c r="O129" s="10">
        <f>IFERROR(VLOOKUP(A129,Flete!$A:$J,10,0),"")</f>
        <v/>
      </c>
      <c r="P129" s="8" t="inlineStr">
        <is>
          <t>TN</t>
        </is>
      </c>
      <c r="Q129" s="10">
        <f>IFERROR(IFERROR(VLOOKUP(A129,TRAOPE!$A:$U,21,0),VLOOKUP(B129,TRAOPE!$A:$U,21,0)),"")</f>
        <v/>
      </c>
      <c r="R129" s="8">
        <f>IFERROR(IFERROR(VLOOKUP(A129,TRAOPE!$A:$W,23,0),VLOOKUP(B129,TRAOPE!$A:$W,23,0)),"")</f>
        <v/>
      </c>
      <c r="S129" s="10">
        <f>IF(AND(P129="TN",R129="TN"),N129+N(O129),IF(G129&amp;""="1",N(K129)*N129,(N129+N(O129))*N(K129)))</f>
        <v/>
      </c>
      <c r="T129" s="10">
        <f>IF(Q129="","",Q129-S129)</f>
        <v/>
      </c>
    </row>
    <row r="130">
      <c r="A130" s="7">
        <f>CONCATENATE(C130,E130,F130,I130)</f>
        <v/>
      </c>
      <c r="B130" s="7">
        <f>CONCATENATE(C130,E130,I130)</f>
        <v/>
      </c>
      <c r="C130" s="8" t="n">
        <v>900007347</v>
      </c>
      <c r="D130" s="7">
        <f>IFERROR(VLOOKUP(C130,TRAOPE!$G:$H,2,0),"")</f>
        <v/>
      </c>
      <c r="E130" s="8" t="inlineStr">
        <is>
          <t>DW83</t>
        </is>
      </c>
      <c r="F130" s="8" t="inlineStr">
        <is>
          <t>D216</t>
        </is>
      </c>
      <c r="G130" s="8">
        <f>IFERROR(VLOOKUP(A130,Flete!$A:$E,5,0),"")</f>
        <v/>
      </c>
      <c r="H130" s="7">
        <f>IFERROR(VLOOKUP(F130,TRAOPE!$AA:$AB,2,0),"")</f>
        <v/>
      </c>
      <c r="I130" s="7" t="n">
        <v>10000318</v>
      </c>
      <c r="J130" s="7">
        <f>IFERROR(VLOOKUP(I130,Materiales!$A:$H,8,0),"")</f>
        <v/>
      </c>
      <c r="K130" s="9">
        <f>IFERROR(VLOOKUP(I130,Materiales!$A:$G,7,0),"")</f>
        <v/>
      </c>
      <c r="L130" s="8" t="inlineStr">
        <is>
          <t>20220516</t>
        </is>
      </c>
      <c r="M130" s="8" t="inlineStr">
        <is>
          <t>20251031</t>
        </is>
      </c>
      <c r="N130" s="10" t="n">
        <v>177.13</v>
      </c>
      <c r="O130" s="10">
        <f>IFERROR(VLOOKUP(A130,Flete!$A:$J,10,0),"")</f>
        <v/>
      </c>
      <c r="P130" s="8" t="inlineStr">
        <is>
          <t>TN</t>
        </is>
      </c>
      <c r="Q130" s="10">
        <f>IFERROR(IFERROR(VLOOKUP(A130,TRAOPE!$A:$U,21,0),VLOOKUP(B130,TRAOPE!$A:$U,21,0)),"")</f>
        <v/>
      </c>
      <c r="R130" s="8">
        <f>IFERROR(IFERROR(VLOOKUP(A130,TRAOPE!$A:$W,23,0),VLOOKUP(B130,TRAOPE!$A:$W,23,0)),"")</f>
        <v/>
      </c>
      <c r="S130" s="10">
        <f>IF(AND(P130="TN",R130="TN"),N130+N(O130),IF(G130&amp;""="1",N(K130)*N130,(N130+N(O130))*N(K130)))</f>
        <v/>
      </c>
      <c r="T130" s="10">
        <f>IF(Q130="","",Q130-S130)</f>
        <v/>
      </c>
    </row>
    <row r="131">
      <c r="A131" s="7">
        <f>CONCATENATE(C131,E131,F131,I131)</f>
        <v/>
      </c>
      <c r="B131" s="7">
        <f>CONCATENATE(C131,E131,I131)</f>
        <v/>
      </c>
      <c r="C131" s="8" t="n">
        <v>900007347</v>
      </c>
      <c r="D131" s="7">
        <f>IFERROR(VLOOKUP(C131,TRAOPE!$G:$H,2,0),"")</f>
        <v/>
      </c>
      <c r="E131" s="8" t="inlineStr">
        <is>
          <t>DW83</t>
        </is>
      </c>
      <c r="F131" s="8" t="inlineStr">
        <is>
          <t>D216</t>
        </is>
      </c>
      <c r="G131" s="8">
        <f>IFERROR(VLOOKUP(A131,Flete!$A:$E,5,0),"")</f>
        <v/>
      </c>
      <c r="H131" s="7">
        <f>IFERROR(VLOOKUP(F131,TRAOPE!$AA:$AB,2,0),"")</f>
        <v/>
      </c>
      <c r="I131" s="7" t="n">
        <v>10000320</v>
      </c>
      <c r="J131" s="7">
        <f>IFERROR(VLOOKUP(I131,Materiales!$A:$H,8,0),"")</f>
        <v/>
      </c>
      <c r="K131" s="9">
        <f>IFERROR(VLOOKUP(I131,Materiales!$A:$G,7,0),"")</f>
        <v/>
      </c>
      <c r="L131" s="8" t="inlineStr">
        <is>
          <t>20220516</t>
        </is>
      </c>
      <c r="M131" s="8" t="inlineStr">
        <is>
          <t>20251031</t>
        </is>
      </c>
      <c r="N131" s="10" t="n">
        <v>158.15</v>
      </c>
      <c r="O131" s="10">
        <f>IFERROR(VLOOKUP(A131,Flete!$A:$J,10,0),"")</f>
        <v/>
      </c>
      <c r="P131" s="8" t="inlineStr">
        <is>
          <t>TN</t>
        </is>
      </c>
      <c r="Q131" s="10">
        <f>IFERROR(IFERROR(VLOOKUP(A131,TRAOPE!$A:$U,21,0),VLOOKUP(B131,TRAOPE!$A:$U,21,0)),"")</f>
        <v/>
      </c>
      <c r="R131" s="8">
        <f>IFERROR(IFERROR(VLOOKUP(A131,TRAOPE!$A:$W,23,0),VLOOKUP(B131,TRAOPE!$A:$W,23,0)),"")</f>
        <v/>
      </c>
      <c r="S131" s="10">
        <f>IF(AND(P131="TN",R131="TN"),N131+N(O131),IF(G131&amp;""="1",N(K131)*N131,(N131+N(O131))*N(K131)))</f>
        <v/>
      </c>
      <c r="T131" s="10">
        <f>IF(Q131="","",Q131-S131)</f>
        <v/>
      </c>
    </row>
    <row r="132">
      <c r="A132" s="7">
        <f>CONCATENATE(C132,E132,F132,I132)</f>
        <v/>
      </c>
      <c r="B132" s="7">
        <f>CONCATENATE(C132,E132,I132)</f>
        <v/>
      </c>
      <c r="C132" s="8" t="n">
        <v>900007347</v>
      </c>
      <c r="D132" s="7">
        <f>IFERROR(VLOOKUP(C132,TRAOPE!$G:$H,2,0),"")</f>
        <v/>
      </c>
      <c r="E132" s="8" t="inlineStr">
        <is>
          <t>DW83</t>
        </is>
      </c>
      <c r="F132" s="8" t="inlineStr">
        <is>
          <t>D216</t>
        </is>
      </c>
      <c r="G132" s="8">
        <f>IFERROR(VLOOKUP(A132,Flete!$A:$E,5,0),"")</f>
        <v/>
      </c>
      <c r="H132" s="7">
        <f>IFERROR(VLOOKUP(F132,TRAOPE!$AA:$AB,2,0),"")</f>
        <v/>
      </c>
      <c r="I132" s="7" t="n">
        <v>10000554</v>
      </c>
      <c r="J132" s="7">
        <f>IFERROR(VLOOKUP(I132,Materiales!$A:$H,8,0),"")</f>
        <v/>
      </c>
      <c r="K132" s="9">
        <f>IFERROR(VLOOKUP(I132,Materiales!$A:$G,7,0),"")</f>
        <v/>
      </c>
      <c r="L132" s="8" t="inlineStr">
        <is>
          <t>20220516</t>
        </is>
      </c>
      <c r="M132" s="8" t="inlineStr">
        <is>
          <t>20251031</t>
        </is>
      </c>
      <c r="N132" s="10" t="n">
        <v>174.55</v>
      </c>
      <c r="O132" s="10">
        <f>IFERROR(VLOOKUP(A132,Flete!$A:$J,10,0),"")</f>
        <v/>
      </c>
      <c r="P132" s="8" t="inlineStr">
        <is>
          <t>TN</t>
        </is>
      </c>
      <c r="Q132" s="10">
        <f>IFERROR(IFERROR(VLOOKUP(A132,TRAOPE!$A:$U,21,0),VLOOKUP(B132,TRAOPE!$A:$U,21,0)),"")</f>
        <v/>
      </c>
      <c r="R132" s="8">
        <f>IFERROR(IFERROR(VLOOKUP(A132,TRAOPE!$A:$W,23,0),VLOOKUP(B132,TRAOPE!$A:$W,23,0)),"")</f>
        <v/>
      </c>
      <c r="S132" s="10">
        <f>IF(AND(P132="TN",R132="TN"),N132+N(O132),IF(G132&amp;""="1",N(K132)*N132,(N132+N(O132))*N(K132)))</f>
        <v/>
      </c>
      <c r="T132" s="10">
        <f>IF(Q132="","",Q132-S132)</f>
        <v/>
      </c>
    </row>
    <row r="133">
      <c r="A133" s="7">
        <f>CONCATENATE(C133,E133,F133,I133)</f>
        <v/>
      </c>
      <c r="B133" s="7">
        <f>CONCATENATE(C133,E133,I133)</f>
        <v/>
      </c>
      <c r="C133" s="8" t="n">
        <v>900007615</v>
      </c>
      <c r="D133" s="7">
        <f>IFERROR(VLOOKUP(C133,TRAOPE!$G:$H,2,0),"")</f>
        <v/>
      </c>
      <c r="E133" s="8" t="inlineStr">
        <is>
          <t>DW83</t>
        </is>
      </c>
      <c r="F133" s="8" t="inlineStr">
        <is>
          <t>D216</t>
        </is>
      </c>
      <c r="G133" s="8">
        <f>IFERROR(VLOOKUP(A133,Flete!$A:$E,5,0),"")</f>
        <v/>
      </c>
      <c r="H133" s="7">
        <f>IFERROR(VLOOKUP(F133,TRAOPE!$AA:$AB,2,0),"")</f>
        <v/>
      </c>
      <c r="I133" s="7" t="n">
        <v>10000320</v>
      </c>
      <c r="J133" s="7">
        <f>IFERROR(VLOOKUP(I133,Materiales!$A:$H,8,0),"")</f>
        <v/>
      </c>
      <c r="K133" s="9">
        <f>IFERROR(VLOOKUP(I133,Materiales!$A:$G,7,0),"")</f>
        <v/>
      </c>
      <c r="L133" s="8" t="inlineStr">
        <is>
          <t>20230714</t>
        </is>
      </c>
      <c r="M133" s="8" t="inlineStr">
        <is>
          <t>20251031</t>
        </is>
      </c>
      <c r="N133" s="10" t="n">
        <v>255.29</v>
      </c>
      <c r="O133" s="10">
        <f>IFERROR(VLOOKUP(A133,Flete!$A:$J,10,0),"")</f>
        <v/>
      </c>
      <c r="P133" s="8" t="inlineStr">
        <is>
          <t>TN</t>
        </is>
      </c>
      <c r="Q133" s="10">
        <f>IFERROR(IFERROR(VLOOKUP(A133,TRAOPE!$A:$U,21,0),VLOOKUP(B133,TRAOPE!$A:$U,21,0)),"")</f>
        <v/>
      </c>
      <c r="R133" s="8">
        <f>IFERROR(IFERROR(VLOOKUP(A133,TRAOPE!$A:$W,23,0),VLOOKUP(B133,TRAOPE!$A:$W,23,0)),"")</f>
        <v/>
      </c>
      <c r="S133" s="10">
        <f>IF(AND(P133="TN",R133="TN"),N133+N(O133),IF(G133&amp;""="1",N(K133)*N133,(N133+N(O133))*N(K133)))</f>
        <v/>
      </c>
      <c r="T133" s="10">
        <f>IF(Q133="","",Q133-S133)</f>
        <v/>
      </c>
    </row>
    <row r="134">
      <c r="A134" s="7">
        <f>CONCATENATE(C134,E134,F134,I134)</f>
        <v/>
      </c>
      <c r="B134" s="7">
        <f>CONCATENATE(C134,E134,I134)</f>
        <v/>
      </c>
      <c r="C134" s="8" t="n">
        <v>900007615</v>
      </c>
      <c r="D134" s="7">
        <f>IFERROR(VLOOKUP(C134,TRAOPE!$G:$H,2,0),"")</f>
        <v/>
      </c>
      <c r="E134" s="8" t="inlineStr">
        <is>
          <t>DW83</t>
        </is>
      </c>
      <c r="F134" s="8" t="inlineStr">
        <is>
          <t>D216</t>
        </is>
      </c>
      <c r="G134" s="8">
        <f>IFERROR(VLOOKUP(A134,Flete!$A:$E,5,0),"")</f>
        <v/>
      </c>
      <c r="H134" s="7">
        <f>IFERROR(VLOOKUP(F134,TRAOPE!$AA:$AB,2,0),"")</f>
        <v/>
      </c>
      <c r="I134" s="7" t="n">
        <v>10000379</v>
      </c>
      <c r="J134" s="7">
        <f>IFERROR(VLOOKUP(I134,Materiales!$A:$H,8,0),"")</f>
        <v/>
      </c>
      <c r="K134" s="9">
        <f>IFERROR(VLOOKUP(I134,Materiales!$A:$G,7,0),"")</f>
        <v/>
      </c>
      <c r="L134" s="8" t="inlineStr">
        <is>
          <t>20230714</t>
        </is>
      </c>
      <c r="M134" s="8" t="inlineStr">
        <is>
          <t>20251031</t>
        </is>
      </c>
      <c r="N134" s="10" t="n">
        <v>153.85</v>
      </c>
      <c r="O134" s="10">
        <f>IFERROR(VLOOKUP(A134,Flete!$A:$J,10,0),"")</f>
        <v/>
      </c>
      <c r="P134" s="8" t="inlineStr">
        <is>
          <t>TN</t>
        </is>
      </c>
      <c r="Q134" s="10">
        <f>IFERROR(IFERROR(VLOOKUP(A134,TRAOPE!$A:$U,21,0),VLOOKUP(B134,TRAOPE!$A:$U,21,0)),"")</f>
        <v/>
      </c>
      <c r="R134" s="8">
        <f>IFERROR(IFERROR(VLOOKUP(A134,TRAOPE!$A:$W,23,0),VLOOKUP(B134,TRAOPE!$A:$W,23,0)),"")</f>
        <v/>
      </c>
      <c r="S134" s="10">
        <f>IF(AND(P134="TN",R134="TN"),N134+N(O134),IF(G134&amp;""="1",N(K134)*N134,(N134+N(O134))*N(K134)))</f>
        <v/>
      </c>
      <c r="T134" s="10">
        <f>IF(Q134="","",Q134-S134)</f>
        <v/>
      </c>
    </row>
    <row r="135">
      <c r="A135" s="7">
        <f>CONCATENATE(C135,E135,F135,I135)</f>
        <v/>
      </c>
      <c r="B135" s="7">
        <f>CONCATENATE(C135,E135,I135)</f>
        <v/>
      </c>
      <c r="C135" s="8" t="n">
        <v>900007615</v>
      </c>
      <c r="D135" s="7">
        <f>IFERROR(VLOOKUP(C135,TRAOPE!$G:$H,2,0),"")</f>
        <v/>
      </c>
      <c r="E135" s="8" t="inlineStr">
        <is>
          <t>DW83</t>
        </is>
      </c>
      <c r="F135" s="8" t="inlineStr">
        <is>
          <t>D216</t>
        </is>
      </c>
      <c r="G135" s="8">
        <f>IFERROR(VLOOKUP(A135,Flete!$A:$E,5,0),"")</f>
        <v/>
      </c>
      <c r="H135" s="7">
        <f>IFERROR(VLOOKUP(F135,TRAOPE!$AA:$AB,2,0),"")</f>
        <v/>
      </c>
      <c r="I135" s="7" t="n">
        <v>10000383</v>
      </c>
      <c r="J135" s="7">
        <f>IFERROR(VLOOKUP(I135,Materiales!$A:$H,8,0),"")</f>
        <v/>
      </c>
      <c r="K135" s="9">
        <f>IFERROR(VLOOKUP(I135,Materiales!$A:$G,7,0),"")</f>
        <v/>
      </c>
      <c r="L135" s="8" t="inlineStr">
        <is>
          <t>20230714</t>
        </is>
      </c>
      <c r="M135" s="8" t="inlineStr">
        <is>
          <t>20251031</t>
        </is>
      </c>
      <c r="N135" s="10" t="n">
        <v>161.88</v>
      </c>
      <c r="O135" s="10">
        <f>IFERROR(VLOOKUP(A135,Flete!$A:$J,10,0),"")</f>
        <v/>
      </c>
      <c r="P135" s="8" t="inlineStr">
        <is>
          <t>TN</t>
        </is>
      </c>
      <c r="Q135" s="10">
        <f>IFERROR(IFERROR(VLOOKUP(A135,TRAOPE!$A:$U,21,0),VLOOKUP(B135,TRAOPE!$A:$U,21,0)),"")</f>
        <v/>
      </c>
      <c r="R135" s="8">
        <f>IFERROR(IFERROR(VLOOKUP(A135,TRAOPE!$A:$W,23,0),VLOOKUP(B135,TRAOPE!$A:$W,23,0)),"")</f>
        <v/>
      </c>
      <c r="S135" s="10">
        <f>IF(AND(P135="TN",R135="TN"),N135+N(O135),IF(G135&amp;""="1",N(K135)*N135,(N135+N(O135))*N(K135)))</f>
        <v/>
      </c>
      <c r="T135" s="10">
        <f>IF(Q135="","",Q135-S135)</f>
        <v/>
      </c>
    </row>
    <row r="136">
      <c r="A136" s="7">
        <f>CONCATENATE(C136,E136,F136,I136)</f>
        <v/>
      </c>
      <c r="B136" s="7">
        <f>CONCATENATE(C136,E136,I136)</f>
        <v/>
      </c>
      <c r="C136" s="8" t="n">
        <v>900007615</v>
      </c>
      <c r="D136" s="7">
        <f>IFERROR(VLOOKUP(C136,TRAOPE!$G:$H,2,0),"")</f>
        <v/>
      </c>
      <c r="E136" s="8" t="inlineStr">
        <is>
          <t>DW83</t>
        </is>
      </c>
      <c r="F136" s="8" t="inlineStr">
        <is>
          <t>D216</t>
        </is>
      </c>
      <c r="G136" s="8">
        <f>IFERROR(VLOOKUP(A136,Flete!$A:$E,5,0),"")</f>
        <v/>
      </c>
      <c r="H136" s="7">
        <f>IFERROR(VLOOKUP(F136,TRAOPE!$AA:$AB,2,0),"")</f>
        <v/>
      </c>
      <c r="I136" s="7" t="n">
        <v>10049556</v>
      </c>
      <c r="J136" s="7">
        <f>IFERROR(VLOOKUP(I136,Materiales!$A:$H,8,0),"")</f>
        <v/>
      </c>
      <c r="K136" s="9">
        <f>IFERROR(VLOOKUP(I136,Materiales!$A:$G,7,0),"")</f>
        <v/>
      </c>
      <c r="L136" s="8" t="inlineStr">
        <is>
          <t>20230714</t>
        </is>
      </c>
      <c r="M136" s="8" t="inlineStr">
        <is>
          <t>20251031</t>
        </is>
      </c>
      <c r="N136" s="10" t="n">
        <v>165.66</v>
      </c>
      <c r="O136" s="10">
        <f>IFERROR(VLOOKUP(A136,Flete!$A:$J,10,0),"")</f>
        <v/>
      </c>
      <c r="P136" s="8" t="inlineStr">
        <is>
          <t>TN</t>
        </is>
      </c>
      <c r="Q136" s="10">
        <f>IFERROR(IFERROR(VLOOKUP(A136,TRAOPE!$A:$U,21,0),VLOOKUP(B136,TRAOPE!$A:$U,21,0)),"")</f>
        <v/>
      </c>
      <c r="R136" s="8">
        <f>IFERROR(IFERROR(VLOOKUP(A136,TRAOPE!$A:$W,23,0),VLOOKUP(B136,TRAOPE!$A:$W,23,0)),"")</f>
        <v/>
      </c>
      <c r="S136" s="10">
        <f>IF(AND(P136="TN",R136="TN"),N136+N(O136),IF(G136&amp;""="1",N(K136)*N136,(N136+N(O136))*N(K136)))</f>
        <v/>
      </c>
      <c r="T136" s="10">
        <f>IF(Q136="","",Q136-S136)</f>
        <v/>
      </c>
    </row>
    <row r="137">
      <c r="A137" s="7">
        <f>CONCATENATE(C137,E137,F137,I137)</f>
        <v/>
      </c>
      <c r="B137" s="7">
        <f>CONCATENATE(C137,E137,I137)</f>
        <v/>
      </c>
      <c r="C137" s="8" t="n">
        <v>900007615</v>
      </c>
      <c r="D137" s="7">
        <f>IFERROR(VLOOKUP(C137,TRAOPE!$G:$H,2,0),"")</f>
        <v/>
      </c>
      <c r="E137" s="8" t="inlineStr">
        <is>
          <t>DW83</t>
        </is>
      </c>
      <c r="F137" s="8" t="inlineStr">
        <is>
          <t>D243</t>
        </is>
      </c>
      <c r="G137" s="8">
        <f>IFERROR(VLOOKUP(A137,Flete!$A:$E,5,0),"")</f>
        <v/>
      </c>
      <c r="H137" s="7">
        <f>IFERROR(VLOOKUP(F137,TRAOPE!$AA:$AB,2,0),"")</f>
        <v/>
      </c>
      <c r="I137" s="7" t="n">
        <v>10000320</v>
      </c>
      <c r="J137" s="7">
        <f>IFERROR(VLOOKUP(I137,Materiales!$A:$H,8,0),"")</f>
        <v/>
      </c>
      <c r="K137" s="9">
        <f>IFERROR(VLOOKUP(I137,Materiales!$A:$G,7,0),"")</f>
        <v/>
      </c>
      <c r="L137" s="8" t="inlineStr">
        <is>
          <t>20230301</t>
        </is>
      </c>
      <c r="M137" s="8" t="inlineStr">
        <is>
          <t>20250129</t>
        </is>
      </c>
      <c r="N137" s="10" t="n">
        <v>255.29</v>
      </c>
      <c r="O137" s="10">
        <f>IFERROR(VLOOKUP(A137,Flete!$A:$J,10,0),"")</f>
        <v/>
      </c>
      <c r="P137" s="8" t="inlineStr">
        <is>
          <t>TN</t>
        </is>
      </c>
      <c r="Q137" s="10">
        <f>IFERROR(IFERROR(VLOOKUP(A137,TRAOPE!$A:$U,21,0),VLOOKUP(B137,TRAOPE!$A:$U,21,0)),"")</f>
        <v/>
      </c>
      <c r="R137" s="8">
        <f>IFERROR(IFERROR(VLOOKUP(A137,TRAOPE!$A:$W,23,0),VLOOKUP(B137,TRAOPE!$A:$W,23,0)),"")</f>
        <v/>
      </c>
      <c r="S137" s="10">
        <f>IF(AND(P137="TN",R137="TN"),N137+N(O137),IF(G137&amp;""="1",N(K137)*N137,(N137+N(O137))*N(K137)))</f>
        <v/>
      </c>
      <c r="T137" s="10">
        <f>IF(Q137="","",Q137-S137)</f>
        <v/>
      </c>
    </row>
    <row r="138">
      <c r="A138" s="7">
        <f>CONCATENATE(C138,E138,F138,I138)</f>
        <v/>
      </c>
      <c r="B138" s="7">
        <f>CONCATENATE(C138,E138,I138)</f>
        <v/>
      </c>
      <c r="C138" s="8" t="n">
        <v>900007615</v>
      </c>
      <c r="D138" s="7">
        <f>IFERROR(VLOOKUP(C138,TRAOPE!$G:$H,2,0),"")</f>
        <v/>
      </c>
      <c r="E138" s="8" t="inlineStr">
        <is>
          <t>DW83</t>
        </is>
      </c>
      <c r="F138" s="8" t="inlineStr">
        <is>
          <t>D243</t>
        </is>
      </c>
      <c r="G138" s="8">
        <f>IFERROR(VLOOKUP(A138,Flete!$A:$E,5,0),"")</f>
        <v/>
      </c>
      <c r="H138" s="7">
        <f>IFERROR(VLOOKUP(F138,TRAOPE!$AA:$AB,2,0),"")</f>
        <v/>
      </c>
      <c r="I138" s="7" t="n">
        <v>10000379</v>
      </c>
      <c r="J138" s="7">
        <f>IFERROR(VLOOKUP(I138,Materiales!$A:$H,8,0),"")</f>
        <v/>
      </c>
      <c r="K138" s="9">
        <f>IFERROR(VLOOKUP(I138,Materiales!$A:$G,7,0),"")</f>
        <v/>
      </c>
      <c r="L138" s="8" t="inlineStr">
        <is>
          <t>20230301</t>
        </is>
      </c>
      <c r="M138" s="8" t="inlineStr">
        <is>
          <t>20250129</t>
        </is>
      </c>
      <c r="N138" s="10" t="n">
        <v>153.85</v>
      </c>
      <c r="O138" s="10">
        <f>IFERROR(VLOOKUP(A138,Flete!$A:$J,10,0),"")</f>
        <v/>
      </c>
      <c r="P138" s="8" t="inlineStr">
        <is>
          <t>TN</t>
        </is>
      </c>
      <c r="Q138" s="10">
        <f>IFERROR(IFERROR(VLOOKUP(A138,TRAOPE!$A:$U,21,0),VLOOKUP(B138,TRAOPE!$A:$U,21,0)),"")</f>
        <v/>
      </c>
      <c r="R138" s="8">
        <f>IFERROR(IFERROR(VLOOKUP(A138,TRAOPE!$A:$W,23,0),VLOOKUP(B138,TRAOPE!$A:$W,23,0)),"")</f>
        <v/>
      </c>
      <c r="S138" s="10">
        <f>IF(AND(P138="TN",R138="TN"),N138+N(O138),IF(G138&amp;""="1",N(K138)*N138,(N138+N(O138))*N(K138)))</f>
        <v/>
      </c>
      <c r="T138" s="10">
        <f>IF(Q138="","",Q138-S138)</f>
        <v/>
      </c>
    </row>
    <row r="139">
      <c r="A139" s="7">
        <f>CONCATENATE(C139,E139,F139,I139)</f>
        <v/>
      </c>
      <c r="B139" s="7">
        <f>CONCATENATE(C139,E139,I139)</f>
        <v/>
      </c>
      <c r="C139" s="8" t="n">
        <v>900007615</v>
      </c>
      <c r="D139" s="7">
        <f>IFERROR(VLOOKUP(C139,TRAOPE!$G:$H,2,0),"")</f>
        <v/>
      </c>
      <c r="E139" s="8" t="inlineStr">
        <is>
          <t>DW83</t>
        </is>
      </c>
      <c r="F139" s="8" t="inlineStr">
        <is>
          <t>D243</t>
        </is>
      </c>
      <c r="G139" s="8">
        <f>IFERROR(VLOOKUP(A139,Flete!$A:$E,5,0),"")</f>
        <v/>
      </c>
      <c r="H139" s="7">
        <f>IFERROR(VLOOKUP(F139,TRAOPE!$AA:$AB,2,0),"")</f>
        <v/>
      </c>
      <c r="I139" s="7" t="n">
        <v>10000383</v>
      </c>
      <c r="J139" s="7">
        <f>IFERROR(VLOOKUP(I139,Materiales!$A:$H,8,0),"")</f>
        <v/>
      </c>
      <c r="K139" s="9">
        <f>IFERROR(VLOOKUP(I139,Materiales!$A:$G,7,0),"")</f>
        <v/>
      </c>
      <c r="L139" s="8" t="inlineStr">
        <is>
          <t>20230301</t>
        </is>
      </c>
      <c r="M139" s="8" t="inlineStr">
        <is>
          <t>20250129</t>
        </is>
      </c>
      <c r="N139" s="10" t="n">
        <v>161.88</v>
      </c>
      <c r="O139" s="10">
        <f>IFERROR(VLOOKUP(A139,Flete!$A:$J,10,0),"")</f>
        <v/>
      </c>
      <c r="P139" s="8" t="inlineStr">
        <is>
          <t>TN</t>
        </is>
      </c>
      <c r="Q139" s="10">
        <f>IFERROR(IFERROR(VLOOKUP(A139,TRAOPE!$A:$U,21,0),VLOOKUP(B139,TRAOPE!$A:$U,21,0)),"")</f>
        <v/>
      </c>
      <c r="R139" s="8">
        <f>IFERROR(IFERROR(VLOOKUP(A139,TRAOPE!$A:$W,23,0),VLOOKUP(B139,TRAOPE!$A:$W,23,0)),"")</f>
        <v/>
      </c>
      <c r="S139" s="10">
        <f>IF(AND(P139="TN",R139="TN"),N139+N(O139),IF(G139&amp;""="1",N(K139)*N139,(N139+N(O139))*N(K139)))</f>
        <v/>
      </c>
      <c r="T139" s="10">
        <f>IF(Q139="","",Q139-S139)</f>
        <v/>
      </c>
    </row>
    <row r="140">
      <c r="A140" s="7">
        <f>CONCATENATE(C140,E140,F140,I140)</f>
        <v/>
      </c>
      <c r="B140" s="7">
        <f>CONCATENATE(C140,E140,I140)</f>
        <v/>
      </c>
      <c r="C140" s="8" t="n">
        <v>900007615</v>
      </c>
      <c r="D140" s="7">
        <f>IFERROR(VLOOKUP(C140,TRAOPE!$G:$H,2,0),"")</f>
        <v/>
      </c>
      <c r="E140" s="8" t="inlineStr">
        <is>
          <t>DW83</t>
        </is>
      </c>
      <c r="F140" s="8" t="inlineStr">
        <is>
          <t>D243</t>
        </is>
      </c>
      <c r="G140" s="8">
        <f>IFERROR(VLOOKUP(A140,Flete!$A:$E,5,0),"")</f>
        <v/>
      </c>
      <c r="H140" s="7">
        <f>IFERROR(VLOOKUP(F140,TRAOPE!$AA:$AB,2,0),"")</f>
        <v/>
      </c>
      <c r="I140" s="7" t="n">
        <v>10049556</v>
      </c>
      <c r="J140" s="7">
        <f>IFERROR(VLOOKUP(I140,Materiales!$A:$H,8,0),"")</f>
        <v/>
      </c>
      <c r="K140" s="9">
        <f>IFERROR(VLOOKUP(I140,Materiales!$A:$G,7,0),"")</f>
        <v/>
      </c>
      <c r="L140" s="8" t="inlineStr">
        <is>
          <t>20230301</t>
        </is>
      </c>
      <c r="M140" s="8" t="inlineStr">
        <is>
          <t>20250129</t>
        </is>
      </c>
      <c r="N140" s="10" t="n">
        <v>165.66</v>
      </c>
      <c r="O140" s="10">
        <f>IFERROR(VLOOKUP(A140,Flete!$A:$J,10,0),"")</f>
        <v/>
      </c>
      <c r="P140" s="8" t="inlineStr">
        <is>
          <t>TN</t>
        </is>
      </c>
      <c r="Q140" s="10">
        <f>IFERROR(IFERROR(VLOOKUP(A140,TRAOPE!$A:$U,21,0),VLOOKUP(B140,TRAOPE!$A:$U,21,0)),"")</f>
        <v/>
      </c>
      <c r="R140" s="8">
        <f>IFERROR(IFERROR(VLOOKUP(A140,TRAOPE!$A:$W,23,0),VLOOKUP(B140,TRAOPE!$A:$W,23,0)),"")</f>
        <v/>
      </c>
      <c r="S140" s="10">
        <f>IF(AND(P140="TN",R140="TN"),N140+N(O140),IF(G140&amp;""="1",N(K140)*N140,(N140+N(O140))*N(K140)))</f>
        <v/>
      </c>
      <c r="T140" s="10">
        <f>IF(Q140="","",Q140-S140)</f>
        <v/>
      </c>
    </row>
    <row r="141">
      <c r="A141" s="7">
        <f>CONCATENATE(C141,E141,F141,I141)</f>
        <v/>
      </c>
      <c r="B141" s="7">
        <f>CONCATENATE(C141,E141,I141)</f>
        <v/>
      </c>
      <c r="C141" s="8" t="n">
        <v>900007616</v>
      </c>
      <c r="D141" s="7">
        <f>IFERROR(VLOOKUP(C141,TRAOPE!$G:$H,2,0),"")</f>
        <v/>
      </c>
      <c r="E141" s="8" t="inlineStr">
        <is>
          <t>DW83</t>
        </is>
      </c>
      <c r="F141" s="8" t="inlineStr">
        <is>
          <t>D216</t>
        </is>
      </c>
      <c r="G141" s="8">
        <f>IFERROR(VLOOKUP(A141,Flete!$A:$E,5,0),"")</f>
        <v/>
      </c>
      <c r="H141" s="7">
        <f>IFERROR(VLOOKUP(F141,TRAOPE!$AA:$AB,2,0),"")</f>
        <v/>
      </c>
      <c r="I141" s="7" t="n">
        <v>10000320</v>
      </c>
      <c r="J141" s="7">
        <f>IFERROR(VLOOKUP(I141,Materiales!$A:$H,8,0),"")</f>
        <v/>
      </c>
      <c r="K141" s="9">
        <f>IFERROR(VLOOKUP(I141,Materiales!$A:$G,7,0),"")</f>
        <v/>
      </c>
      <c r="L141" s="8" t="inlineStr">
        <is>
          <t>20230322</t>
        </is>
      </c>
      <c r="M141" s="8" t="inlineStr">
        <is>
          <t>20251031</t>
        </is>
      </c>
      <c r="N141" s="10" t="n">
        <v>255.29</v>
      </c>
      <c r="O141" s="10">
        <f>IFERROR(VLOOKUP(A141,Flete!$A:$J,10,0),"")</f>
        <v/>
      </c>
      <c r="P141" s="8" t="inlineStr">
        <is>
          <t>TN</t>
        </is>
      </c>
      <c r="Q141" s="10">
        <f>IFERROR(IFERROR(VLOOKUP(A141,TRAOPE!$A:$U,21,0),VLOOKUP(B141,TRAOPE!$A:$U,21,0)),"")</f>
        <v/>
      </c>
      <c r="R141" s="8">
        <f>IFERROR(IFERROR(VLOOKUP(A141,TRAOPE!$A:$W,23,0),VLOOKUP(B141,TRAOPE!$A:$W,23,0)),"")</f>
        <v/>
      </c>
      <c r="S141" s="10">
        <f>IF(AND(P141="TN",R141="TN"),N141+N(O141),IF(G141&amp;""="1",N(K141)*N141,(N141+N(O141))*N(K141)))</f>
        <v/>
      </c>
      <c r="T141" s="10">
        <f>IF(Q141="","",Q141-S141)</f>
        <v/>
      </c>
    </row>
    <row r="142">
      <c r="A142" s="7">
        <f>CONCATENATE(C142,E142,F142,I142)</f>
        <v/>
      </c>
      <c r="B142" s="7">
        <f>CONCATENATE(C142,E142,I142)</f>
        <v/>
      </c>
      <c r="C142" s="8" t="n">
        <v>900007616</v>
      </c>
      <c r="D142" s="7">
        <f>IFERROR(VLOOKUP(C142,TRAOPE!$G:$H,2,0),"")</f>
        <v/>
      </c>
      <c r="E142" s="8" t="inlineStr">
        <is>
          <t>DW83</t>
        </is>
      </c>
      <c r="F142" s="8" t="inlineStr">
        <is>
          <t>D216</t>
        </is>
      </c>
      <c r="G142" s="8">
        <f>IFERROR(VLOOKUP(A142,Flete!$A:$E,5,0),"")</f>
        <v/>
      </c>
      <c r="H142" s="7">
        <f>IFERROR(VLOOKUP(F142,TRAOPE!$AA:$AB,2,0),"")</f>
        <v/>
      </c>
      <c r="I142" s="7" t="n">
        <v>10000379</v>
      </c>
      <c r="J142" s="7">
        <f>IFERROR(VLOOKUP(I142,Materiales!$A:$H,8,0),"")</f>
        <v/>
      </c>
      <c r="K142" s="9">
        <f>IFERROR(VLOOKUP(I142,Materiales!$A:$G,7,0),"")</f>
        <v/>
      </c>
      <c r="L142" s="8" t="inlineStr">
        <is>
          <t>20230322</t>
        </is>
      </c>
      <c r="M142" s="8" t="inlineStr">
        <is>
          <t>20251031</t>
        </is>
      </c>
      <c r="N142" s="10" t="n">
        <v>153.85</v>
      </c>
      <c r="O142" s="10">
        <f>IFERROR(VLOOKUP(A142,Flete!$A:$J,10,0),"")</f>
        <v/>
      </c>
      <c r="P142" s="8" t="inlineStr">
        <is>
          <t>TN</t>
        </is>
      </c>
      <c r="Q142" s="10">
        <f>IFERROR(IFERROR(VLOOKUP(A142,TRAOPE!$A:$U,21,0),VLOOKUP(B142,TRAOPE!$A:$U,21,0)),"")</f>
        <v/>
      </c>
      <c r="R142" s="8">
        <f>IFERROR(IFERROR(VLOOKUP(A142,TRAOPE!$A:$W,23,0),VLOOKUP(B142,TRAOPE!$A:$W,23,0)),"")</f>
        <v/>
      </c>
      <c r="S142" s="10">
        <f>IF(AND(P142="TN",R142="TN"),N142+N(O142),IF(G142&amp;""="1",N(K142)*N142,(N142+N(O142))*N(K142)))</f>
        <v/>
      </c>
      <c r="T142" s="10">
        <f>IF(Q142="","",Q142-S142)</f>
        <v/>
      </c>
    </row>
    <row r="143">
      <c r="A143" s="7">
        <f>CONCATENATE(C143,E143,F143,I143)</f>
        <v/>
      </c>
      <c r="B143" s="7">
        <f>CONCATENATE(C143,E143,I143)</f>
        <v/>
      </c>
      <c r="C143" s="8" t="n">
        <v>900007616</v>
      </c>
      <c r="D143" s="7">
        <f>IFERROR(VLOOKUP(C143,TRAOPE!$G:$H,2,0),"")</f>
        <v/>
      </c>
      <c r="E143" s="8" t="inlineStr">
        <is>
          <t>DW83</t>
        </is>
      </c>
      <c r="F143" s="8" t="inlineStr">
        <is>
          <t>D216</t>
        </is>
      </c>
      <c r="G143" s="8">
        <f>IFERROR(VLOOKUP(A143,Flete!$A:$E,5,0),"")</f>
        <v/>
      </c>
      <c r="H143" s="7">
        <f>IFERROR(VLOOKUP(F143,TRAOPE!$AA:$AB,2,0),"")</f>
        <v/>
      </c>
      <c r="I143" s="7" t="n">
        <v>10000383</v>
      </c>
      <c r="J143" s="7">
        <f>IFERROR(VLOOKUP(I143,Materiales!$A:$H,8,0),"")</f>
        <v/>
      </c>
      <c r="K143" s="9">
        <f>IFERROR(VLOOKUP(I143,Materiales!$A:$G,7,0),"")</f>
        <v/>
      </c>
      <c r="L143" s="8" t="inlineStr">
        <is>
          <t>20230322</t>
        </is>
      </c>
      <c r="M143" s="8" t="inlineStr">
        <is>
          <t>20251031</t>
        </is>
      </c>
      <c r="N143" s="10" t="n">
        <v>161.88</v>
      </c>
      <c r="O143" s="10">
        <f>IFERROR(VLOOKUP(A143,Flete!$A:$J,10,0),"")</f>
        <v/>
      </c>
      <c r="P143" s="8" t="inlineStr">
        <is>
          <t>TN</t>
        </is>
      </c>
      <c r="Q143" s="10">
        <f>IFERROR(IFERROR(VLOOKUP(A143,TRAOPE!$A:$U,21,0),VLOOKUP(B143,TRAOPE!$A:$U,21,0)),"")</f>
        <v/>
      </c>
      <c r="R143" s="8">
        <f>IFERROR(IFERROR(VLOOKUP(A143,TRAOPE!$A:$W,23,0),VLOOKUP(B143,TRAOPE!$A:$W,23,0)),"")</f>
        <v/>
      </c>
      <c r="S143" s="10">
        <f>IF(AND(P143="TN",R143="TN"),N143+N(O143),IF(G143&amp;""="1",N(K143)*N143,(N143+N(O143))*N(K143)))</f>
        <v/>
      </c>
      <c r="T143" s="10">
        <f>IF(Q143="","",Q143-S143)</f>
        <v/>
      </c>
    </row>
    <row r="144">
      <c r="A144" s="7">
        <f>CONCATENATE(C144,E144,F144,I144)</f>
        <v/>
      </c>
      <c r="B144" s="7">
        <f>CONCATENATE(C144,E144,I144)</f>
        <v/>
      </c>
      <c r="C144" s="8" t="n">
        <v>900007616</v>
      </c>
      <c r="D144" s="7">
        <f>IFERROR(VLOOKUP(C144,TRAOPE!$G:$H,2,0),"")</f>
        <v/>
      </c>
      <c r="E144" s="8" t="inlineStr">
        <is>
          <t>DW83</t>
        </is>
      </c>
      <c r="F144" s="8" t="inlineStr">
        <is>
          <t>D216</t>
        </is>
      </c>
      <c r="G144" s="8">
        <f>IFERROR(VLOOKUP(A144,Flete!$A:$E,5,0),"")</f>
        <v/>
      </c>
      <c r="H144" s="7">
        <f>IFERROR(VLOOKUP(F144,TRAOPE!$AA:$AB,2,0),"")</f>
        <v/>
      </c>
      <c r="I144" s="7" t="n">
        <v>10049556</v>
      </c>
      <c r="J144" s="7">
        <f>IFERROR(VLOOKUP(I144,Materiales!$A:$H,8,0),"")</f>
        <v/>
      </c>
      <c r="K144" s="9">
        <f>IFERROR(VLOOKUP(I144,Materiales!$A:$G,7,0),"")</f>
        <v/>
      </c>
      <c r="L144" s="8" t="inlineStr">
        <is>
          <t>20230322</t>
        </is>
      </c>
      <c r="M144" s="8" t="inlineStr">
        <is>
          <t>20251031</t>
        </is>
      </c>
      <c r="N144" s="10" t="n">
        <v>165.66</v>
      </c>
      <c r="O144" s="10">
        <f>IFERROR(VLOOKUP(A144,Flete!$A:$J,10,0),"")</f>
        <v/>
      </c>
      <c r="P144" s="8" t="inlineStr">
        <is>
          <t>TN</t>
        </is>
      </c>
      <c r="Q144" s="10">
        <f>IFERROR(IFERROR(VLOOKUP(A144,TRAOPE!$A:$U,21,0),VLOOKUP(B144,TRAOPE!$A:$U,21,0)),"")</f>
        <v/>
      </c>
      <c r="R144" s="8">
        <f>IFERROR(IFERROR(VLOOKUP(A144,TRAOPE!$A:$W,23,0),VLOOKUP(B144,TRAOPE!$A:$W,23,0)),"")</f>
        <v/>
      </c>
      <c r="S144" s="10">
        <f>IF(AND(P144="TN",R144="TN"),N144+N(O144),IF(G144&amp;""="1",N(K144)*N144,(N144+N(O144))*N(K144)))</f>
        <v/>
      </c>
      <c r="T144" s="10">
        <f>IF(Q144="","",Q144-S144)</f>
        <v/>
      </c>
    </row>
    <row r="145">
      <c r="A145" s="7">
        <f>CONCATENATE(C145,E145,F145,I145)</f>
        <v/>
      </c>
      <c r="B145" s="7">
        <f>CONCATENATE(C145,E145,I145)</f>
        <v/>
      </c>
      <c r="C145" s="8" t="n">
        <v>900007616</v>
      </c>
      <c r="D145" s="7">
        <f>IFERROR(VLOOKUP(C145,TRAOPE!$G:$H,2,0),"")</f>
        <v/>
      </c>
      <c r="E145" s="8" t="inlineStr">
        <is>
          <t>DW83</t>
        </is>
      </c>
      <c r="F145" s="8" t="inlineStr">
        <is>
          <t>D243</t>
        </is>
      </c>
      <c r="G145" s="8">
        <f>IFERROR(VLOOKUP(A145,Flete!$A:$E,5,0),"")</f>
        <v/>
      </c>
      <c r="H145" s="7">
        <f>IFERROR(VLOOKUP(F145,TRAOPE!$AA:$AB,2,0),"")</f>
        <v/>
      </c>
      <c r="I145" s="7" t="n">
        <v>10000320</v>
      </c>
      <c r="J145" s="7">
        <f>IFERROR(VLOOKUP(I145,Materiales!$A:$H,8,0),"")</f>
        <v/>
      </c>
      <c r="K145" s="9">
        <f>IFERROR(VLOOKUP(I145,Materiales!$A:$G,7,0),"")</f>
        <v/>
      </c>
      <c r="L145" s="8" t="inlineStr">
        <is>
          <t>20230301</t>
        </is>
      </c>
      <c r="M145" s="8" t="inlineStr">
        <is>
          <t>20250129</t>
        </is>
      </c>
      <c r="N145" s="10" t="n">
        <v>255.29</v>
      </c>
      <c r="O145" s="10">
        <f>IFERROR(VLOOKUP(A145,Flete!$A:$J,10,0),"")</f>
        <v/>
      </c>
      <c r="P145" s="8" t="inlineStr">
        <is>
          <t>TN</t>
        </is>
      </c>
      <c r="Q145" s="10">
        <f>IFERROR(IFERROR(VLOOKUP(A145,TRAOPE!$A:$U,21,0),VLOOKUP(B145,TRAOPE!$A:$U,21,0)),"")</f>
        <v/>
      </c>
      <c r="R145" s="8">
        <f>IFERROR(IFERROR(VLOOKUP(A145,TRAOPE!$A:$W,23,0),VLOOKUP(B145,TRAOPE!$A:$W,23,0)),"")</f>
        <v/>
      </c>
      <c r="S145" s="10">
        <f>IF(AND(P145="TN",R145="TN"),N145+N(O145),IF(G145&amp;""="1",N(K145)*N145,(N145+N(O145))*N(K145)))</f>
        <v/>
      </c>
      <c r="T145" s="10">
        <f>IF(Q145="","",Q145-S145)</f>
        <v/>
      </c>
    </row>
    <row r="146">
      <c r="A146" s="7">
        <f>CONCATENATE(C146,E146,F146,I146)</f>
        <v/>
      </c>
      <c r="B146" s="7">
        <f>CONCATENATE(C146,E146,I146)</f>
        <v/>
      </c>
      <c r="C146" s="8" t="n">
        <v>900007616</v>
      </c>
      <c r="D146" s="7">
        <f>IFERROR(VLOOKUP(C146,TRAOPE!$G:$H,2,0),"")</f>
        <v/>
      </c>
      <c r="E146" s="8" t="inlineStr">
        <is>
          <t>DW83</t>
        </is>
      </c>
      <c r="F146" s="8" t="inlineStr">
        <is>
          <t>D243</t>
        </is>
      </c>
      <c r="G146" s="8">
        <f>IFERROR(VLOOKUP(A146,Flete!$A:$E,5,0),"")</f>
        <v/>
      </c>
      <c r="H146" s="7">
        <f>IFERROR(VLOOKUP(F146,TRAOPE!$AA:$AB,2,0),"")</f>
        <v/>
      </c>
      <c r="I146" s="7" t="n">
        <v>10000379</v>
      </c>
      <c r="J146" s="7">
        <f>IFERROR(VLOOKUP(I146,Materiales!$A:$H,8,0),"")</f>
        <v/>
      </c>
      <c r="K146" s="9">
        <f>IFERROR(VLOOKUP(I146,Materiales!$A:$G,7,0),"")</f>
        <v/>
      </c>
      <c r="L146" s="8" t="inlineStr">
        <is>
          <t>20230301</t>
        </is>
      </c>
      <c r="M146" s="8" t="inlineStr">
        <is>
          <t>20250129</t>
        </is>
      </c>
      <c r="N146" s="10" t="n">
        <v>153.85</v>
      </c>
      <c r="O146" s="10">
        <f>IFERROR(VLOOKUP(A146,Flete!$A:$J,10,0),"")</f>
        <v/>
      </c>
      <c r="P146" s="8" t="inlineStr">
        <is>
          <t>TN</t>
        </is>
      </c>
      <c r="Q146" s="10">
        <f>IFERROR(IFERROR(VLOOKUP(A146,TRAOPE!$A:$U,21,0),VLOOKUP(B146,TRAOPE!$A:$U,21,0)),"")</f>
        <v/>
      </c>
      <c r="R146" s="8">
        <f>IFERROR(IFERROR(VLOOKUP(A146,TRAOPE!$A:$W,23,0),VLOOKUP(B146,TRAOPE!$A:$W,23,0)),"")</f>
        <v/>
      </c>
      <c r="S146" s="10">
        <f>IF(AND(P146="TN",R146="TN"),N146+N(O146),IF(G146&amp;""="1",N(K146)*N146,(N146+N(O146))*N(K146)))</f>
        <v/>
      </c>
      <c r="T146" s="10">
        <f>IF(Q146="","",Q146-S146)</f>
        <v/>
      </c>
    </row>
    <row r="147">
      <c r="A147" s="7">
        <f>CONCATENATE(C147,E147,F147,I147)</f>
        <v/>
      </c>
      <c r="B147" s="7">
        <f>CONCATENATE(C147,E147,I147)</f>
        <v/>
      </c>
      <c r="C147" s="8" t="n">
        <v>900007616</v>
      </c>
      <c r="D147" s="7">
        <f>IFERROR(VLOOKUP(C147,TRAOPE!$G:$H,2,0),"")</f>
        <v/>
      </c>
      <c r="E147" s="8" t="inlineStr">
        <is>
          <t>DW83</t>
        </is>
      </c>
      <c r="F147" s="8" t="inlineStr">
        <is>
          <t>D243</t>
        </is>
      </c>
      <c r="G147" s="8">
        <f>IFERROR(VLOOKUP(A147,Flete!$A:$E,5,0),"")</f>
        <v/>
      </c>
      <c r="H147" s="7">
        <f>IFERROR(VLOOKUP(F147,TRAOPE!$AA:$AB,2,0),"")</f>
        <v/>
      </c>
      <c r="I147" s="7" t="n">
        <v>10000383</v>
      </c>
      <c r="J147" s="7">
        <f>IFERROR(VLOOKUP(I147,Materiales!$A:$H,8,0),"")</f>
        <v/>
      </c>
      <c r="K147" s="9">
        <f>IFERROR(VLOOKUP(I147,Materiales!$A:$G,7,0),"")</f>
        <v/>
      </c>
      <c r="L147" s="8" t="inlineStr">
        <is>
          <t>20230301</t>
        </is>
      </c>
      <c r="M147" s="8" t="inlineStr">
        <is>
          <t>20250129</t>
        </is>
      </c>
      <c r="N147" s="10" t="n">
        <v>161.88</v>
      </c>
      <c r="O147" s="10">
        <f>IFERROR(VLOOKUP(A147,Flete!$A:$J,10,0),"")</f>
        <v/>
      </c>
      <c r="P147" s="8" t="inlineStr">
        <is>
          <t>TN</t>
        </is>
      </c>
      <c r="Q147" s="10">
        <f>IFERROR(IFERROR(VLOOKUP(A147,TRAOPE!$A:$U,21,0),VLOOKUP(B147,TRAOPE!$A:$U,21,0)),"")</f>
        <v/>
      </c>
      <c r="R147" s="8">
        <f>IFERROR(IFERROR(VLOOKUP(A147,TRAOPE!$A:$W,23,0),VLOOKUP(B147,TRAOPE!$A:$W,23,0)),"")</f>
        <v/>
      </c>
      <c r="S147" s="10">
        <f>IF(AND(P147="TN",R147="TN"),N147+N(O147),IF(G147&amp;""="1",N(K147)*N147,(N147+N(O147))*N(K147)))</f>
        <v/>
      </c>
      <c r="T147" s="10">
        <f>IF(Q147="","",Q147-S147)</f>
        <v/>
      </c>
    </row>
    <row r="148">
      <c r="A148" s="7">
        <f>CONCATENATE(C148,E148,F148,I148)</f>
        <v/>
      </c>
      <c r="B148" s="7">
        <f>CONCATENATE(C148,E148,I148)</f>
        <v/>
      </c>
      <c r="C148" s="8" t="n">
        <v>900007616</v>
      </c>
      <c r="D148" s="7">
        <f>IFERROR(VLOOKUP(C148,TRAOPE!$G:$H,2,0),"")</f>
        <v/>
      </c>
      <c r="E148" s="8" t="inlineStr">
        <is>
          <t>DW83</t>
        </is>
      </c>
      <c r="F148" s="8" t="inlineStr">
        <is>
          <t>D243</t>
        </is>
      </c>
      <c r="G148" s="8">
        <f>IFERROR(VLOOKUP(A148,Flete!$A:$E,5,0),"")</f>
        <v/>
      </c>
      <c r="H148" s="7">
        <f>IFERROR(VLOOKUP(F148,TRAOPE!$AA:$AB,2,0),"")</f>
        <v/>
      </c>
      <c r="I148" s="7" t="n">
        <v>10049556</v>
      </c>
      <c r="J148" s="7">
        <f>IFERROR(VLOOKUP(I148,Materiales!$A:$H,8,0),"")</f>
        <v/>
      </c>
      <c r="K148" s="9">
        <f>IFERROR(VLOOKUP(I148,Materiales!$A:$G,7,0),"")</f>
        <v/>
      </c>
      <c r="L148" s="8" t="inlineStr">
        <is>
          <t>20230301</t>
        </is>
      </c>
      <c r="M148" s="8" t="inlineStr">
        <is>
          <t>20250129</t>
        </is>
      </c>
      <c r="N148" s="10" t="n">
        <v>165.66</v>
      </c>
      <c r="O148" s="10">
        <f>IFERROR(VLOOKUP(A148,Flete!$A:$J,10,0),"")</f>
        <v/>
      </c>
      <c r="P148" s="8" t="inlineStr">
        <is>
          <t>TN</t>
        </is>
      </c>
      <c r="Q148" s="10">
        <f>IFERROR(IFERROR(VLOOKUP(A148,TRAOPE!$A:$U,21,0),VLOOKUP(B148,TRAOPE!$A:$U,21,0)),"")</f>
        <v/>
      </c>
      <c r="R148" s="8">
        <f>IFERROR(IFERROR(VLOOKUP(A148,TRAOPE!$A:$W,23,0),VLOOKUP(B148,TRAOPE!$A:$W,23,0)),"")</f>
        <v/>
      </c>
      <c r="S148" s="10">
        <f>IF(AND(P148="TN",R148="TN"),N148+N(O148),IF(G148&amp;""="1",N(K148)*N148,(N148+N(O148))*N(K148)))</f>
        <v/>
      </c>
      <c r="T148" s="10">
        <f>IF(Q148="","",Q148-S148)</f>
        <v/>
      </c>
    </row>
    <row r="149">
      <c r="A149" s="7">
        <f>CONCATENATE(C149,E149,F149,I149)</f>
        <v/>
      </c>
      <c r="B149" s="7">
        <f>CONCATENATE(C149,E149,I149)</f>
        <v/>
      </c>
      <c r="C149" s="8" t="n">
        <v>900007631</v>
      </c>
      <c r="D149" s="7">
        <f>IFERROR(VLOOKUP(C149,TRAOPE!$G:$H,2,0),"")</f>
        <v/>
      </c>
      <c r="E149" s="8" t="inlineStr">
        <is>
          <t>DW83</t>
        </is>
      </c>
      <c r="F149" s="8" t="inlineStr">
        <is>
          <t>D216</t>
        </is>
      </c>
      <c r="G149" s="8">
        <f>IFERROR(VLOOKUP(A149,Flete!$A:$E,5,0),"")</f>
        <v/>
      </c>
      <c r="H149" s="7">
        <f>IFERROR(VLOOKUP(F149,TRAOPE!$AA:$AB,2,0),"")</f>
        <v/>
      </c>
      <c r="I149" s="7" t="n">
        <v>10000237</v>
      </c>
      <c r="J149" s="7">
        <f>IFERROR(VLOOKUP(I149,Materiales!$A:$H,8,0),"")</f>
        <v/>
      </c>
      <c r="K149" s="9">
        <f>IFERROR(VLOOKUP(I149,Materiales!$A:$G,7,0),"")</f>
        <v/>
      </c>
      <c r="L149" s="8" t="inlineStr">
        <is>
          <t>20220526</t>
        </is>
      </c>
      <c r="M149" s="8" t="inlineStr">
        <is>
          <t>20251031</t>
        </is>
      </c>
      <c r="N149" s="10" t="n">
        <v>224.07</v>
      </c>
      <c r="O149" s="10">
        <f>IFERROR(VLOOKUP(A149,Flete!$A:$J,10,0),"")</f>
        <v/>
      </c>
      <c r="P149" s="8" t="inlineStr">
        <is>
          <t>TN</t>
        </is>
      </c>
      <c r="Q149" s="10">
        <f>IFERROR(IFERROR(VLOOKUP(A149,TRAOPE!$A:$U,21,0),VLOOKUP(B149,TRAOPE!$A:$U,21,0)),"")</f>
        <v/>
      </c>
      <c r="R149" s="8">
        <f>IFERROR(IFERROR(VLOOKUP(A149,TRAOPE!$A:$W,23,0),VLOOKUP(B149,TRAOPE!$A:$W,23,0)),"")</f>
        <v/>
      </c>
      <c r="S149" s="10">
        <f>IF(AND(P149="TN",R149="TN"),N149+N(O149),IF(G149&amp;""="1",N(K149)*N149,(N149+N(O149))*N(K149)))</f>
        <v/>
      </c>
      <c r="T149" s="10">
        <f>IF(Q149="","",Q149-S149)</f>
        <v/>
      </c>
    </row>
    <row r="150">
      <c r="A150" s="7">
        <f>CONCATENATE(C150,E150,F150,I150)</f>
        <v/>
      </c>
      <c r="B150" s="7">
        <f>CONCATENATE(C150,E150,I150)</f>
        <v/>
      </c>
      <c r="C150" s="8" t="n">
        <v>900007631</v>
      </c>
      <c r="D150" s="7">
        <f>IFERROR(VLOOKUP(C150,TRAOPE!$G:$H,2,0),"")</f>
        <v/>
      </c>
      <c r="E150" s="8" t="inlineStr">
        <is>
          <t>DW83</t>
        </is>
      </c>
      <c r="F150" s="8" t="inlineStr">
        <is>
          <t>D216</t>
        </is>
      </c>
      <c r="G150" s="8">
        <f>IFERROR(VLOOKUP(A150,Flete!$A:$E,5,0),"")</f>
        <v/>
      </c>
      <c r="H150" s="7">
        <f>IFERROR(VLOOKUP(F150,TRAOPE!$AA:$AB,2,0),"")</f>
        <v/>
      </c>
      <c r="I150" s="7" t="n">
        <v>10000318</v>
      </c>
      <c r="J150" s="7">
        <f>IFERROR(VLOOKUP(I150,Materiales!$A:$H,8,0),"")</f>
        <v/>
      </c>
      <c r="K150" s="9">
        <f>IFERROR(VLOOKUP(I150,Materiales!$A:$G,7,0),"")</f>
        <v/>
      </c>
      <c r="L150" s="8" t="inlineStr">
        <is>
          <t>20220526</t>
        </is>
      </c>
      <c r="M150" s="8" t="inlineStr">
        <is>
          <t>20251031</t>
        </is>
      </c>
      <c r="N150" s="10" t="n">
        <v>222.22</v>
      </c>
      <c r="O150" s="10">
        <f>IFERROR(VLOOKUP(A150,Flete!$A:$J,10,0),"")</f>
        <v/>
      </c>
      <c r="P150" s="8" t="inlineStr">
        <is>
          <t>TN</t>
        </is>
      </c>
      <c r="Q150" s="10">
        <f>IFERROR(IFERROR(VLOOKUP(A150,TRAOPE!$A:$U,21,0),VLOOKUP(B150,TRAOPE!$A:$U,21,0)),"")</f>
        <v/>
      </c>
      <c r="R150" s="8">
        <f>IFERROR(IFERROR(VLOOKUP(A150,TRAOPE!$A:$W,23,0),VLOOKUP(B150,TRAOPE!$A:$W,23,0)),"")</f>
        <v/>
      </c>
      <c r="S150" s="10">
        <f>IF(AND(P150="TN",R150="TN"),N150+N(O150),IF(G150&amp;""="1",N(K150)*N150,(N150+N(O150))*N(K150)))</f>
        <v/>
      </c>
      <c r="T150" s="10">
        <f>IF(Q150="","",Q150-S150)</f>
        <v/>
      </c>
    </row>
    <row r="151">
      <c r="A151" s="7">
        <f>CONCATENATE(C151,E151,F151,I151)</f>
        <v/>
      </c>
      <c r="B151" s="7">
        <f>CONCATENATE(C151,E151,I151)</f>
        <v/>
      </c>
      <c r="C151" s="8" t="n">
        <v>900007631</v>
      </c>
      <c r="D151" s="7">
        <f>IFERROR(VLOOKUP(C151,TRAOPE!$G:$H,2,0),"")</f>
        <v/>
      </c>
      <c r="E151" s="8" t="inlineStr">
        <is>
          <t>DW83</t>
        </is>
      </c>
      <c r="F151" s="8" t="inlineStr">
        <is>
          <t>D216</t>
        </is>
      </c>
      <c r="G151" s="8">
        <f>IFERROR(VLOOKUP(A151,Flete!$A:$E,5,0),"")</f>
        <v/>
      </c>
      <c r="H151" s="7">
        <f>IFERROR(VLOOKUP(F151,TRAOPE!$AA:$AB,2,0),"")</f>
        <v/>
      </c>
      <c r="I151" s="7" t="n">
        <v>10000320</v>
      </c>
      <c r="J151" s="7">
        <f>IFERROR(VLOOKUP(I151,Materiales!$A:$H,8,0),"")</f>
        <v/>
      </c>
      <c r="K151" s="9">
        <f>IFERROR(VLOOKUP(I151,Materiales!$A:$G,7,0),"")</f>
        <v/>
      </c>
      <c r="L151" s="8" t="inlineStr">
        <is>
          <t>20220526</t>
        </is>
      </c>
      <c r="M151" s="8" t="inlineStr">
        <is>
          <t>20251031</t>
        </is>
      </c>
      <c r="N151" s="10" t="n">
        <v>211.64</v>
      </c>
      <c r="O151" s="10">
        <f>IFERROR(VLOOKUP(A151,Flete!$A:$J,10,0),"")</f>
        <v/>
      </c>
      <c r="P151" s="8" t="inlineStr">
        <is>
          <t>TN</t>
        </is>
      </c>
      <c r="Q151" s="10">
        <f>IFERROR(IFERROR(VLOOKUP(A151,TRAOPE!$A:$U,21,0),VLOOKUP(B151,TRAOPE!$A:$U,21,0)),"")</f>
        <v/>
      </c>
      <c r="R151" s="8">
        <f>IFERROR(IFERROR(VLOOKUP(A151,TRAOPE!$A:$W,23,0),VLOOKUP(B151,TRAOPE!$A:$W,23,0)),"")</f>
        <v/>
      </c>
      <c r="S151" s="10">
        <f>IF(AND(P151="TN",R151="TN"),N151+N(O151),IF(G151&amp;""="1",N(K151)*N151,(N151+N(O151))*N(K151)))</f>
        <v/>
      </c>
      <c r="T151" s="10">
        <f>IF(Q151="","",Q151-S151)</f>
        <v/>
      </c>
    </row>
    <row r="152">
      <c r="A152" s="7">
        <f>CONCATENATE(C152,E152,F152,I152)</f>
        <v/>
      </c>
      <c r="B152" s="7">
        <f>CONCATENATE(C152,E152,I152)</f>
        <v/>
      </c>
      <c r="C152" s="8" t="n">
        <v>900007631</v>
      </c>
      <c r="D152" s="7">
        <f>IFERROR(VLOOKUP(C152,TRAOPE!$G:$H,2,0),"")</f>
        <v/>
      </c>
      <c r="E152" s="8" t="inlineStr">
        <is>
          <t>DW83</t>
        </is>
      </c>
      <c r="F152" s="8" t="inlineStr">
        <is>
          <t>D216</t>
        </is>
      </c>
      <c r="G152" s="8">
        <f>IFERROR(VLOOKUP(A152,Flete!$A:$E,5,0),"")</f>
        <v/>
      </c>
      <c r="H152" s="7">
        <f>IFERROR(VLOOKUP(F152,TRAOPE!$AA:$AB,2,0),"")</f>
        <v/>
      </c>
      <c r="I152" s="7" t="n">
        <v>10000554</v>
      </c>
      <c r="J152" s="7">
        <f>IFERROR(VLOOKUP(I152,Materiales!$A:$H,8,0),"")</f>
        <v/>
      </c>
      <c r="K152" s="9">
        <f>IFERROR(VLOOKUP(I152,Materiales!$A:$G,7,0),"")</f>
        <v/>
      </c>
      <c r="L152" s="8" t="inlineStr">
        <is>
          <t>20220526</t>
        </is>
      </c>
      <c r="M152" s="8" t="inlineStr">
        <is>
          <t>20251031</t>
        </is>
      </c>
      <c r="N152" s="10" t="n">
        <v>218.98</v>
      </c>
      <c r="O152" s="10">
        <f>IFERROR(VLOOKUP(A152,Flete!$A:$J,10,0),"")</f>
        <v/>
      </c>
      <c r="P152" s="8" t="inlineStr">
        <is>
          <t>TN</t>
        </is>
      </c>
      <c r="Q152" s="10">
        <f>IFERROR(IFERROR(VLOOKUP(A152,TRAOPE!$A:$U,21,0),VLOOKUP(B152,TRAOPE!$A:$U,21,0)),"")</f>
        <v/>
      </c>
      <c r="R152" s="8">
        <f>IFERROR(IFERROR(VLOOKUP(A152,TRAOPE!$A:$W,23,0),VLOOKUP(B152,TRAOPE!$A:$W,23,0)),"")</f>
        <v/>
      </c>
      <c r="S152" s="10">
        <f>IF(AND(P152="TN",R152="TN"),N152+N(O152),IF(G152&amp;""="1",N(K152)*N152,(N152+N(O152))*N(K152)))</f>
        <v/>
      </c>
      <c r="T152" s="10">
        <f>IF(Q152="","",Q152-S152)</f>
        <v/>
      </c>
    </row>
    <row r="153">
      <c r="A153" s="7">
        <f>CONCATENATE(C153,E153,F153,I153)</f>
        <v/>
      </c>
      <c r="B153" s="7">
        <f>CONCATENATE(C153,E153,I153)</f>
        <v/>
      </c>
      <c r="C153" s="8" t="n">
        <v>900007661</v>
      </c>
      <c r="D153" s="7">
        <f>IFERROR(VLOOKUP(C153,TRAOPE!$G:$H,2,0),"")</f>
        <v/>
      </c>
      <c r="E153" s="8" t="inlineStr">
        <is>
          <t>DW83</t>
        </is>
      </c>
      <c r="F153" s="8" t="inlineStr">
        <is>
          <t>D216</t>
        </is>
      </c>
      <c r="G153" s="8">
        <f>IFERROR(VLOOKUP(A153,Flete!$A:$E,5,0),"")</f>
        <v/>
      </c>
      <c r="H153" s="7">
        <f>IFERROR(VLOOKUP(F153,TRAOPE!$AA:$AB,2,0),"")</f>
        <v/>
      </c>
      <c r="I153" s="7" t="n">
        <v>10000379</v>
      </c>
      <c r="J153" s="7">
        <f>IFERROR(VLOOKUP(I153,Materiales!$A:$H,8,0),"")</f>
        <v/>
      </c>
      <c r="K153" s="9">
        <f>IFERROR(VLOOKUP(I153,Materiales!$A:$G,7,0),"")</f>
        <v/>
      </c>
      <c r="L153" s="8" t="inlineStr">
        <is>
          <t>20230602</t>
        </is>
      </c>
      <c r="M153" s="8" t="inlineStr">
        <is>
          <t>20251031</t>
        </is>
      </c>
      <c r="N153" s="10" t="n">
        <v>265.73</v>
      </c>
      <c r="O153" s="10">
        <f>IFERROR(VLOOKUP(A153,Flete!$A:$J,10,0),"")</f>
        <v/>
      </c>
      <c r="P153" s="8" t="inlineStr">
        <is>
          <t>TN</t>
        </is>
      </c>
      <c r="Q153" s="10">
        <f>IFERROR(IFERROR(VLOOKUP(A153,TRAOPE!$A:$U,21,0),VLOOKUP(B153,TRAOPE!$A:$U,21,0)),"")</f>
        <v/>
      </c>
      <c r="R153" s="8">
        <f>IFERROR(IFERROR(VLOOKUP(A153,TRAOPE!$A:$W,23,0),VLOOKUP(B153,TRAOPE!$A:$W,23,0)),"")</f>
        <v/>
      </c>
      <c r="S153" s="10">
        <f>IF(AND(P153="TN",R153="TN"),N153+N(O153),IF(G153&amp;""="1",N(K153)*N153,(N153+N(O153))*N(K153)))</f>
        <v/>
      </c>
      <c r="T153" s="10">
        <f>IF(Q153="","",Q153-S153)</f>
        <v/>
      </c>
    </row>
    <row r="154">
      <c r="A154" s="7">
        <f>CONCATENATE(C154,E154,F154,I154)</f>
        <v/>
      </c>
      <c r="B154" s="7">
        <f>CONCATENATE(C154,E154,I154)</f>
        <v/>
      </c>
      <c r="C154" s="8" t="n">
        <v>900007661</v>
      </c>
      <c r="D154" s="7">
        <f>IFERROR(VLOOKUP(C154,TRAOPE!$G:$H,2,0),"")</f>
        <v/>
      </c>
      <c r="E154" s="8" t="inlineStr">
        <is>
          <t>DW83</t>
        </is>
      </c>
      <c r="F154" s="8" t="inlineStr">
        <is>
          <t>D216</t>
        </is>
      </c>
      <c r="G154" s="8">
        <f>IFERROR(VLOOKUP(A154,Flete!$A:$E,5,0),"")</f>
        <v/>
      </c>
      <c r="H154" s="7">
        <f>IFERROR(VLOOKUP(F154,TRAOPE!$AA:$AB,2,0),"")</f>
        <v/>
      </c>
      <c r="I154" s="7" t="n">
        <v>10000383</v>
      </c>
      <c r="J154" s="7">
        <f>IFERROR(VLOOKUP(I154,Materiales!$A:$H,8,0),"")</f>
        <v/>
      </c>
      <c r="K154" s="9">
        <f>IFERROR(VLOOKUP(I154,Materiales!$A:$G,7,0),"")</f>
        <v/>
      </c>
      <c r="L154" s="8" t="inlineStr">
        <is>
          <t>20230602</t>
        </is>
      </c>
      <c r="M154" s="8" t="inlineStr">
        <is>
          <t>20251031</t>
        </is>
      </c>
      <c r="N154" s="10" t="n">
        <v>279.62</v>
      </c>
      <c r="O154" s="10">
        <f>IFERROR(VLOOKUP(A154,Flete!$A:$J,10,0),"")</f>
        <v/>
      </c>
      <c r="P154" s="8" t="inlineStr">
        <is>
          <t>TN</t>
        </is>
      </c>
      <c r="Q154" s="10">
        <f>IFERROR(IFERROR(VLOOKUP(A154,TRAOPE!$A:$U,21,0),VLOOKUP(B154,TRAOPE!$A:$U,21,0)),"")</f>
        <v/>
      </c>
      <c r="R154" s="8">
        <f>IFERROR(IFERROR(VLOOKUP(A154,TRAOPE!$A:$W,23,0),VLOOKUP(B154,TRAOPE!$A:$W,23,0)),"")</f>
        <v/>
      </c>
      <c r="S154" s="10">
        <f>IF(AND(P154="TN",R154="TN"),N154+N(O154),IF(G154&amp;""="1",N(K154)*N154,(N154+N(O154))*N(K154)))</f>
        <v/>
      </c>
      <c r="T154" s="10">
        <f>IF(Q154="","",Q154-S154)</f>
        <v/>
      </c>
    </row>
    <row r="155">
      <c r="A155" s="7">
        <f>CONCATENATE(C155,E155,F155,I155)</f>
        <v/>
      </c>
      <c r="B155" s="7">
        <f>CONCATENATE(C155,E155,I155)</f>
        <v/>
      </c>
      <c r="C155" s="8" t="n">
        <v>900007661</v>
      </c>
      <c r="D155" s="7">
        <f>IFERROR(VLOOKUP(C155,TRAOPE!$G:$H,2,0),"")</f>
        <v/>
      </c>
      <c r="E155" s="8" t="inlineStr">
        <is>
          <t>DW83</t>
        </is>
      </c>
      <c r="F155" s="8" t="inlineStr">
        <is>
          <t>D216</t>
        </is>
      </c>
      <c r="G155" s="8">
        <f>IFERROR(VLOOKUP(A155,Flete!$A:$E,5,0),"")</f>
        <v/>
      </c>
      <c r="H155" s="7">
        <f>IFERROR(VLOOKUP(F155,TRAOPE!$AA:$AB,2,0),"")</f>
        <v/>
      </c>
      <c r="I155" s="7" t="n">
        <v>10000726</v>
      </c>
      <c r="J155" s="7">
        <f>IFERROR(VLOOKUP(I155,Materiales!$A:$H,8,0),"")</f>
        <v/>
      </c>
      <c r="K155" s="9">
        <f>IFERROR(VLOOKUP(I155,Materiales!$A:$G,7,0),"")</f>
        <v/>
      </c>
      <c r="L155" s="8" t="inlineStr">
        <is>
          <t>20230602</t>
        </is>
      </c>
      <c r="M155" s="8" t="inlineStr">
        <is>
          <t>20251031</t>
        </is>
      </c>
      <c r="N155" s="10" t="n">
        <v>255.06</v>
      </c>
      <c r="O155" s="10">
        <f>IFERROR(VLOOKUP(A155,Flete!$A:$J,10,0),"")</f>
        <v/>
      </c>
      <c r="P155" s="8" t="inlineStr">
        <is>
          <t>TN</t>
        </is>
      </c>
      <c r="Q155" s="10">
        <f>IFERROR(IFERROR(VLOOKUP(A155,TRAOPE!$A:$U,21,0),VLOOKUP(B155,TRAOPE!$A:$U,21,0)),"")</f>
        <v/>
      </c>
      <c r="R155" s="8">
        <f>IFERROR(IFERROR(VLOOKUP(A155,TRAOPE!$A:$W,23,0),VLOOKUP(B155,TRAOPE!$A:$W,23,0)),"")</f>
        <v/>
      </c>
      <c r="S155" s="10">
        <f>IF(AND(P155="TN",R155="TN"),N155+N(O155),IF(G155&amp;""="1",N(K155)*N155,(N155+N(O155))*N(K155)))</f>
        <v/>
      </c>
      <c r="T155" s="10">
        <f>IF(Q155="","",Q155-S155)</f>
        <v/>
      </c>
    </row>
    <row r="156">
      <c r="A156" s="7">
        <f>CONCATENATE(C156,E156,F156,I156)</f>
        <v/>
      </c>
      <c r="B156" s="7">
        <f>CONCATENATE(C156,E156,I156)</f>
        <v/>
      </c>
      <c r="C156" s="8" t="n">
        <v>900007661</v>
      </c>
      <c r="D156" s="7">
        <f>IFERROR(VLOOKUP(C156,TRAOPE!$G:$H,2,0),"")</f>
        <v/>
      </c>
      <c r="E156" s="8" t="inlineStr">
        <is>
          <t>DW83</t>
        </is>
      </c>
      <c r="F156" s="8" t="inlineStr">
        <is>
          <t>D216</t>
        </is>
      </c>
      <c r="G156" s="8">
        <f>IFERROR(VLOOKUP(A156,Flete!$A:$E,5,0),"")</f>
        <v/>
      </c>
      <c r="H156" s="7">
        <f>IFERROR(VLOOKUP(F156,TRAOPE!$AA:$AB,2,0),"")</f>
        <v/>
      </c>
      <c r="I156" s="7" t="n">
        <v>10000857</v>
      </c>
      <c r="J156" s="7">
        <f>IFERROR(VLOOKUP(I156,Materiales!$A:$H,8,0),"")</f>
        <v/>
      </c>
      <c r="K156" s="9">
        <f>IFERROR(VLOOKUP(I156,Materiales!$A:$G,7,0),"")</f>
        <v/>
      </c>
      <c r="L156" s="8" t="inlineStr">
        <is>
          <t>20230602</t>
        </is>
      </c>
      <c r="M156" s="8" t="inlineStr">
        <is>
          <t>20251031</t>
        </is>
      </c>
      <c r="N156" s="10" t="n">
        <v>258.28</v>
      </c>
      <c r="O156" s="10">
        <f>IFERROR(VLOOKUP(A156,Flete!$A:$J,10,0),"")</f>
        <v/>
      </c>
      <c r="P156" s="8" t="inlineStr">
        <is>
          <t>TN</t>
        </is>
      </c>
      <c r="Q156" s="10">
        <f>IFERROR(IFERROR(VLOOKUP(A156,TRAOPE!$A:$U,21,0),VLOOKUP(B156,TRAOPE!$A:$U,21,0)),"")</f>
        <v/>
      </c>
      <c r="R156" s="8">
        <f>IFERROR(IFERROR(VLOOKUP(A156,TRAOPE!$A:$W,23,0),VLOOKUP(B156,TRAOPE!$A:$W,23,0)),"")</f>
        <v/>
      </c>
      <c r="S156" s="10">
        <f>IF(AND(P156="TN",R156="TN"),N156+N(O156),IF(G156&amp;""="1",N(K156)*N156,(N156+N(O156))*N(K156)))</f>
        <v/>
      </c>
      <c r="T156" s="10">
        <f>IF(Q156="","",Q156-S156)</f>
        <v/>
      </c>
    </row>
    <row r="157">
      <c r="A157" s="7">
        <f>CONCATENATE(C157,E157,F157,I157)</f>
        <v/>
      </c>
      <c r="B157" s="7">
        <f>CONCATENATE(C157,E157,I157)</f>
        <v/>
      </c>
      <c r="C157" s="8" t="n">
        <v>900007661</v>
      </c>
      <c r="D157" s="7">
        <f>IFERROR(VLOOKUP(C157,TRAOPE!$G:$H,2,0),"")</f>
        <v/>
      </c>
      <c r="E157" s="8" t="inlineStr">
        <is>
          <t>DW83</t>
        </is>
      </c>
      <c r="F157" s="8" t="inlineStr">
        <is>
          <t>D216</t>
        </is>
      </c>
      <c r="G157" s="8">
        <f>IFERROR(VLOOKUP(A157,Flete!$A:$E,5,0),"")</f>
        <v/>
      </c>
      <c r="H157" s="7">
        <f>IFERROR(VLOOKUP(F157,TRAOPE!$AA:$AB,2,0),"")</f>
        <v/>
      </c>
      <c r="I157" s="7" t="n">
        <v>10049556</v>
      </c>
      <c r="J157" s="7">
        <f>IFERROR(VLOOKUP(I157,Materiales!$A:$H,8,0),"")</f>
        <v/>
      </c>
      <c r="K157" s="9">
        <f>IFERROR(VLOOKUP(I157,Materiales!$A:$G,7,0),"")</f>
        <v/>
      </c>
      <c r="L157" s="8" t="inlineStr">
        <is>
          <t>20230602</t>
        </is>
      </c>
      <c r="M157" s="8" t="inlineStr">
        <is>
          <t>20251031</t>
        </is>
      </c>
      <c r="N157" s="10" t="n">
        <v>286.14</v>
      </c>
      <c r="O157" s="10">
        <f>IFERROR(VLOOKUP(A157,Flete!$A:$J,10,0),"")</f>
        <v/>
      </c>
      <c r="P157" s="8" t="inlineStr">
        <is>
          <t>TN</t>
        </is>
      </c>
      <c r="Q157" s="10">
        <f>IFERROR(IFERROR(VLOOKUP(A157,TRAOPE!$A:$U,21,0),VLOOKUP(B157,TRAOPE!$A:$U,21,0)),"")</f>
        <v/>
      </c>
      <c r="R157" s="8">
        <f>IFERROR(IFERROR(VLOOKUP(A157,TRAOPE!$A:$W,23,0),VLOOKUP(B157,TRAOPE!$A:$W,23,0)),"")</f>
        <v/>
      </c>
      <c r="S157" s="10">
        <f>IF(AND(P157="TN",R157="TN"),N157+N(O157),IF(G157&amp;""="1",N(K157)*N157,(N157+N(O157))*N(K157)))</f>
        <v/>
      </c>
      <c r="T157" s="10">
        <f>IF(Q157="","",Q157-S157)</f>
        <v/>
      </c>
    </row>
    <row r="158">
      <c r="A158" s="7">
        <f>CONCATENATE(C158,E158,F158,I158)</f>
        <v/>
      </c>
      <c r="B158" s="7">
        <f>CONCATENATE(C158,E158,I158)</f>
        <v/>
      </c>
      <c r="C158" s="8" t="n">
        <v>900007706</v>
      </c>
      <c r="D158" s="7">
        <f>IFERROR(VLOOKUP(C158,TRAOPE!$G:$H,2,0),"")</f>
        <v/>
      </c>
      <c r="E158" s="8" t="inlineStr">
        <is>
          <t>DW83</t>
        </is>
      </c>
      <c r="F158" s="8" t="inlineStr">
        <is>
          <t>D216</t>
        </is>
      </c>
      <c r="G158" s="8">
        <f>IFERROR(VLOOKUP(A158,Flete!$A:$E,5,0),"")</f>
        <v/>
      </c>
      <c r="H158" s="7">
        <f>IFERROR(VLOOKUP(F158,TRAOPE!$AA:$AB,2,0),"")</f>
        <v/>
      </c>
      <c r="I158" s="7" t="n">
        <v>10000237</v>
      </c>
      <c r="J158" s="7">
        <f>IFERROR(VLOOKUP(I158,Materiales!$A:$H,8,0),"")</f>
        <v/>
      </c>
      <c r="K158" s="9">
        <f>IFERROR(VLOOKUP(I158,Materiales!$A:$G,7,0),"")</f>
        <v/>
      </c>
      <c r="L158" s="8" t="inlineStr">
        <is>
          <t>20220701</t>
        </is>
      </c>
      <c r="M158" s="8" t="inlineStr">
        <is>
          <t>20251031</t>
        </is>
      </c>
      <c r="N158" s="10" t="n">
        <v>269.49</v>
      </c>
      <c r="O158" s="10">
        <f>IFERROR(VLOOKUP(A158,Flete!$A:$J,10,0),"")</f>
        <v/>
      </c>
      <c r="P158" s="8" t="inlineStr">
        <is>
          <t>TN</t>
        </is>
      </c>
      <c r="Q158" s="10">
        <f>IFERROR(IFERROR(VLOOKUP(A158,TRAOPE!$A:$U,21,0),VLOOKUP(B158,TRAOPE!$A:$U,21,0)),"")</f>
        <v/>
      </c>
      <c r="R158" s="8">
        <f>IFERROR(IFERROR(VLOOKUP(A158,TRAOPE!$A:$W,23,0),VLOOKUP(B158,TRAOPE!$A:$W,23,0)),"")</f>
        <v/>
      </c>
      <c r="S158" s="10">
        <f>IF(AND(P158="TN",R158="TN"),N158+N(O158),IF(G158&amp;""="1",N(K158)*N158,(N158+N(O158))*N(K158)))</f>
        <v/>
      </c>
      <c r="T158" s="10">
        <f>IF(Q158="","",Q158-S158)</f>
        <v/>
      </c>
    </row>
    <row r="159">
      <c r="A159" s="7">
        <f>CONCATENATE(C159,E159,F159,I159)</f>
        <v/>
      </c>
      <c r="B159" s="7">
        <f>CONCATENATE(C159,E159,I159)</f>
        <v/>
      </c>
      <c r="C159" s="8" t="n">
        <v>900007706</v>
      </c>
      <c r="D159" s="7">
        <f>IFERROR(VLOOKUP(C159,TRAOPE!$G:$H,2,0),"")</f>
        <v/>
      </c>
      <c r="E159" s="8" t="inlineStr">
        <is>
          <t>DW83</t>
        </is>
      </c>
      <c r="F159" s="8" t="inlineStr">
        <is>
          <t>D216</t>
        </is>
      </c>
      <c r="G159" s="8">
        <f>IFERROR(VLOOKUP(A159,Flete!$A:$E,5,0),"")</f>
        <v/>
      </c>
      <c r="H159" s="7">
        <f>IFERROR(VLOOKUP(F159,TRAOPE!$AA:$AB,2,0),"")</f>
        <v/>
      </c>
      <c r="I159" s="7" t="n">
        <v>10000318</v>
      </c>
      <c r="J159" s="7">
        <f>IFERROR(VLOOKUP(I159,Materiales!$A:$H,8,0),"")</f>
        <v/>
      </c>
      <c r="K159" s="9">
        <f>IFERROR(VLOOKUP(I159,Materiales!$A:$G,7,0),"")</f>
        <v/>
      </c>
      <c r="L159" s="8" t="inlineStr">
        <is>
          <t>20220701</t>
        </is>
      </c>
      <c r="M159" s="8" t="inlineStr">
        <is>
          <t>20251031</t>
        </is>
      </c>
      <c r="N159" s="10" t="n">
        <v>209.3</v>
      </c>
      <c r="O159" s="10">
        <f>IFERROR(VLOOKUP(A159,Flete!$A:$J,10,0),"")</f>
        <v/>
      </c>
      <c r="P159" s="8" t="inlineStr">
        <is>
          <t>TN</t>
        </is>
      </c>
      <c r="Q159" s="10">
        <f>IFERROR(IFERROR(VLOOKUP(A159,TRAOPE!$A:$U,21,0),VLOOKUP(B159,TRAOPE!$A:$U,21,0)),"")</f>
        <v/>
      </c>
      <c r="R159" s="8">
        <f>IFERROR(IFERROR(VLOOKUP(A159,TRAOPE!$A:$W,23,0),VLOOKUP(B159,TRAOPE!$A:$W,23,0)),"")</f>
        <v/>
      </c>
      <c r="S159" s="10">
        <f>IF(AND(P159="TN",R159="TN"),N159+N(O159),IF(G159&amp;""="1",N(K159)*N159,(N159+N(O159))*N(K159)))</f>
        <v/>
      </c>
      <c r="T159" s="10">
        <f>IF(Q159="","",Q159-S159)</f>
        <v/>
      </c>
    </row>
    <row r="160">
      <c r="A160" s="7">
        <f>CONCATENATE(C160,E160,F160,I160)</f>
        <v/>
      </c>
      <c r="B160" s="7">
        <f>CONCATENATE(C160,E160,I160)</f>
        <v/>
      </c>
      <c r="C160" s="8" t="n">
        <v>900007706</v>
      </c>
      <c r="D160" s="7">
        <f>IFERROR(VLOOKUP(C160,TRAOPE!$G:$H,2,0),"")</f>
        <v/>
      </c>
      <c r="E160" s="8" t="inlineStr">
        <is>
          <t>DW83</t>
        </is>
      </c>
      <c r="F160" s="8" t="inlineStr">
        <is>
          <t>D216</t>
        </is>
      </c>
      <c r="G160" s="8">
        <f>IFERROR(VLOOKUP(A160,Flete!$A:$E,5,0),"")</f>
        <v/>
      </c>
      <c r="H160" s="7">
        <f>IFERROR(VLOOKUP(F160,TRAOPE!$AA:$AB,2,0),"")</f>
        <v/>
      </c>
      <c r="I160" s="7" t="n">
        <v>10000320</v>
      </c>
      <c r="J160" s="7">
        <f>IFERROR(VLOOKUP(I160,Materiales!$A:$H,8,0),"")</f>
        <v/>
      </c>
      <c r="K160" s="9">
        <f>IFERROR(VLOOKUP(I160,Materiales!$A:$G,7,0),"")</f>
        <v/>
      </c>
      <c r="L160" s="8" t="inlineStr">
        <is>
          <t>20220701</t>
        </is>
      </c>
      <c r="M160" s="8" t="inlineStr">
        <is>
          <t>20251031</t>
        </is>
      </c>
      <c r="N160" s="10" t="n">
        <v>199.33</v>
      </c>
      <c r="O160" s="10">
        <f>IFERROR(VLOOKUP(A160,Flete!$A:$J,10,0),"")</f>
        <v/>
      </c>
      <c r="P160" s="8" t="inlineStr">
        <is>
          <t>TN</t>
        </is>
      </c>
      <c r="Q160" s="10">
        <f>IFERROR(IFERROR(VLOOKUP(A160,TRAOPE!$A:$U,21,0),VLOOKUP(B160,TRAOPE!$A:$U,21,0)),"")</f>
        <v/>
      </c>
      <c r="R160" s="8">
        <f>IFERROR(IFERROR(VLOOKUP(A160,TRAOPE!$A:$W,23,0),VLOOKUP(B160,TRAOPE!$A:$W,23,0)),"")</f>
        <v/>
      </c>
      <c r="S160" s="10">
        <f>IF(AND(P160="TN",R160="TN"),N160+N(O160),IF(G160&amp;""="1",N(K160)*N160,(N160+N(O160))*N(K160)))</f>
        <v/>
      </c>
      <c r="T160" s="10">
        <f>IF(Q160="","",Q160-S160)</f>
        <v/>
      </c>
    </row>
    <row r="161">
      <c r="A161" s="7">
        <f>CONCATENATE(C161,E161,F161,I161)</f>
        <v/>
      </c>
      <c r="B161" s="7">
        <f>CONCATENATE(C161,E161,I161)</f>
        <v/>
      </c>
      <c r="C161" s="8" t="n">
        <v>900007706</v>
      </c>
      <c r="D161" s="7">
        <f>IFERROR(VLOOKUP(C161,TRAOPE!$G:$H,2,0),"")</f>
        <v/>
      </c>
      <c r="E161" s="8" t="inlineStr">
        <is>
          <t>DW83</t>
        </is>
      </c>
      <c r="F161" s="8" t="inlineStr">
        <is>
          <t>D216</t>
        </is>
      </c>
      <c r="G161" s="8">
        <f>IFERROR(VLOOKUP(A161,Flete!$A:$E,5,0),"")</f>
        <v/>
      </c>
      <c r="H161" s="7">
        <f>IFERROR(VLOOKUP(F161,TRAOPE!$AA:$AB,2,0),"")</f>
        <v/>
      </c>
      <c r="I161" s="7" t="n">
        <v>10000332</v>
      </c>
      <c r="J161" s="7">
        <f>IFERROR(VLOOKUP(I161,Materiales!$A:$H,8,0),"")</f>
        <v/>
      </c>
      <c r="K161" s="9">
        <f>IFERROR(VLOOKUP(I161,Materiales!$A:$G,7,0),"")</f>
        <v/>
      </c>
      <c r="L161" s="8" t="inlineStr">
        <is>
          <t>20220701</t>
        </is>
      </c>
      <c r="M161" s="8" t="inlineStr">
        <is>
          <t>20251031</t>
        </is>
      </c>
      <c r="N161" s="10" t="n">
        <v>136.16</v>
      </c>
      <c r="O161" s="10">
        <f>IFERROR(VLOOKUP(A161,Flete!$A:$J,10,0),"")</f>
        <v/>
      </c>
      <c r="P161" s="8" t="inlineStr">
        <is>
          <t>TN</t>
        </is>
      </c>
      <c r="Q161" s="10">
        <f>IFERROR(IFERROR(VLOOKUP(A161,TRAOPE!$A:$U,21,0),VLOOKUP(B161,TRAOPE!$A:$U,21,0)),"")</f>
        <v/>
      </c>
      <c r="R161" s="8">
        <f>IFERROR(IFERROR(VLOOKUP(A161,TRAOPE!$A:$W,23,0),VLOOKUP(B161,TRAOPE!$A:$W,23,0)),"")</f>
        <v/>
      </c>
      <c r="S161" s="10">
        <f>IF(AND(P161="TN",R161="TN"),N161+N(O161),IF(G161&amp;""="1",N(K161)*N161,(N161+N(O161))*N(K161)))</f>
        <v/>
      </c>
      <c r="T161" s="10">
        <f>IF(Q161="","",Q161-S161)</f>
        <v/>
      </c>
    </row>
    <row r="162">
      <c r="A162" s="7">
        <f>CONCATENATE(C162,E162,F162,I162)</f>
        <v/>
      </c>
      <c r="B162" s="7">
        <f>CONCATENATE(C162,E162,I162)</f>
        <v/>
      </c>
      <c r="C162" s="8" t="n">
        <v>900007706</v>
      </c>
      <c r="D162" s="7">
        <f>IFERROR(VLOOKUP(C162,TRAOPE!$G:$H,2,0),"")</f>
        <v/>
      </c>
      <c r="E162" s="8" t="inlineStr">
        <is>
          <t>DW83</t>
        </is>
      </c>
      <c r="F162" s="8" t="inlineStr">
        <is>
          <t>D216</t>
        </is>
      </c>
      <c r="G162" s="8">
        <f>IFERROR(VLOOKUP(A162,Flete!$A:$E,5,0),"")</f>
        <v/>
      </c>
      <c r="H162" s="7">
        <f>IFERROR(VLOOKUP(F162,TRAOPE!$AA:$AB,2,0),"")</f>
        <v/>
      </c>
      <c r="I162" s="7" t="n">
        <v>10000554</v>
      </c>
      <c r="J162" s="7">
        <f>IFERROR(VLOOKUP(I162,Materiales!$A:$H,8,0),"")</f>
        <v/>
      </c>
      <c r="K162" s="9">
        <f>IFERROR(VLOOKUP(I162,Materiales!$A:$G,7,0),"")</f>
        <v/>
      </c>
      <c r="L162" s="8" t="inlineStr">
        <is>
          <t>20220701</t>
        </is>
      </c>
      <c r="M162" s="8" t="inlineStr">
        <is>
          <t>20251031</t>
        </is>
      </c>
      <c r="N162" s="10" t="n">
        <v>206.24</v>
      </c>
      <c r="O162" s="10">
        <f>IFERROR(VLOOKUP(A162,Flete!$A:$J,10,0),"")</f>
        <v/>
      </c>
      <c r="P162" s="8" t="inlineStr">
        <is>
          <t>TN</t>
        </is>
      </c>
      <c r="Q162" s="10">
        <f>IFERROR(IFERROR(VLOOKUP(A162,TRAOPE!$A:$U,21,0),VLOOKUP(B162,TRAOPE!$A:$U,21,0)),"")</f>
        <v/>
      </c>
      <c r="R162" s="8">
        <f>IFERROR(IFERROR(VLOOKUP(A162,TRAOPE!$A:$W,23,0),VLOOKUP(B162,TRAOPE!$A:$W,23,0)),"")</f>
        <v/>
      </c>
      <c r="S162" s="10">
        <f>IF(AND(P162="TN",R162="TN"),N162+N(O162),IF(G162&amp;""="1",N(K162)*N162,(N162+N(O162))*N(K162)))</f>
        <v/>
      </c>
      <c r="T162" s="10">
        <f>IF(Q162="","",Q162-S162)</f>
        <v/>
      </c>
    </row>
    <row r="163">
      <c r="A163" s="7">
        <f>CONCATENATE(C163,E163,F163,I163)</f>
        <v/>
      </c>
      <c r="B163" s="7">
        <f>CONCATENATE(C163,E163,I163)</f>
        <v/>
      </c>
      <c r="C163" s="8" t="n">
        <v>900007706</v>
      </c>
      <c r="D163" s="7">
        <f>IFERROR(VLOOKUP(C163,TRAOPE!$G:$H,2,0),"")</f>
        <v/>
      </c>
      <c r="E163" s="8" t="inlineStr">
        <is>
          <t>DW83</t>
        </is>
      </c>
      <c r="F163" s="8" t="inlineStr">
        <is>
          <t>D216</t>
        </is>
      </c>
      <c r="G163" s="8">
        <f>IFERROR(VLOOKUP(A163,Flete!$A:$E,5,0),"")</f>
        <v/>
      </c>
      <c r="H163" s="7">
        <f>IFERROR(VLOOKUP(F163,TRAOPE!$AA:$AB,2,0),"")</f>
        <v/>
      </c>
      <c r="I163" s="7" t="n">
        <v>10045015</v>
      </c>
      <c r="J163" s="7">
        <f>IFERROR(VLOOKUP(I163,Materiales!$A:$H,8,0),"")</f>
        <v/>
      </c>
      <c r="K163" s="9">
        <f>IFERROR(VLOOKUP(I163,Materiales!$A:$G,7,0),"")</f>
        <v/>
      </c>
      <c r="L163" s="8" t="inlineStr">
        <is>
          <t>20220701</t>
        </is>
      </c>
      <c r="M163" s="8" t="inlineStr">
        <is>
          <t>20251031</t>
        </is>
      </c>
      <c r="N163" s="10" t="n">
        <v>294.37</v>
      </c>
      <c r="O163" s="10">
        <f>IFERROR(VLOOKUP(A163,Flete!$A:$J,10,0),"")</f>
        <v/>
      </c>
      <c r="P163" s="8" t="inlineStr">
        <is>
          <t>TN</t>
        </is>
      </c>
      <c r="Q163" s="10">
        <f>IFERROR(IFERROR(VLOOKUP(A163,TRAOPE!$A:$U,21,0),VLOOKUP(B163,TRAOPE!$A:$U,21,0)),"")</f>
        <v/>
      </c>
      <c r="R163" s="8">
        <f>IFERROR(IFERROR(VLOOKUP(A163,TRAOPE!$A:$W,23,0),VLOOKUP(B163,TRAOPE!$A:$W,23,0)),"")</f>
        <v/>
      </c>
      <c r="S163" s="10">
        <f>IF(AND(P163="TN",R163="TN"),N163+N(O163),IF(G163&amp;""="1",N(K163)*N163,(N163+N(O163))*N(K163)))</f>
        <v/>
      </c>
      <c r="T163" s="10">
        <f>IF(Q163="","",Q163-S163)</f>
        <v/>
      </c>
    </row>
    <row r="164">
      <c r="A164" s="7">
        <f>CONCATENATE(C164,E164,F164,I164)</f>
        <v/>
      </c>
      <c r="B164" s="7">
        <f>CONCATENATE(C164,E164,I164)</f>
        <v/>
      </c>
      <c r="C164" s="8" t="n">
        <v>900007706</v>
      </c>
      <c r="D164" s="7">
        <f>IFERROR(VLOOKUP(C164,TRAOPE!$G:$H,2,0),"")</f>
        <v/>
      </c>
      <c r="E164" s="8" t="inlineStr">
        <is>
          <t>DW83</t>
        </is>
      </c>
      <c r="F164" s="8" t="inlineStr">
        <is>
          <t>D243</t>
        </is>
      </c>
      <c r="G164" s="8">
        <f>IFERROR(VLOOKUP(A164,Flete!$A:$E,5,0),"")</f>
        <v/>
      </c>
      <c r="H164" s="7">
        <f>IFERROR(VLOOKUP(F164,TRAOPE!$AA:$AB,2,0),"")</f>
        <v/>
      </c>
      <c r="I164" s="7" t="n">
        <v>10000237</v>
      </c>
      <c r="J164" s="7">
        <f>IFERROR(VLOOKUP(I164,Materiales!$A:$H,8,0),"")</f>
        <v/>
      </c>
      <c r="K164" s="9">
        <f>IFERROR(VLOOKUP(I164,Materiales!$A:$G,7,0),"")</f>
        <v/>
      </c>
      <c r="L164" s="8" t="inlineStr">
        <is>
          <t>20230301</t>
        </is>
      </c>
      <c r="M164" s="8" t="inlineStr">
        <is>
          <t>20250129</t>
        </is>
      </c>
      <c r="N164" s="10" t="n">
        <v>269.49</v>
      </c>
      <c r="O164" s="10">
        <f>IFERROR(VLOOKUP(A164,Flete!$A:$J,10,0),"")</f>
        <v/>
      </c>
      <c r="P164" s="8" t="inlineStr">
        <is>
          <t>TN</t>
        </is>
      </c>
      <c r="Q164" s="10">
        <f>IFERROR(IFERROR(VLOOKUP(A164,TRAOPE!$A:$U,21,0),VLOOKUP(B164,TRAOPE!$A:$U,21,0)),"")</f>
        <v/>
      </c>
      <c r="R164" s="8">
        <f>IFERROR(IFERROR(VLOOKUP(A164,TRAOPE!$A:$W,23,0),VLOOKUP(B164,TRAOPE!$A:$W,23,0)),"")</f>
        <v/>
      </c>
      <c r="S164" s="10">
        <f>IF(AND(P164="TN",R164="TN"),N164+N(O164),IF(G164&amp;""="1",N(K164)*N164,(N164+N(O164))*N(K164)))</f>
        <v/>
      </c>
      <c r="T164" s="10">
        <f>IF(Q164="","",Q164-S164)</f>
        <v/>
      </c>
    </row>
    <row r="165">
      <c r="A165" s="7">
        <f>CONCATENATE(C165,E165,F165,I165)</f>
        <v/>
      </c>
      <c r="B165" s="7">
        <f>CONCATENATE(C165,E165,I165)</f>
        <v/>
      </c>
      <c r="C165" s="8" t="n">
        <v>900007706</v>
      </c>
      <c r="D165" s="7">
        <f>IFERROR(VLOOKUP(C165,TRAOPE!$G:$H,2,0),"")</f>
        <v/>
      </c>
      <c r="E165" s="8" t="inlineStr">
        <is>
          <t>DW83</t>
        </is>
      </c>
      <c r="F165" s="8" t="inlineStr">
        <is>
          <t>D243</t>
        </is>
      </c>
      <c r="G165" s="8">
        <f>IFERROR(VLOOKUP(A165,Flete!$A:$E,5,0),"")</f>
        <v/>
      </c>
      <c r="H165" s="7">
        <f>IFERROR(VLOOKUP(F165,TRAOPE!$AA:$AB,2,0),"")</f>
        <v/>
      </c>
      <c r="I165" s="7" t="n">
        <v>10000318</v>
      </c>
      <c r="J165" s="7">
        <f>IFERROR(VLOOKUP(I165,Materiales!$A:$H,8,0),"")</f>
        <v/>
      </c>
      <c r="K165" s="9">
        <f>IFERROR(VLOOKUP(I165,Materiales!$A:$G,7,0),"")</f>
        <v/>
      </c>
      <c r="L165" s="8" t="inlineStr">
        <is>
          <t>20230301</t>
        </is>
      </c>
      <c r="M165" s="8" t="inlineStr">
        <is>
          <t>20250129</t>
        </is>
      </c>
      <c r="N165" s="10" t="n">
        <v>209.3</v>
      </c>
      <c r="O165" s="10">
        <f>IFERROR(VLOOKUP(A165,Flete!$A:$J,10,0),"")</f>
        <v/>
      </c>
      <c r="P165" s="8" t="inlineStr">
        <is>
          <t>TN</t>
        </is>
      </c>
      <c r="Q165" s="10">
        <f>IFERROR(IFERROR(VLOOKUP(A165,TRAOPE!$A:$U,21,0),VLOOKUP(B165,TRAOPE!$A:$U,21,0)),"")</f>
        <v/>
      </c>
      <c r="R165" s="8">
        <f>IFERROR(IFERROR(VLOOKUP(A165,TRAOPE!$A:$W,23,0),VLOOKUP(B165,TRAOPE!$A:$W,23,0)),"")</f>
        <v/>
      </c>
      <c r="S165" s="10">
        <f>IF(AND(P165="TN",R165="TN"),N165+N(O165),IF(G165&amp;""="1",N(K165)*N165,(N165+N(O165))*N(K165)))</f>
        <v/>
      </c>
      <c r="T165" s="10">
        <f>IF(Q165="","",Q165-S165)</f>
        <v/>
      </c>
    </row>
    <row r="166">
      <c r="A166" s="7">
        <f>CONCATENATE(C166,E166,F166,I166)</f>
        <v/>
      </c>
      <c r="B166" s="7">
        <f>CONCATENATE(C166,E166,I166)</f>
        <v/>
      </c>
      <c r="C166" s="8" t="n">
        <v>900007706</v>
      </c>
      <c r="D166" s="7">
        <f>IFERROR(VLOOKUP(C166,TRAOPE!$G:$H,2,0),"")</f>
        <v/>
      </c>
      <c r="E166" s="8" t="inlineStr">
        <is>
          <t>DW83</t>
        </is>
      </c>
      <c r="F166" s="8" t="inlineStr">
        <is>
          <t>D243</t>
        </is>
      </c>
      <c r="G166" s="8">
        <f>IFERROR(VLOOKUP(A166,Flete!$A:$E,5,0),"")</f>
        <v/>
      </c>
      <c r="H166" s="7">
        <f>IFERROR(VLOOKUP(F166,TRAOPE!$AA:$AB,2,0),"")</f>
        <v/>
      </c>
      <c r="I166" s="7" t="n">
        <v>10000320</v>
      </c>
      <c r="J166" s="7">
        <f>IFERROR(VLOOKUP(I166,Materiales!$A:$H,8,0),"")</f>
        <v/>
      </c>
      <c r="K166" s="9">
        <f>IFERROR(VLOOKUP(I166,Materiales!$A:$G,7,0),"")</f>
        <v/>
      </c>
      <c r="L166" s="8" t="inlineStr">
        <is>
          <t>20230301</t>
        </is>
      </c>
      <c r="M166" s="8" t="inlineStr">
        <is>
          <t>20250129</t>
        </is>
      </c>
      <c r="N166" s="10" t="n">
        <v>199.33</v>
      </c>
      <c r="O166" s="10">
        <f>IFERROR(VLOOKUP(A166,Flete!$A:$J,10,0),"")</f>
        <v/>
      </c>
      <c r="P166" s="8" t="inlineStr">
        <is>
          <t>TN</t>
        </is>
      </c>
      <c r="Q166" s="10">
        <f>IFERROR(IFERROR(VLOOKUP(A166,TRAOPE!$A:$U,21,0),VLOOKUP(B166,TRAOPE!$A:$U,21,0)),"")</f>
        <v/>
      </c>
      <c r="R166" s="8">
        <f>IFERROR(IFERROR(VLOOKUP(A166,TRAOPE!$A:$W,23,0),VLOOKUP(B166,TRAOPE!$A:$W,23,0)),"")</f>
        <v/>
      </c>
      <c r="S166" s="10">
        <f>IF(AND(P166="TN",R166="TN"),N166+N(O166),IF(G166&amp;""="1",N(K166)*N166,(N166+N(O166))*N(K166)))</f>
        <v/>
      </c>
      <c r="T166" s="10">
        <f>IF(Q166="","",Q166-S166)</f>
        <v/>
      </c>
    </row>
    <row r="167">
      <c r="A167" s="7">
        <f>CONCATENATE(C167,E167,F167,I167)</f>
        <v/>
      </c>
      <c r="B167" s="7">
        <f>CONCATENATE(C167,E167,I167)</f>
        <v/>
      </c>
      <c r="C167" s="8" t="n">
        <v>900007706</v>
      </c>
      <c r="D167" s="7">
        <f>IFERROR(VLOOKUP(C167,TRAOPE!$G:$H,2,0),"")</f>
        <v/>
      </c>
      <c r="E167" s="8" t="inlineStr">
        <is>
          <t>DW83</t>
        </is>
      </c>
      <c r="F167" s="8" t="inlineStr">
        <is>
          <t>D243</t>
        </is>
      </c>
      <c r="G167" s="8">
        <f>IFERROR(VLOOKUP(A167,Flete!$A:$E,5,0),"")</f>
        <v/>
      </c>
      <c r="H167" s="7">
        <f>IFERROR(VLOOKUP(F167,TRAOPE!$AA:$AB,2,0),"")</f>
        <v/>
      </c>
      <c r="I167" s="7" t="n">
        <v>10000332</v>
      </c>
      <c r="J167" s="7">
        <f>IFERROR(VLOOKUP(I167,Materiales!$A:$H,8,0),"")</f>
        <v/>
      </c>
      <c r="K167" s="9">
        <f>IFERROR(VLOOKUP(I167,Materiales!$A:$G,7,0),"")</f>
        <v/>
      </c>
      <c r="L167" s="8" t="inlineStr">
        <is>
          <t>20230301</t>
        </is>
      </c>
      <c r="M167" s="8" t="inlineStr">
        <is>
          <t>20250129</t>
        </is>
      </c>
      <c r="N167" s="10" t="n">
        <v>136.16</v>
      </c>
      <c r="O167" s="10">
        <f>IFERROR(VLOOKUP(A167,Flete!$A:$J,10,0),"")</f>
        <v/>
      </c>
      <c r="P167" s="8" t="inlineStr">
        <is>
          <t>TN</t>
        </is>
      </c>
      <c r="Q167" s="10">
        <f>IFERROR(IFERROR(VLOOKUP(A167,TRAOPE!$A:$U,21,0),VLOOKUP(B167,TRAOPE!$A:$U,21,0)),"")</f>
        <v/>
      </c>
      <c r="R167" s="8">
        <f>IFERROR(IFERROR(VLOOKUP(A167,TRAOPE!$A:$W,23,0),VLOOKUP(B167,TRAOPE!$A:$W,23,0)),"")</f>
        <v/>
      </c>
      <c r="S167" s="10">
        <f>IF(AND(P167="TN",R167="TN"),N167+N(O167),IF(G167&amp;""="1",N(K167)*N167,(N167+N(O167))*N(K167)))</f>
        <v/>
      </c>
      <c r="T167" s="10">
        <f>IF(Q167="","",Q167-S167)</f>
        <v/>
      </c>
    </row>
    <row r="168">
      <c r="A168" s="7">
        <f>CONCATENATE(C168,E168,F168,I168)</f>
        <v/>
      </c>
      <c r="B168" s="7">
        <f>CONCATENATE(C168,E168,I168)</f>
        <v/>
      </c>
      <c r="C168" s="8" t="n">
        <v>900007706</v>
      </c>
      <c r="D168" s="7">
        <f>IFERROR(VLOOKUP(C168,TRAOPE!$G:$H,2,0),"")</f>
        <v/>
      </c>
      <c r="E168" s="8" t="inlineStr">
        <is>
          <t>DW83</t>
        </is>
      </c>
      <c r="F168" s="8" t="inlineStr">
        <is>
          <t>D243</t>
        </is>
      </c>
      <c r="G168" s="8">
        <f>IFERROR(VLOOKUP(A168,Flete!$A:$E,5,0),"")</f>
        <v/>
      </c>
      <c r="H168" s="7">
        <f>IFERROR(VLOOKUP(F168,TRAOPE!$AA:$AB,2,0),"")</f>
        <v/>
      </c>
      <c r="I168" s="7" t="n">
        <v>10000554</v>
      </c>
      <c r="J168" s="7">
        <f>IFERROR(VLOOKUP(I168,Materiales!$A:$H,8,0),"")</f>
        <v/>
      </c>
      <c r="K168" s="9">
        <f>IFERROR(VLOOKUP(I168,Materiales!$A:$G,7,0),"")</f>
        <v/>
      </c>
      <c r="L168" s="8" t="inlineStr">
        <is>
          <t>20230301</t>
        </is>
      </c>
      <c r="M168" s="8" t="inlineStr">
        <is>
          <t>20250129</t>
        </is>
      </c>
      <c r="N168" s="10" t="n">
        <v>206.24</v>
      </c>
      <c r="O168" s="10">
        <f>IFERROR(VLOOKUP(A168,Flete!$A:$J,10,0),"")</f>
        <v/>
      </c>
      <c r="P168" s="8" t="inlineStr">
        <is>
          <t>TN</t>
        </is>
      </c>
      <c r="Q168" s="10">
        <f>IFERROR(IFERROR(VLOOKUP(A168,TRAOPE!$A:$U,21,0),VLOOKUP(B168,TRAOPE!$A:$U,21,0)),"")</f>
        <v/>
      </c>
      <c r="R168" s="8">
        <f>IFERROR(IFERROR(VLOOKUP(A168,TRAOPE!$A:$W,23,0),VLOOKUP(B168,TRAOPE!$A:$W,23,0)),"")</f>
        <v/>
      </c>
      <c r="S168" s="10">
        <f>IF(AND(P168="TN",R168="TN"),N168+N(O168),IF(G168&amp;""="1",N(K168)*N168,(N168+N(O168))*N(K168)))</f>
        <v/>
      </c>
      <c r="T168" s="10">
        <f>IF(Q168="","",Q168-S168)</f>
        <v/>
      </c>
    </row>
    <row r="169">
      <c r="A169" s="7">
        <f>CONCATENATE(C169,E169,F169,I169)</f>
        <v/>
      </c>
      <c r="B169" s="7">
        <f>CONCATENATE(C169,E169,I169)</f>
        <v/>
      </c>
      <c r="C169" s="8" t="n">
        <v>900007706</v>
      </c>
      <c r="D169" s="7">
        <f>IFERROR(VLOOKUP(C169,TRAOPE!$G:$H,2,0),"")</f>
        <v/>
      </c>
      <c r="E169" s="8" t="inlineStr">
        <is>
          <t>DW83</t>
        </is>
      </c>
      <c r="F169" s="8" t="inlineStr">
        <is>
          <t>D243</t>
        </is>
      </c>
      <c r="G169" s="8">
        <f>IFERROR(VLOOKUP(A169,Flete!$A:$E,5,0),"")</f>
        <v/>
      </c>
      <c r="H169" s="7">
        <f>IFERROR(VLOOKUP(F169,TRAOPE!$AA:$AB,2,0),"")</f>
        <v/>
      </c>
      <c r="I169" s="7" t="n">
        <v>10045015</v>
      </c>
      <c r="J169" s="7">
        <f>IFERROR(VLOOKUP(I169,Materiales!$A:$H,8,0),"")</f>
        <v/>
      </c>
      <c r="K169" s="9">
        <f>IFERROR(VLOOKUP(I169,Materiales!$A:$G,7,0),"")</f>
        <v/>
      </c>
      <c r="L169" s="8" t="inlineStr">
        <is>
          <t>20230301</t>
        </is>
      </c>
      <c r="M169" s="8" t="inlineStr">
        <is>
          <t>20250129</t>
        </is>
      </c>
      <c r="N169" s="10" t="n">
        <v>294.37</v>
      </c>
      <c r="O169" s="10">
        <f>IFERROR(VLOOKUP(A169,Flete!$A:$J,10,0),"")</f>
        <v/>
      </c>
      <c r="P169" s="8" t="inlineStr">
        <is>
          <t>TN</t>
        </is>
      </c>
      <c r="Q169" s="10">
        <f>IFERROR(IFERROR(VLOOKUP(A169,TRAOPE!$A:$U,21,0),VLOOKUP(B169,TRAOPE!$A:$U,21,0)),"")</f>
        <v/>
      </c>
      <c r="R169" s="8">
        <f>IFERROR(IFERROR(VLOOKUP(A169,TRAOPE!$A:$W,23,0),VLOOKUP(B169,TRAOPE!$A:$W,23,0)),"")</f>
        <v/>
      </c>
      <c r="S169" s="10">
        <f>IF(AND(P169="TN",R169="TN"),N169+N(O169),IF(G169&amp;""="1",N(K169)*N169,(N169+N(O169))*N(K169)))</f>
        <v/>
      </c>
      <c r="T169" s="10">
        <f>IF(Q169="","",Q169-S169)</f>
        <v/>
      </c>
    </row>
    <row r="170">
      <c r="A170" s="7">
        <f>CONCATENATE(C170,E170,F170,I170)</f>
        <v/>
      </c>
      <c r="B170" s="7">
        <f>CONCATENATE(C170,E170,I170)</f>
        <v/>
      </c>
      <c r="C170" s="8" t="n">
        <v>900007868</v>
      </c>
      <c r="D170" s="7">
        <f>IFERROR(VLOOKUP(C170,TRAOPE!$G:$H,2,0),"")</f>
        <v/>
      </c>
      <c r="E170" s="8" t="inlineStr">
        <is>
          <t>DW83</t>
        </is>
      </c>
      <c r="F170" s="8" t="inlineStr">
        <is>
          <t>D216</t>
        </is>
      </c>
      <c r="G170" s="8">
        <f>IFERROR(VLOOKUP(A170,Flete!$A:$E,5,0),"")</f>
        <v/>
      </c>
      <c r="H170" s="7">
        <f>IFERROR(VLOOKUP(F170,TRAOPE!$AA:$AB,2,0),"")</f>
        <v/>
      </c>
      <c r="I170" s="7" t="n">
        <v>10000191</v>
      </c>
      <c r="J170" s="7">
        <f>IFERROR(VLOOKUP(I170,Materiales!$A:$H,8,0),"")</f>
        <v/>
      </c>
      <c r="K170" s="9">
        <f>IFERROR(VLOOKUP(I170,Materiales!$A:$G,7,0),"")</f>
        <v/>
      </c>
      <c r="L170" s="8" t="inlineStr">
        <is>
          <t>20250224</t>
        </is>
      </c>
      <c r="M170" s="8" t="inlineStr">
        <is>
          <t>99991231</t>
        </is>
      </c>
      <c r="N170" s="10" t="n">
        <v>178.65</v>
      </c>
      <c r="O170" s="10">
        <f>IFERROR(VLOOKUP(A170,Flete!$A:$J,10,0),"")</f>
        <v/>
      </c>
      <c r="P170" s="8" t="inlineStr">
        <is>
          <t>TN</t>
        </is>
      </c>
      <c r="Q170" s="10">
        <f>IFERROR(IFERROR(VLOOKUP(A170,TRAOPE!$A:$U,21,0),VLOOKUP(B170,TRAOPE!$A:$U,21,0)),"")</f>
        <v/>
      </c>
      <c r="R170" s="8">
        <f>IFERROR(IFERROR(VLOOKUP(A170,TRAOPE!$A:$W,23,0),VLOOKUP(B170,TRAOPE!$A:$W,23,0)),"")</f>
        <v/>
      </c>
      <c r="S170" s="10">
        <f>IF(AND(P170="TN",R170="TN"),N170+N(O170),IF(G170&amp;""="1",N(K170)*N170,(N170+N(O170))*N(K170)))</f>
        <v/>
      </c>
      <c r="T170" s="10">
        <f>IF(Q170="","",Q170-S170)</f>
        <v/>
      </c>
    </row>
    <row r="171">
      <c r="A171" s="7">
        <f>CONCATENATE(C171,E171,F171,I171)</f>
        <v/>
      </c>
      <c r="B171" s="7">
        <f>CONCATENATE(C171,E171,I171)</f>
        <v/>
      </c>
      <c r="C171" s="8" t="n">
        <v>900007868</v>
      </c>
      <c r="D171" s="7">
        <f>IFERROR(VLOOKUP(C171,TRAOPE!$G:$H,2,0),"")</f>
        <v/>
      </c>
      <c r="E171" s="8" t="inlineStr">
        <is>
          <t>DW83</t>
        </is>
      </c>
      <c r="F171" s="8" t="inlineStr">
        <is>
          <t>D216</t>
        </is>
      </c>
      <c r="G171" s="8">
        <f>IFERROR(VLOOKUP(A171,Flete!$A:$E,5,0),"")</f>
        <v/>
      </c>
      <c r="H171" s="7">
        <f>IFERROR(VLOOKUP(F171,TRAOPE!$AA:$AB,2,0),"")</f>
        <v/>
      </c>
      <c r="I171" s="7" t="n">
        <v>10000388</v>
      </c>
      <c r="J171" s="7">
        <f>IFERROR(VLOOKUP(I171,Materiales!$A:$H,8,0),"")</f>
        <v/>
      </c>
      <c r="K171" s="9">
        <f>IFERROR(VLOOKUP(I171,Materiales!$A:$G,7,0),"")</f>
        <v/>
      </c>
      <c r="L171" s="8" t="inlineStr">
        <is>
          <t>20250224</t>
        </is>
      </c>
      <c r="M171" s="8" t="inlineStr">
        <is>
          <t>99991231</t>
        </is>
      </c>
      <c r="N171" s="10" t="n">
        <v>180.58</v>
      </c>
      <c r="O171" s="10">
        <f>IFERROR(VLOOKUP(A171,Flete!$A:$J,10,0),"")</f>
        <v/>
      </c>
      <c r="P171" s="8" t="inlineStr">
        <is>
          <t>TN</t>
        </is>
      </c>
      <c r="Q171" s="10">
        <f>IFERROR(IFERROR(VLOOKUP(A171,TRAOPE!$A:$U,21,0),VLOOKUP(B171,TRAOPE!$A:$U,21,0)),"")</f>
        <v/>
      </c>
      <c r="R171" s="8">
        <f>IFERROR(IFERROR(VLOOKUP(A171,TRAOPE!$A:$W,23,0),VLOOKUP(B171,TRAOPE!$A:$W,23,0)),"")</f>
        <v/>
      </c>
      <c r="S171" s="10">
        <f>IF(AND(P171="TN",R171="TN"),N171+N(O171),IF(G171&amp;""="1",N(K171)*N171,(N171+N(O171))*N(K171)))</f>
        <v/>
      </c>
      <c r="T171" s="10">
        <f>IF(Q171="","",Q171-S171)</f>
        <v/>
      </c>
    </row>
    <row r="172">
      <c r="A172" s="7">
        <f>CONCATENATE(C172,E172,F172,I172)</f>
        <v/>
      </c>
      <c r="B172" s="7">
        <f>CONCATENATE(C172,E172,I172)</f>
        <v/>
      </c>
      <c r="C172" s="8" t="n">
        <v>900007907</v>
      </c>
      <c r="D172" s="7">
        <f>IFERROR(VLOOKUP(C172,TRAOPE!$G:$H,2,0),"")</f>
        <v/>
      </c>
      <c r="E172" s="8" t="inlineStr">
        <is>
          <t>DW83</t>
        </is>
      </c>
      <c r="F172" s="8" t="inlineStr">
        <is>
          <t>D216</t>
        </is>
      </c>
      <c r="G172" s="8">
        <f>IFERROR(VLOOKUP(A172,Flete!$A:$E,5,0),"")</f>
        <v/>
      </c>
      <c r="H172" s="7">
        <f>IFERROR(VLOOKUP(F172,TRAOPE!$AA:$AB,2,0),"")</f>
        <v/>
      </c>
      <c r="I172" s="7" t="n">
        <v>10000437</v>
      </c>
      <c r="J172" s="7">
        <f>IFERROR(VLOOKUP(I172,Materiales!$A:$H,8,0),"")</f>
        <v/>
      </c>
      <c r="K172" s="9">
        <f>IFERROR(VLOOKUP(I172,Materiales!$A:$G,7,0),"")</f>
        <v/>
      </c>
      <c r="L172" s="8" t="inlineStr">
        <is>
          <t>20250301</t>
        </is>
      </c>
      <c r="M172" s="8" t="inlineStr">
        <is>
          <t>20250701</t>
        </is>
      </c>
      <c r="N172" s="10" t="n">
        <v>275.75</v>
      </c>
      <c r="O172" s="10">
        <f>IFERROR(VLOOKUP(A172,Flete!$A:$J,10,0),"")</f>
        <v/>
      </c>
      <c r="P172" s="8" t="inlineStr">
        <is>
          <t>TN</t>
        </is>
      </c>
      <c r="Q172" s="10">
        <f>IFERROR(IFERROR(VLOOKUP(A172,TRAOPE!$A:$U,21,0),VLOOKUP(B172,TRAOPE!$A:$U,21,0)),"")</f>
        <v/>
      </c>
      <c r="R172" s="8">
        <f>IFERROR(IFERROR(VLOOKUP(A172,TRAOPE!$A:$W,23,0),VLOOKUP(B172,TRAOPE!$A:$W,23,0)),"")</f>
        <v/>
      </c>
      <c r="S172" s="10">
        <f>IF(AND(P172="TN",R172="TN"),N172+N(O172),IF(G172&amp;""="1",N(K172)*N172,(N172+N(O172))*N(K172)))</f>
        <v/>
      </c>
      <c r="T172" s="10">
        <f>IF(Q172="","",Q172-S172)</f>
        <v/>
      </c>
    </row>
    <row r="173">
      <c r="A173" s="7">
        <f>CONCATENATE(C173,E173,F173,I173)</f>
        <v/>
      </c>
      <c r="B173" s="7">
        <f>CONCATENATE(C173,E173,I173)</f>
        <v/>
      </c>
      <c r="C173" s="8" t="n">
        <v>900007907</v>
      </c>
      <c r="D173" s="7">
        <f>IFERROR(VLOOKUP(C173,TRAOPE!$G:$H,2,0),"")</f>
        <v/>
      </c>
      <c r="E173" s="8" t="inlineStr">
        <is>
          <t>DW83</t>
        </is>
      </c>
      <c r="F173" s="8" t="inlineStr">
        <is>
          <t>D216</t>
        </is>
      </c>
      <c r="G173" s="8">
        <f>IFERROR(VLOOKUP(A173,Flete!$A:$E,5,0),"")</f>
        <v/>
      </c>
      <c r="H173" s="7">
        <f>IFERROR(VLOOKUP(F173,TRAOPE!$AA:$AB,2,0),"")</f>
        <v/>
      </c>
      <c r="I173" s="7" t="n">
        <v>10000829</v>
      </c>
      <c r="J173" s="7">
        <f>IFERROR(VLOOKUP(I173,Materiales!$A:$H,8,0),"")</f>
        <v/>
      </c>
      <c r="K173" s="9">
        <f>IFERROR(VLOOKUP(I173,Materiales!$A:$G,7,0),"")</f>
        <v/>
      </c>
      <c r="L173" s="8" t="inlineStr">
        <is>
          <t>20240705</t>
        </is>
      </c>
      <c r="M173" s="8" t="inlineStr">
        <is>
          <t>20240705</t>
        </is>
      </c>
      <c r="N173" s="10" t="n">
        <v>262.24</v>
      </c>
      <c r="O173" s="10">
        <f>IFERROR(VLOOKUP(A173,Flete!$A:$J,10,0),"")</f>
        <v/>
      </c>
      <c r="P173" s="8" t="inlineStr">
        <is>
          <t>TN</t>
        </is>
      </c>
      <c r="Q173" s="10">
        <f>IFERROR(IFERROR(VLOOKUP(A173,TRAOPE!$A:$U,21,0),VLOOKUP(B173,TRAOPE!$A:$U,21,0)),"")</f>
        <v/>
      </c>
      <c r="R173" s="8">
        <f>IFERROR(IFERROR(VLOOKUP(A173,TRAOPE!$A:$W,23,0),VLOOKUP(B173,TRAOPE!$A:$W,23,0)),"")</f>
        <v/>
      </c>
      <c r="S173" s="10">
        <f>IF(AND(P173="TN",R173="TN"),N173+N(O173),IF(G173&amp;""="1",N(K173)*N173,(N173+N(O173))*N(K173)))</f>
        <v/>
      </c>
      <c r="T173" s="10">
        <f>IF(Q173="","",Q173-S173)</f>
        <v/>
      </c>
    </row>
    <row r="174">
      <c r="A174" s="7">
        <f>CONCATENATE(C174,E174,F174,I174)</f>
        <v/>
      </c>
      <c r="B174" s="7">
        <f>CONCATENATE(C174,E174,I174)</f>
        <v/>
      </c>
      <c r="C174" s="8" t="n">
        <v>900007907</v>
      </c>
      <c r="D174" s="7">
        <f>IFERROR(VLOOKUP(C174,TRAOPE!$G:$H,2,0),"")</f>
        <v/>
      </c>
      <c r="E174" s="8" t="inlineStr">
        <is>
          <t>DW83</t>
        </is>
      </c>
      <c r="F174" s="8" t="inlineStr">
        <is>
          <t>D216</t>
        </is>
      </c>
      <c r="G174" s="8">
        <f>IFERROR(VLOOKUP(A174,Flete!$A:$E,5,0),"")</f>
        <v/>
      </c>
      <c r="H174" s="7">
        <f>IFERROR(VLOOKUP(F174,TRAOPE!$AA:$AB,2,0),"")</f>
        <v/>
      </c>
      <c r="I174" s="7" t="n">
        <v>10258539</v>
      </c>
      <c r="J174" s="7">
        <f>IFERROR(VLOOKUP(I174,Materiales!$A:$H,8,0),"")</f>
        <v/>
      </c>
      <c r="K174" s="9">
        <f>IFERROR(VLOOKUP(I174,Materiales!$A:$G,7,0),"")</f>
        <v/>
      </c>
      <c r="L174" s="8" t="inlineStr">
        <is>
          <t>20250301</t>
        </is>
      </c>
      <c r="M174" s="8" t="inlineStr">
        <is>
          <t>20250701</t>
        </is>
      </c>
      <c r="N174" s="10" t="n">
        <v>260.84</v>
      </c>
      <c r="O174" s="10">
        <f>IFERROR(VLOOKUP(A174,Flete!$A:$J,10,0),"")</f>
        <v/>
      </c>
      <c r="P174" s="8" t="inlineStr">
        <is>
          <t>TN</t>
        </is>
      </c>
      <c r="Q174" s="10">
        <f>IFERROR(IFERROR(VLOOKUP(A174,TRAOPE!$A:$U,21,0),VLOOKUP(B174,TRAOPE!$A:$U,21,0)),"")</f>
        <v/>
      </c>
      <c r="R174" s="8">
        <f>IFERROR(IFERROR(VLOOKUP(A174,TRAOPE!$A:$W,23,0),VLOOKUP(B174,TRAOPE!$A:$W,23,0)),"")</f>
        <v/>
      </c>
      <c r="S174" s="10">
        <f>IF(AND(P174="TN",R174="TN"),N174+N(O174),IF(G174&amp;""="1",N(K174)*N174,(N174+N(O174))*N(K174)))</f>
        <v/>
      </c>
      <c r="T174" s="10">
        <f>IF(Q174="","",Q174-S174)</f>
        <v/>
      </c>
    </row>
    <row r="175">
      <c r="A175" s="7">
        <f>CONCATENATE(C175,E175,F175,I175)</f>
        <v/>
      </c>
      <c r="B175" s="7">
        <f>CONCATENATE(C175,E175,I175)</f>
        <v/>
      </c>
      <c r="C175" s="8" t="n">
        <v>900008104</v>
      </c>
      <c r="D175" s="7">
        <f>IFERROR(VLOOKUP(C175,TRAOPE!$G:$H,2,0),"")</f>
        <v/>
      </c>
      <c r="E175" s="8" t="inlineStr">
        <is>
          <t>DW83</t>
        </is>
      </c>
      <c r="F175" s="8" t="inlineStr">
        <is>
          <t>D216</t>
        </is>
      </c>
      <c r="G175" s="8">
        <f>IFERROR(VLOOKUP(A175,Flete!$A:$E,5,0),"")</f>
        <v/>
      </c>
      <c r="H175" s="7">
        <f>IFERROR(VLOOKUP(F175,TRAOPE!$AA:$AB,2,0),"")</f>
        <v/>
      </c>
      <c r="I175" s="7" t="n">
        <v>10000191</v>
      </c>
      <c r="J175" s="7">
        <f>IFERROR(VLOOKUP(I175,Materiales!$A:$H,8,0),"")</f>
        <v/>
      </c>
      <c r="K175" s="9">
        <f>IFERROR(VLOOKUP(I175,Materiales!$A:$G,7,0),"")</f>
        <v/>
      </c>
      <c r="L175" s="8" t="inlineStr">
        <is>
          <t>20230401</t>
        </is>
      </c>
      <c r="M175" s="8" t="inlineStr">
        <is>
          <t>99991231</t>
        </is>
      </c>
      <c r="N175" s="10" t="n">
        <v>226.95</v>
      </c>
      <c r="O175" s="10">
        <f>IFERROR(VLOOKUP(A175,Flete!$A:$J,10,0),"")</f>
        <v/>
      </c>
      <c r="P175" s="8" t="inlineStr">
        <is>
          <t>TN</t>
        </is>
      </c>
      <c r="Q175" s="10">
        <f>IFERROR(IFERROR(VLOOKUP(A175,TRAOPE!$A:$U,21,0),VLOOKUP(B175,TRAOPE!$A:$U,21,0)),"")</f>
        <v/>
      </c>
      <c r="R175" s="8">
        <f>IFERROR(IFERROR(VLOOKUP(A175,TRAOPE!$A:$W,23,0),VLOOKUP(B175,TRAOPE!$A:$W,23,0)),"")</f>
        <v/>
      </c>
      <c r="S175" s="10">
        <f>IF(AND(P175="TN",R175="TN"),N175+N(O175),IF(G175&amp;""="1",N(K175)*N175,(N175+N(O175))*N(K175)))</f>
        <v/>
      </c>
      <c r="T175" s="10">
        <f>IF(Q175="","",Q175-S175)</f>
        <v/>
      </c>
    </row>
    <row r="176">
      <c r="A176" s="7">
        <f>CONCATENATE(C176,E176,F176,I176)</f>
        <v/>
      </c>
      <c r="B176" s="7">
        <f>CONCATENATE(C176,E176,I176)</f>
        <v/>
      </c>
      <c r="C176" s="8" t="n">
        <v>900008104</v>
      </c>
      <c r="D176" s="7">
        <f>IFERROR(VLOOKUP(C176,TRAOPE!$G:$H,2,0),"")</f>
        <v/>
      </c>
      <c r="E176" s="8" t="inlineStr">
        <is>
          <t>DW83</t>
        </is>
      </c>
      <c r="F176" s="8" t="inlineStr">
        <is>
          <t>D216</t>
        </is>
      </c>
      <c r="G176" s="8">
        <f>IFERROR(VLOOKUP(A176,Flete!$A:$E,5,0),"")</f>
        <v/>
      </c>
      <c r="H176" s="7">
        <f>IFERROR(VLOOKUP(F176,TRAOPE!$AA:$AB,2,0),"")</f>
        <v/>
      </c>
      <c r="I176" s="7" t="n">
        <v>10000384</v>
      </c>
      <c r="J176" s="7">
        <f>IFERROR(VLOOKUP(I176,Materiales!$A:$H,8,0),"")</f>
        <v/>
      </c>
      <c r="K176" s="9">
        <f>IFERROR(VLOOKUP(I176,Materiales!$A:$G,7,0),"")</f>
        <v/>
      </c>
      <c r="L176" s="8" t="inlineStr">
        <is>
          <t>20230401</t>
        </is>
      </c>
      <c r="M176" s="8" t="inlineStr">
        <is>
          <t>99991231</t>
        </is>
      </c>
      <c r="N176" s="10" t="n">
        <v>198.76</v>
      </c>
      <c r="O176" s="10">
        <f>IFERROR(VLOOKUP(A176,Flete!$A:$J,10,0),"")</f>
        <v/>
      </c>
      <c r="P176" s="8" t="inlineStr">
        <is>
          <t>TN</t>
        </is>
      </c>
      <c r="Q176" s="10">
        <f>IFERROR(IFERROR(VLOOKUP(A176,TRAOPE!$A:$U,21,0),VLOOKUP(B176,TRAOPE!$A:$U,21,0)),"")</f>
        <v/>
      </c>
      <c r="R176" s="8">
        <f>IFERROR(IFERROR(VLOOKUP(A176,TRAOPE!$A:$W,23,0),VLOOKUP(B176,TRAOPE!$A:$W,23,0)),"")</f>
        <v/>
      </c>
      <c r="S176" s="10">
        <f>IF(AND(P176="TN",R176="TN"),N176+N(O176),IF(G176&amp;""="1",N(K176)*N176,(N176+N(O176))*N(K176)))</f>
        <v/>
      </c>
      <c r="T176" s="10">
        <f>IF(Q176="","",Q176-S176)</f>
        <v/>
      </c>
    </row>
    <row r="177">
      <c r="A177" s="7">
        <f>CONCATENATE(C177,E177,F177,I177)</f>
        <v/>
      </c>
      <c r="B177" s="7">
        <f>CONCATENATE(C177,E177,I177)</f>
        <v/>
      </c>
      <c r="C177" s="8" t="n">
        <v>900008104</v>
      </c>
      <c r="D177" s="7">
        <f>IFERROR(VLOOKUP(C177,TRAOPE!$G:$H,2,0),"")</f>
        <v/>
      </c>
      <c r="E177" s="8" t="inlineStr">
        <is>
          <t>DW83</t>
        </is>
      </c>
      <c r="F177" s="8" t="inlineStr">
        <is>
          <t>D216</t>
        </is>
      </c>
      <c r="G177" s="8">
        <f>IFERROR(VLOOKUP(A177,Flete!$A:$E,5,0),"")</f>
        <v/>
      </c>
      <c r="H177" s="7">
        <f>IFERROR(VLOOKUP(F177,TRAOPE!$AA:$AB,2,0),"")</f>
        <v/>
      </c>
      <c r="I177" s="7" t="n">
        <v>10000388</v>
      </c>
      <c r="J177" s="7">
        <f>IFERROR(VLOOKUP(I177,Materiales!$A:$H,8,0),"")</f>
        <v/>
      </c>
      <c r="K177" s="9">
        <f>IFERROR(VLOOKUP(I177,Materiales!$A:$G,7,0),"")</f>
        <v/>
      </c>
      <c r="L177" s="8" t="inlineStr">
        <is>
          <t>20230401</t>
        </is>
      </c>
      <c r="M177" s="8" t="inlineStr">
        <is>
          <t>99991231</t>
        </is>
      </c>
      <c r="N177" s="10" t="n">
        <v>229.39</v>
      </c>
      <c r="O177" s="10">
        <f>IFERROR(VLOOKUP(A177,Flete!$A:$J,10,0),"")</f>
        <v/>
      </c>
      <c r="P177" s="8" t="inlineStr">
        <is>
          <t>TN</t>
        </is>
      </c>
      <c r="Q177" s="10">
        <f>IFERROR(IFERROR(VLOOKUP(A177,TRAOPE!$A:$U,21,0),VLOOKUP(B177,TRAOPE!$A:$U,21,0)),"")</f>
        <v/>
      </c>
      <c r="R177" s="8">
        <f>IFERROR(IFERROR(VLOOKUP(A177,TRAOPE!$A:$W,23,0),VLOOKUP(B177,TRAOPE!$A:$W,23,0)),"")</f>
        <v/>
      </c>
      <c r="S177" s="10">
        <f>IF(AND(P177="TN",R177="TN"),N177+N(O177),IF(G177&amp;""="1",N(K177)*N177,(N177+N(O177))*N(K177)))</f>
        <v/>
      </c>
      <c r="T177" s="10">
        <f>IF(Q177="","",Q177-S177)</f>
        <v/>
      </c>
    </row>
    <row r="178">
      <c r="A178" s="7">
        <f>CONCATENATE(C178,E178,F178,I178)</f>
        <v/>
      </c>
      <c r="B178" s="7">
        <f>CONCATENATE(C178,E178,I178)</f>
        <v/>
      </c>
      <c r="C178" s="8" t="n">
        <v>900008104</v>
      </c>
      <c r="D178" s="7">
        <f>IFERROR(VLOOKUP(C178,TRAOPE!$G:$H,2,0),"")</f>
        <v/>
      </c>
      <c r="E178" s="8" t="inlineStr">
        <is>
          <t>DW83</t>
        </is>
      </c>
      <c r="F178" s="8" t="inlineStr">
        <is>
          <t>D216</t>
        </is>
      </c>
      <c r="G178" s="8">
        <f>IFERROR(VLOOKUP(A178,Flete!$A:$E,5,0),"")</f>
        <v/>
      </c>
      <c r="H178" s="7">
        <f>IFERROR(VLOOKUP(F178,TRAOPE!$AA:$AB,2,0),"")</f>
        <v/>
      </c>
      <c r="I178" s="7" t="n">
        <v>10004258</v>
      </c>
      <c r="J178" s="7">
        <f>IFERROR(VLOOKUP(I178,Materiales!$A:$H,8,0),"")</f>
        <v/>
      </c>
      <c r="K178" s="9">
        <f>IFERROR(VLOOKUP(I178,Materiales!$A:$G,7,0),"")</f>
        <v/>
      </c>
      <c r="L178" s="8" t="inlineStr">
        <is>
          <t>20230401</t>
        </is>
      </c>
      <c r="M178" s="8" t="inlineStr">
        <is>
          <t>99991231</t>
        </is>
      </c>
      <c r="N178" s="10" t="n">
        <v>209.15</v>
      </c>
      <c r="O178" s="10">
        <f>IFERROR(VLOOKUP(A178,Flete!$A:$J,10,0),"")</f>
        <v/>
      </c>
      <c r="P178" s="8" t="inlineStr">
        <is>
          <t>TN</t>
        </is>
      </c>
      <c r="Q178" s="10">
        <f>IFERROR(IFERROR(VLOOKUP(A178,TRAOPE!$A:$U,21,0),VLOOKUP(B178,TRAOPE!$A:$U,21,0)),"")</f>
        <v/>
      </c>
      <c r="R178" s="8">
        <f>IFERROR(IFERROR(VLOOKUP(A178,TRAOPE!$A:$W,23,0),VLOOKUP(B178,TRAOPE!$A:$W,23,0)),"")</f>
        <v/>
      </c>
      <c r="S178" s="10">
        <f>IF(AND(P178="TN",R178="TN"),N178+N(O178),IF(G178&amp;""="1",N(K178)*N178,(N178+N(O178))*N(K178)))</f>
        <v/>
      </c>
      <c r="T178" s="10">
        <f>IF(Q178="","",Q178-S178)</f>
        <v/>
      </c>
    </row>
    <row r="179">
      <c r="A179" s="7">
        <f>CONCATENATE(C179,E179,F179,I179)</f>
        <v/>
      </c>
      <c r="B179" s="7">
        <f>CONCATENATE(C179,E179,I179)</f>
        <v/>
      </c>
      <c r="C179" s="8" t="n">
        <v>900008104</v>
      </c>
      <c r="D179" s="7">
        <f>IFERROR(VLOOKUP(C179,TRAOPE!$G:$H,2,0),"")</f>
        <v/>
      </c>
      <c r="E179" s="8" t="inlineStr">
        <is>
          <t>DW83</t>
        </is>
      </c>
      <c r="F179" s="8" t="inlineStr">
        <is>
          <t>D216</t>
        </is>
      </c>
      <c r="G179" s="8">
        <f>IFERROR(VLOOKUP(A179,Flete!$A:$E,5,0),"")</f>
        <v/>
      </c>
      <c r="H179" s="7">
        <f>IFERROR(VLOOKUP(F179,TRAOPE!$AA:$AB,2,0),"")</f>
        <v/>
      </c>
      <c r="I179" s="7" t="n">
        <v>10154410</v>
      </c>
      <c r="J179" s="7">
        <f>IFERROR(VLOOKUP(I179,Materiales!$A:$H,8,0),"")</f>
        <v/>
      </c>
      <c r="K179" s="9">
        <f>IFERROR(VLOOKUP(I179,Materiales!$A:$G,7,0),"")</f>
        <v/>
      </c>
      <c r="L179" s="8" t="inlineStr">
        <is>
          <t>20230502</t>
        </is>
      </c>
      <c r="M179" s="8" t="inlineStr">
        <is>
          <t>99991231</t>
        </is>
      </c>
      <c r="N179" s="10" t="n">
        <v>207.14</v>
      </c>
      <c r="O179" s="10">
        <f>IFERROR(VLOOKUP(A179,Flete!$A:$J,10,0),"")</f>
        <v/>
      </c>
      <c r="P179" s="8" t="inlineStr">
        <is>
          <t>TN</t>
        </is>
      </c>
      <c r="Q179" s="10">
        <f>IFERROR(IFERROR(VLOOKUP(A179,TRAOPE!$A:$U,21,0),VLOOKUP(B179,TRAOPE!$A:$U,21,0)),"")</f>
        <v/>
      </c>
      <c r="R179" s="8">
        <f>IFERROR(IFERROR(VLOOKUP(A179,TRAOPE!$A:$W,23,0),VLOOKUP(B179,TRAOPE!$A:$W,23,0)),"")</f>
        <v/>
      </c>
      <c r="S179" s="10">
        <f>IF(AND(P179="TN",R179="TN"),N179+N(O179),IF(G179&amp;""="1",N(K179)*N179,(N179+N(O179))*N(K179)))</f>
        <v/>
      </c>
      <c r="T179" s="10">
        <f>IF(Q179="","",Q179-S179)</f>
        <v/>
      </c>
    </row>
    <row r="180">
      <c r="A180" s="7">
        <f>CONCATENATE(C180,E180,F180,I180)</f>
        <v/>
      </c>
      <c r="B180" s="7">
        <f>CONCATENATE(C180,E180,I180)</f>
        <v/>
      </c>
      <c r="C180" s="8" t="n">
        <v>900008104</v>
      </c>
      <c r="D180" s="7">
        <f>IFERROR(VLOOKUP(C180,TRAOPE!$G:$H,2,0),"")</f>
        <v/>
      </c>
      <c r="E180" s="8" t="inlineStr">
        <is>
          <t>DW83</t>
        </is>
      </c>
      <c r="F180" s="8" t="inlineStr">
        <is>
          <t>D243</t>
        </is>
      </c>
      <c r="G180" s="8">
        <f>IFERROR(VLOOKUP(A180,Flete!$A:$E,5,0),"")</f>
        <v/>
      </c>
      <c r="H180" s="7">
        <f>IFERROR(VLOOKUP(F180,TRAOPE!$AA:$AB,2,0),"")</f>
        <v/>
      </c>
      <c r="I180" s="7" t="n">
        <v>10000191</v>
      </c>
      <c r="J180" s="7">
        <f>IFERROR(VLOOKUP(I180,Materiales!$A:$H,8,0),"")</f>
        <v/>
      </c>
      <c r="K180" s="9">
        <f>IFERROR(VLOOKUP(I180,Materiales!$A:$G,7,0),"")</f>
        <v/>
      </c>
      <c r="L180" s="8" t="inlineStr">
        <is>
          <t>20230301</t>
        </is>
      </c>
      <c r="M180" s="8" t="inlineStr">
        <is>
          <t>20250129</t>
        </is>
      </c>
      <c r="N180" s="10" t="n">
        <v>226.95</v>
      </c>
      <c r="O180" s="10">
        <f>IFERROR(VLOOKUP(A180,Flete!$A:$J,10,0),"")</f>
        <v/>
      </c>
      <c r="P180" s="8" t="inlineStr">
        <is>
          <t>TN</t>
        </is>
      </c>
      <c r="Q180" s="10">
        <f>IFERROR(IFERROR(VLOOKUP(A180,TRAOPE!$A:$U,21,0),VLOOKUP(B180,TRAOPE!$A:$U,21,0)),"")</f>
        <v/>
      </c>
      <c r="R180" s="8">
        <f>IFERROR(IFERROR(VLOOKUP(A180,TRAOPE!$A:$W,23,0),VLOOKUP(B180,TRAOPE!$A:$W,23,0)),"")</f>
        <v/>
      </c>
      <c r="S180" s="10">
        <f>IF(AND(P180="TN",R180="TN"),N180+N(O180),IF(G180&amp;""="1",N(K180)*N180,(N180+N(O180))*N(K180)))</f>
        <v/>
      </c>
      <c r="T180" s="10">
        <f>IF(Q180="","",Q180-S180)</f>
        <v/>
      </c>
    </row>
    <row r="181">
      <c r="A181" s="7">
        <f>CONCATENATE(C181,E181,F181,I181)</f>
        <v/>
      </c>
      <c r="B181" s="7">
        <f>CONCATENATE(C181,E181,I181)</f>
        <v/>
      </c>
      <c r="C181" s="8" t="n">
        <v>900008104</v>
      </c>
      <c r="D181" s="7">
        <f>IFERROR(VLOOKUP(C181,TRAOPE!$G:$H,2,0),"")</f>
        <v/>
      </c>
      <c r="E181" s="8" t="inlineStr">
        <is>
          <t>DW83</t>
        </is>
      </c>
      <c r="F181" s="8" t="inlineStr">
        <is>
          <t>D243</t>
        </is>
      </c>
      <c r="G181" s="8">
        <f>IFERROR(VLOOKUP(A181,Flete!$A:$E,5,0),"")</f>
        <v/>
      </c>
      <c r="H181" s="7">
        <f>IFERROR(VLOOKUP(F181,TRAOPE!$AA:$AB,2,0),"")</f>
        <v/>
      </c>
      <c r="I181" s="7" t="n">
        <v>10000384</v>
      </c>
      <c r="J181" s="7">
        <f>IFERROR(VLOOKUP(I181,Materiales!$A:$H,8,0),"")</f>
        <v/>
      </c>
      <c r="K181" s="9">
        <f>IFERROR(VLOOKUP(I181,Materiales!$A:$G,7,0),"")</f>
        <v/>
      </c>
      <c r="L181" s="8" t="inlineStr">
        <is>
          <t>20230301</t>
        </is>
      </c>
      <c r="M181" s="8" t="inlineStr">
        <is>
          <t>20250129</t>
        </is>
      </c>
      <c r="N181" s="10" t="n">
        <v>198.76</v>
      </c>
      <c r="O181" s="10">
        <f>IFERROR(VLOOKUP(A181,Flete!$A:$J,10,0),"")</f>
        <v/>
      </c>
      <c r="P181" s="8" t="inlineStr">
        <is>
          <t>TN</t>
        </is>
      </c>
      <c r="Q181" s="10">
        <f>IFERROR(IFERROR(VLOOKUP(A181,TRAOPE!$A:$U,21,0),VLOOKUP(B181,TRAOPE!$A:$U,21,0)),"")</f>
        <v/>
      </c>
      <c r="R181" s="8">
        <f>IFERROR(IFERROR(VLOOKUP(A181,TRAOPE!$A:$W,23,0),VLOOKUP(B181,TRAOPE!$A:$W,23,0)),"")</f>
        <v/>
      </c>
      <c r="S181" s="10">
        <f>IF(AND(P181="TN",R181="TN"),N181+N(O181),IF(G181&amp;""="1",N(K181)*N181,(N181+N(O181))*N(K181)))</f>
        <v/>
      </c>
      <c r="T181" s="10">
        <f>IF(Q181="","",Q181-S181)</f>
        <v/>
      </c>
    </row>
    <row r="182">
      <c r="A182" s="7">
        <f>CONCATENATE(C182,E182,F182,I182)</f>
        <v/>
      </c>
      <c r="B182" s="7">
        <f>CONCATENATE(C182,E182,I182)</f>
        <v/>
      </c>
      <c r="C182" s="8" t="n">
        <v>900008104</v>
      </c>
      <c r="D182" s="7">
        <f>IFERROR(VLOOKUP(C182,TRAOPE!$G:$H,2,0),"")</f>
        <v/>
      </c>
      <c r="E182" s="8" t="inlineStr">
        <is>
          <t>DW83</t>
        </is>
      </c>
      <c r="F182" s="8" t="inlineStr">
        <is>
          <t>D243</t>
        </is>
      </c>
      <c r="G182" s="8">
        <f>IFERROR(VLOOKUP(A182,Flete!$A:$E,5,0),"")</f>
        <v/>
      </c>
      <c r="H182" s="7">
        <f>IFERROR(VLOOKUP(F182,TRAOPE!$AA:$AB,2,0),"")</f>
        <v/>
      </c>
      <c r="I182" s="7" t="n">
        <v>10000388</v>
      </c>
      <c r="J182" s="7">
        <f>IFERROR(VLOOKUP(I182,Materiales!$A:$H,8,0),"")</f>
        <v/>
      </c>
      <c r="K182" s="9">
        <f>IFERROR(VLOOKUP(I182,Materiales!$A:$G,7,0),"")</f>
        <v/>
      </c>
      <c r="L182" s="8" t="inlineStr">
        <is>
          <t>20230301</t>
        </is>
      </c>
      <c r="M182" s="8" t="inlineStr">
        <is>
          <t>20250129</t>
        </is>
      </c>
      <c r="N182" s="10" t="n">
        <v>229.39</v>
      </c>
      <c r="O182" s="10">
        <f>IFERROR(VLOOKUP(A182,Flete!$A:$J,10,0),"")</f>
        <v/>
      </c>
      <c r="P182" s="8" t="inlineStr">
        <is>
          <t>TN</t>
        </is>
      </c>
      <c r="Q182" s="10">
        <f>IFERROR(IFERROR(VLOOKUP(A182,TRAOPE!$A:$U,21,0),VLOOKUP(B182,TRAOPE!$A:$U,21,0)),"")</f>
        <v/>
      </c>
      <c r="R182" s="8">
        <f>IFERROR(IFERROR(VLOOKUP(A182,TRAOPE!$A:$W,23,0),VLOOKUP(B182,TRAOPE!$A:$W,23,0)),"")</f>
        <v/>
      </c>
      <c r="S182" s="10">
        <f>IF(AND(P182="TN",R182="TN"),N182+N(O182),IF(G182&amp;""="1",N(K182)*N182,(N182+N(O182))*N(K182)))</f>
        <v/>
      </c>
      <c r="T182" s="10">
        <f>IF(Q182="","",Q182-S182)</f>
        <v/>
      </c>
    </row>
    <row r="183">
      <c r="A183" s="7">
        <f>CONCATENATE(C183,E183,F183,I183)</f>
        <v/>
      </c>
      <c r="B183" s="7">
        <f>CONCATENATE(C183,E183,I183)</f>
        <v/>
      </c>
      <c r="C183" s="8" t="n">
        <v>900008104</v>
      </c>
      <c r="D183" s="7">
        <f>IFERROR(VLOOKUP(C183,TRAOPE!$G:$H,2,0),"")</f>
        <v/>
      </c>
      <c r="E183" s="8" t="inlineStr">
        <is>
          <t>DW83</t>
        </is>
      </c>
      <c r="F183" s="8" t="inlineStr">
        <is>
          <t>D243</t>
        </is>
      </c>
      <c r="G183" s="8">
        <f>IFERROR(VLOOKUP(A183,Flete!$A:$E,5,0),"")</f>
        <v/>
      </c>
      <c r="H183" s="7">
        <f>IFERROR(VLOOKUP(F183,TRAOPE!$AA:$AB,2,0),"")</f>
        <v/>
      </c>
      <c r="I183" s="7" t="n">
        <v>10004258</v>
      </c>
      <c r="J183" s="7">
        <f>IFERROR(VLOOKUP(I183,Materiales!$A:$H,8,0),"")</f>
        <v/>
      </c>
      <c r="K183" s="9">
        <f>IFERROR(VLOOKUP(I183,Materiales!$A:$G,7,0),"")</f>
        <v/>
      </c>
      <c r="L183" s="8" t="inlineStr">
        <is>
          <t>20230301</t>
        </is>
      </c>
      <c r="M183" s="8" t="inlineStr">
        <is>
          <t>20250129</t>
        </is>
      </c>
      <c r="N183" s="10" t="n">
        <v>209.15</v>
      </c>
      <c r="O183" s="10">
        <f>IFERROR(VLOOKUP(A183,Flete!$A:$J,10,0),"")</f>
        <v/>
      </c>
      <c r="P183" s="8" t="inlineStr">
        <is>
          <t>TN</t>
        </is>
      </c>
      <c r="Q183" s="10">
        <f>IFERROR(IFERROR(VLOOKUP(A183,TRAOPE!$A:$U,21,0),VLOOKUP(B183,TRAOPE!$A:$U,21,0)),"")</f>
        <v/>
      </c>
      <c r="R183" s="8">
        <f>IFERROR(IFERROR(VLOOKUP(A183,TRAOPE!$A:$W,23,0),VLOOKUP(B183,TRAOPE!$A:$W,23,0)),"")</f>
        <v/>
      </c>
      <c r="S183" s="10">
        <f>IF(AND(P183="TN",R183="TN"),N183+N(O183),IF(G183&amp;""="1",N(K183)*N183,(N183+N(O183))*N(K183)))</f>
        <v/>
      </c>
      <c r="T183" s="10">
        <f>IF(Q183="","",Q183-S183)</f>
        <v/>
      </c>
    </row>
    <row r="184">
      <c r="A184" s="7">
        <f>CONCATENATE(C184,E184,F184,I184)</f>
        <v/>
      </c>
      <c r="B184" s="7">
        <f>CONCATENATE(C184,E184,I184)</f>
        <v/>
      </c>
      <c r="C184" s="8" t="n">
        <v>900008104</v>
      </c>
      <c r="D184" s="7">
        <f>IFERROR(VLOOKUP(C184,TRAOPE!$G:$H,2,0),"")</f>
        <v/>
      </c>
      <c r="E184" s="8" t="inlineStr">
        <is>
          <t>DW83</t>
        </is>
      </c>
      <c r="F184" s="8" t="inlineStr">
        <is>
          <t>D243</t>
        </is>
      </c>
      <c r="G184" s="8">
        <f>IFERROR(VLOOKUP(A184,Flete!$A:$E,5,0),"")</f>
        <v/>
      </c>
      <c r="H184" s="7">
        <f>IFERROR(VLOOKUP(F184,TRAOPE!$AA:$AB,2,0),"")</f>
        <v/>
      </c>
      <c r="I184" s="7" t="n">
        <v>10154410</v>
      </c>
      <c r="J184" s="7">
        <f>IFERROR(VLOOKUP(I184,Materiales!$A:$H,8,0),"")</f>
        <v/>
      </c>
      <c r="K184" s="9">
        <f>IFERROR(VLOOKUP(I184,Materiales!$A:$G,7,0),"")</f>
        <v/>
      </c>
      <c r="L184" s="8" t="inlineStr">
        <is>
          <t>20230301</t>
        </is>
      </c>
      <c r="M184" s="8" t="inlineStr">
        <is>
          <t>20250129</t>
        </is>
      </c>
      <c r="N184" s="10" t="n">
        <v>207.14</v>
      </c>
      <c r="O184" s="10">
        <f>IFERROR(VLOOKUP(A184,Flete!$A:$J,10,0),"")</f>
        <v/>
      </c>
      <c r="P184" s="8" t="inlineStr">
        <is>
          <t>TN</t>
        </is>
      </c>
      <c r="Q184" s="10">
        <f>IFERROR(IFERROR(VLOOKUP(A184,TRAOPE!$A:$U,21,0),VLOOKUP(B184,TRAOPE!$A:$U,21,0)),"")</f>
        <v/>
      </c>
      <c r="R184" s="8">
        <f>IFERROR(IFERROR(VLOOKUP(A184,TRAOPE!$A:$W,23,0),VLOOKUP(B184,TRAOPE!$A:$W,23,0)),"")</f>
        <v/>
      </c>
      <c r="S184" s="10">
        <f>IF(AND(P184="TN",R184="TN"),N184+N(O184),IF(G184&amp;""="1",N(K184)*N184,(N184+N(O184))*N(K184)))</f>
        <v/>
      </c>
      <c r="T184" s="10">
        <f>IF(Q184="","",Q184-S184)</f>
        <v/>
      </c>
    </row>
    <row r="185">
      <c r="A185" s="7">
        <f>CONCATENATE(C185,E185,F185,I185)</f>
        <v/>
      </c>
      <c r="B185" s="7">
        <f>CONCATENATE(C185,E185,I185)</f>
        <v/>
      </c>
      <c r="C185" s="8" t="n">
        <v>900008104</v>
      </c>
      <c r="D185" s="7">
        <f>IFERROR(VLOOKUP(C185,TRAOPE!$G:$H,2,0),"")</f>
        <v/>
      </c>
      <c r="E185" s="8" t="inlineStr">
        <is>
          <t>DW83</t>
        </is>
      </c>
      <c r="F185" s="8" t="inlineStr">
        <is>
          <t>DD66</t>
        </is>
      </c>
      <c r="G185" s="8">
        <f>IFERROR(VLOOKUP(A185,Flete!$A:$E,5,0),"")</f>
        <v/>
      </c>
      <c r="H185" s="7">
        <f>IFERROR(VLOOKUP(F185,TRAOPE!$AA:$AB,2,0),"")</f>
        <v/>
      </c>
      <c r="I185" s="7" t="n">
        <v>10000191</v>
      </c>
      <c r="J185" s="7">
        <f>IFERROR(VLOOKUP(I185,Materiales!$A:$H,8,0),"")</f>
        <v/>
      </c>
      <c r="K185" s="9">
        <f>IFERROR(VLOOKUP(I185,Materiales!$A:$G,7,0),"")</f>
        <v/>
      </c>
      <c r="L185" s="8" t="inlineStr">
        <is>
          <t>20230402</t>
        </is>
      </c>
      <c r="M185" s="8" t="inlineStr">
        <is>
          <t>99991231</t>
        </is>
      </c>
      <c r="N185" s="10" t="n">
        <v>226.95</v>
      </c>
      <c r="O185" s="10">
        <f>IFERROR(VLOOKUP(A185,Flete!$A:$J,10,0),"")</f>
        <v/>
      </c>
      <c r="P185" s="8" t="inlineStr">
        <is>
          <t>TN</t>
        </is>
      </c>
      <c r="Q185" s="10">
        <f>IFERROR(IFERROR(VLOOKUP(A185,TRAOPE!$A:$U,21,0),VLOOKUP(B185,TRAOPE!$A:$U,21,0)),"")</f>
        <v/>
      </c>
      <c r="R185" s="8">
        <f>IFERROR(IFERROR(VLOOKUP(A185,TRAOPE!$A:$W,23,0),VLOOKUP(B185,TRAOPE!$A:$W,23,0)),"")</f>
        <v/>
      </c>
      <c r="S185" s="10">
        <f>IF(AND(P185="TN",R185="TN"),N185+N(O185),IF(G185&amp;""="1",N(K185)*N185,(N185+N(O185))*N(K185)))</f>
        <v/>
      </c>
      <c r="T185" s="10">
        <f>IF(Q185="","",Q185-S185)</f>
        <v/>
      </c>
    </row>
    <row r="186">
      <c r="A186" s="7">
        <f>CONCATENATE(C186,E186,F186,I186)</f>
        <v/>
      </c>
      <c r="B186" s="7">
        <f>CONCATENATE(C186,E186,I186)</f>
        <v/>
      </c>
      <c r="C186" s="8" t="n">
        <v>900008104</v>
      </c>
      <c r="D186" s="7">
        <f>IFERROR(VLOOKUP(C186,TRAOPE!$G:$H,2,0),"")</f>
        <v/>
      </c>
      <c r="E186" s="8" t="inlineStr">
        <is>
          <t>DW83</t>
        </is>
      </c>
      <c r="F186" s="8" t="inlineStr">
        <is>
          <t>DD66</t>
        </is>
      </c>
      <c r="G186" s="8">
        <f>IFERROR(VLOOKUP(A186,Flete!$A:$E,5,0),"")</f>
        <v/>
      </c>
      <c r="H186" s="7">
        <f>IFERROR(VLOOKUP(F186,TRAOPE!$AA:$AB,2,0),"")</f>
        <v/>
      </c>
      <c r="I186" s="7" t="n">
        <v>10000384</v>
      </c>
      <c r="J186" s="7">
        <f>IFERROR(VLOOKUP(I186,Materiales!$A:$H,8,0),"")</f>
        <v/>
      </c>
      <c r="K186" s="9">
        <f>IFERROR(VLOOKUP(I186,Materiales!$A:$G,7,0),"")</f>
        <v/>
      </c>
      <c r="L186" s="8" t="inlineStr">
        <is>
          <t>20230402</t>
        </is>
      </c>
      <c r="M186" s="8" t="inlineStr">
        <is>
          <t>99991231</t>
        </is>
      </c>
      <c r="N186" s="10" t="n">
        <v>198.76</v>
      </c>
      <c r="O186" s="10">
        <f>IFERROR(VLOOKUP(A186,Flete!$A:$J,10,0),"")</f>
        <v/>
      </c>
      <c r="P186" s="8" t="inlineStr">
        <is>
          <t>TN</t>
        </is>
      </c>
      <c r="Q186" s="10">
        <f>IFERROR(IFERROR(VLOOKUP(A186,TRAOPE!$A:$U,21,0),VLOOKUP(B186,TRAOPE!$A:$U,21,0)),"")</f>
        <v/>
      </c>
      <c r="R186" s="8">
        <f>IFERROR(IFERROR(VLOOKUP(A186,TRAOPE!$A:$W,23,0),VLOOKUP(B186,TRAOPE!$A:$W,23,0)),"")</f>
        <v/>
      </c>
      <c r="S186" s="10">
        <f>IF(AND(P186="TN",R186="TN"),N186+N(O186),IF(G186&amp;""="1",N(K186)*N186,(N186+N(O186))*N(K186)))</f>
        <v/>
      </c>
      <c r="T186" s="10">
        <f>IF(Q186="","",Q186-S186)</f>
        <v/>
      </c>
    </row>
    <row r="187">
      <c r="A187" s="7">
        <f>CONCATENATE(C187,E187,F187,I187)</f>
        <v/>
      </c>
      <c r="B187" s="7">
        <f>CONCATENATE(C187,E187,I187)</f>
        <v/>
      </c>
      <c r="C187" s="8" t="n">
        <v>900008104</v>
      </c>
      <c r="D187" s="7">
        <f>IFERROR(VLOOKUP(C187,TRAOPE!$G:$H,2,0),"")</f>
        <v/>
      </c>
      <c r="E187" s="8" t="inlineStr">
        <is>
          <t>DW83</t>
        </is>
      </c>
      <c r="F187" s="8" t="inlineStr">
        <is>
          <t>DD66</t>
        </is>
      </c>
      <c r="G187" s="8">
        <f>IFERROR(VLOOKUP(A187,Flete!$A:$E,5,0),"")</f>
        <v/>
      </c>
      <c r="H187" s="7">
        <f>IFERROR(VLOOKUP(F187,TRAOPE!$AA:$AB,2,0),"")</f>
        <v/>
      </c>
      <c r="I187" s="7" t="n">
        <v>10000388</v>
      </c>
      <c r="J187" s="7">
        <f>IFERROR(VLOOKUP(I187,Materiales!$A:$H,8,0),"")</f>
        <v/>
      </c>
      <c r="K187" s="9">
        <f>IFERROR(VLOOKUP(I187,Materiales!$A:$G,7,0),"")</f>
        <v/>
      </c>
      <c r="L187" s="8" t="inlineStr">
        <is>
          <t>20230402</t>
        </is>
      </c>
      <c r="M187" s="8" t="inlineStr">
        <is>
          <t>99991231</t>
        </is>
      </c>
      <c r="N187" s="10" t="n">
        <v>229.39</v>
      </c>
      <c r="O187" s="10">
        <f>IFERROR(VLOOKUP(A187,Flete!$A:$J,10,0),"")</f>
        <v/>
      </c>
      <c r="P187" s="8" t="inlineStr">
        <is>
          <t>TN</t>
        </is>
      </c>
      <c r="Q187" s="10">
        <f>IFERROR(IFERROR(VLOOKUP(A187,TRAOPE!$A:$U,21,0),VLOOKUP(B187,TRAOPE!$A:$U,21,0)),"")</f>
        <v/>
      </c>
      <c r="R187" s="8">
        <f>IFERROR(IFERROR(VLOOKUP(A187,TRAOPE!$A:$W,23,0),VLOOKUP(B187,TRAOPE!$A:$W,23,0)),"")</f>
        <v/>
      </c>
      <c r="S187" s="10">
        <f>IF(AND(P187="TN",R187="TN"),N187+N(O187),IF(G187&amp;""="1",N(K187)*N187,(N187+N(O187))*N(K187)))</f>
        <v/>
      </c>
      <c r="T187" s="10">
        <f>IF(Q187="","",Q187-S187)</f>
        <v/>
      </c>
    </row>
    <row r="188">
      <c r="A188" s="7">
        <f>CONCATENATE(C188,E188,F188,I188)</f>
        <v/>
      </c>
      <c r="B188" s="7">
        <f>CONCATENATE(C188,E188,I188)</f>
        <v/>
      </c>
      <c r="C188" s="8" t="n">
        <v>900008104</v>
      </c>
      <c r="D188" s="7">
        <f>IFERROR(VLOOKUP(C188,TRAOPE!$G:$H,2,0),"")</f>
        <v/>
      </c>
      <c r="E188" s="8" t="inlineStr">
        <is>
          <t>DW83</t>
        </is>
      </c>
      <c r="F188" s="8" t="inlineStr">
        <is>
          <t>DD66</t>
        </is>
      </c>
      <c r="G188" s="8">
        <f>IFERROR(VLOOKUP(A188,Flete!$A:$E,5,0),"")</f>
        <v/>
      </c>
      <c r="H188" s="7">
        <f>IFERROR(VLOOKUP(F188,TRAOPE!$AA:$AB,2,0),"")</f>
        <v/>
      </c>
      <c r="I188" s="7" t="n">
        <v>10004258</v>
      </c>
      <c r="J188" s="7">
        <f>IFERROR(VLOOKUP(I188,Materiales!$A:$H,8,0),"")</f>
        <v/>
      </c>
      <c r="K188" s="9">
        <f>IFERROR(VLOOKUP(I188,Materiales!$A:$G,7,0),"")</f>
        <v/>
      </c>
      <c r="L188" s="8" t="inlineStr">
        <is>
          <t>20230402</t>
        </is>
      </c>
      <c r="M188" s="8" t="inlineStr">
        <is>
          <t>99991231</t>
        </is>
      </c>
      <c r="N188" s="10" t="n">
        <v>209.15</v>
      </c>
      <c r="O188" s="10">
        <f>IFERROR(VLOOKUP(A188,Flete!$A:$J,10,0),"")</f>
        <v/>
      </c>
      <c r="P188" s="8" t="inlineStr">
        <is>
          <t>TN</t>
        </is>
      </c>
      <c r="Q188" s="10">
        <f>IFERROR(IFERROR(VLOOKUP(A188,TRAOPE!$A:$U,21,0),VLOOKUP(B188,TRAOPE!$A:$U,21,0)),"")</f>
        <v/>
      </c>
      <c r="R188" s="8">
        <f>IFERROR(IFERROR(VLOOKUP(A188,TRAOPE!$A:$W,23,0),VLOOKUP(B188,TRAOPE!$A:$W,23,0)),"")</f>
        <v/>
      </c>
      <c r="S188" s="10">
        <f>IF(AND(P188="TN",R188="TN"),N188+N(O188),IF(G188&amp;""="1",N(K188)*N188,(N188+N(O188))*N(K188)))</f>
        <v/>
      </c>
      <c r="T188" s="10">
        <f>IF(Q188="","",Q188-S188)</f>
        <v/>
      </c>
    </row>
    <row r="189">
      <c r="A189" s="7">
        <f>CONCATENATE(C189,E189,F189,I189)</f>
        <v/>
      </c>
      <c r="B189" s="7">
        <f>CONCATENATE(C189,E189,I189)</f>
        <v/>
      </c>
      <c r="C189" s="8" t="n">
        <v>900008104</v>
      </c>
      <c r="D189" s="7">
        <f>IFERROR(VLOOKUP(C189,TRAOPE!$G:$H,2,0),"")</f>
        <v/>
      </c>
      <c r="E189" s="8" t="inlineStr">
        <is>
          <t>DW83</t>
        </is>
      </c>
      <c r="F189" s="8" t="inlineStr">
        <is>
          <t>DE03</t>
        </is>
      </c>
      <c r="G189" s="8">
        <f>IFERROR(VLOOKUP(A189,Flete!$A:$E,5,0),"")</f>
        <v/>
      </c>
      <c r="H189" s="7">
        <f>IFERROR(VLOOKUP(F189,TRAOPE!$AA:$AB,2,0),"")</f>
        <v/>
      </c>
      <c r="I189" s="7" t="n">
        <v>10000191</v>
      </c>
      <c r="J189" s="7">
        <f>IFERROR(VLOOKUP(I189,Materiales!$A:$H,8,0),"")</f>
        <v/>
      </c>
      <c r="K189" s="9">
        <f>IFERROR(VLOOKUP(I189,Materiales!$A:$G,7,0),"")</f>
        <v/>
      </c>
      <c r="L189" s="8" t="inlineStr">
        <is>
          <t>20230301</t>
        </is>
      </c>
      <c r="M189" s="8" t="inlineStr">
        <is>
          <t>20250129</t>
        </is>
      </c>
      <c r="N189" s="10" t="n">
        <v>226.95</v>
      </c>
      <c r="O189" s="10">
        <f>IFERROR(VLOOKUP(A189,Flete!$A:$J,10,0),"")</f>
        <v/>
      </c>
      <c r="P189" s="8" t="inlineStr">
        <is>
          <t>TN</t>
        </is>
      </c>
      <c r="Q189" s="10">
        <f>IFERROR(IFERROR(VLOOKUP(A189,TRAOPE!$A:$U,21,0),VLOOKUP(B189,TRAOPE!$A:$U,21,0)),"")</f>
        <v/>
      </c>
      <c r="R189" s="8">
        <f>IFERROR(IFERROR(VLOOKUP(A189,TRAOPE!$A:$W,23,0),VLOOKUP(B189,TRAOPE!$A:$W,23,0)),"")</f>
        <v/>
      </c>
      <c r="S189" s="10">
        <f>IF(AND(P189="TN",R189="TN"),N189+N(O189),IF(G189&amp;""="1",N(K189)*N189,(N189+N(O189))*N(K189)))</f>
        <v/>
      </c>
      <c r="T189" s="10">
        <f>IF(Q189="","",Q189-S189)</f>
        <v/>
      </c>
    </row>
    <row r="190">
      <c r="A190" s="7">
        <f>CONCATENATE(C190,E190,F190,I190)</f>
        <v/>
      </c>
      <c r="B190" s="7">
        <f>CONCATENATE(C190,E190,I190)</f>
        <v/>
      </c>
      <c r="C190" s="8" t="n">
        <v>900008104</v>
      </c>
      <c r="D190" s="7">
        <f>IFERROR(VLOOKUP(C190,TRAOPE!$G:$H,2,0),"")</f>
        <v/>
      </c>
      <c r="E190" s="8" t="inlineStr">
        <is>
          <t>DW83</t>
        </is>
      </c>
      <c r="F190" s="8" t="inlineStr">
        <is>
          <t>DE03</t>
        </is>
      </c>
      <c r="G190" s="8">
        <f>IFERROR(VLOOKUP(A190,Flete!$A:$E,5,0),"")</f>
        <v/>
      </c>
      <c r="H190" s="7">
        <f>IFERROR(VLOOKUP(F190,TRAOPE!$AA:$AB,2,0),"")</f>
        <v/>
      </c>
      <c r="I190" s="7" t="n">
        <v>10000384</v>
      </c>
      <c r="J190" s="7">
        <f>IFERROR(VLOOKUP(I190,Materiales!$A:$H,8,0),"")</f>
        <v/>
      </c>
      <c r="K190" s="9">
        <f>IFERROR(VLOOKUP(I190,Materiales!$A:$G,7,0),"")</f>
        <v/>
      </c>
      <c r="L190" s="8" t="inlineStr">
        <is>
          <t>20230301</t>
        </is>
      </c>
      <c r="M190" s="8" t="inlineStr">
        <is>
          <t>20250129</t>
        </is>
      </c>
      <c r="N190" s="10" t="n">
        <v>198.76</v>
      </c>
      <c r="O190" s="10">
        <f>IFERROR(VLOOKUP(A190,Flete!$A:$J,10,0),"")</f>
        <v/>
      </c>
      <c r="P190" s="8" t="inlineStr">
        <is>
          <t>TN</t>
        </is>
      </c>
      <c r="Q190" s="10">
        <f>IFERROR(IFERROR(VLOOKUP(A190,TRAOPE!$A:$U,21,0),VLOOKUP(B190,TRAOPE!$A:$U,21,0)),"")</f>
        <v/>
      </c>
      <c r="R190" s="8">
        <f>IFERROR(IFERROR(VLOOKUP(A190,TRAOPE!$A:$W,23,0),VLOOKUP(B190,TRAOPE!$A:$W,23,0)),"")</f>
        <v/>
      </c>
      <c r="S190" s="10">
        <f>IF(AND(P190="TN",R190="TN"),N190+N(O190),IF(G190&amp;""="1",N(K190)*N190,(N190+N(O190))*N(K190)))</f>
        <v/>
      </c>
      <c r="T190" s="10">
        <f>IF(Q190="","",Q190-S190)</f>
        <v/>
      </c>
    </row>
    <row r="191">
      <c r="A191" s="7">
        <f>CONCATENATE(C191,E191,F191,I191)</f>
        <v/>
      </c>
      <c r="B191" s="7">
        <f>CONCATENATE(C191,E191,I191)</f>
        <v/>
      </c>
      <c r="C191" s="8" t="n">
        <v>900008104</v>
      </c>
      <c r="D191" s="7">
        <f>IFERROR(VLOOKUP(C191,TRAOPE!$G:$H,2,0),"")</f>
        <v/>
      </c>
      <c r="E191" s="8" t="inlineStr">
        <is>
          <t>DW83</t>
        </is>
      </c>
      <c r="F191" s="8" t="inlineStr">
        <is>
          <t>DE03</t>
        </is>
      </c>
      <c r="G191" s="8">
        <f>IFERROR(VLOOKUP(A191,Flete!$A:$E,5,0),"")</f>
        <v/>
      </c>
      <c r="H191" s="7">
        <f>IFERROR(VLOOKUP(F191,TRAOPE!$AA:$AB,2,0),"")</f>
        <v/>
      </c>
      <c r="I191" s="7" t="n">
        <v>10000388</v>
      </c>
      <c r="J191" s="7">
        <f>IFERROR(VLOOKUP(I191,Materiales!$A:$H,8,0),"")</f>
        <v/>
      </c>
      <c r="K191" s="9">
        <f>IFERROR(VLOOKUP(I191,Materiales!$A:$G,7,0),"")</f>
        <v/>
      </c>
      <c r="L191" s="8" t="inlineStr">
        <is>
          <t>20230301</t>
        </is>
      </c>
      <c r="M191" s="8" t="inlineStr">
        <is>
          <t>20250129</t>
        </is>
      </c>
      <c r="N191" s="10" t="n">
        <v>229.39</v>
      </c>
      <c r="O191" s="10">
        <f>IFERROR(VLOOKUP(A191,Flete!$A:$J,10,0),"")</f>
        <v/>
      </c>
      <c r="P191" s="8" t="inlineStr">
        <is>
          <t>TN</t>
        </is>
      </c>
      <c r="Q191" s="10">
        <f>IFERROR(IFERROR(VLOOKUP(A191,TRAOPE!$A:$U,21,0),VLOOKUP(B191,TRAOPE!$A:$U,21,0)),"")</f>
        <v/>
      </c>
      <c r="R191" s="8">
        <f>IFERROR(IFERROR(VLOOKUP(A191,TRAOPE!$A:$W,23,0),VLOOKUP(B191,TRAOPE!$A:$W,23,0)),"")</f>
        <v/>
      </c>
      <c r="S191" s="10">
        <f>IF(AND(P191="TN",R191="TN"),N191+N(O191),IF(G191&amp;""="1",N(K191)*N191,(N191+N(O191))*N(K191)))</f>
        <v/>
      </c>
      <c r="T191" s="10">
        <f>IF(Q191="","",Q191-S191)</f>
        <v/>
      </c>
    </row>
    <row r="192">
      <c r="A192" s="7">
        <f>CONCATENATE(C192,E192,F192,I192)</f>
        <v/>
      </c>
      <c r="B192" s="7">
        <f>CONCATENATE(C192,E192,I192)</f>
        <v/>
      </c>
      <c r="C192" s="8" t="n">
        <v>900008104</v>
      </c>
      <c r="D192" s="7">
        <f>IFERROR(VLOOKUP(C192,TRAOPE!$G:$H,2,0),"")</f>
        <v/>
      </c>
      <c r="E192" s="8" t="inlineStr">
        <is>
          <t>DW83</t>
        </is>
      </c>
      <c r="F192" s="8" t="inlineStr">
        <is>
          <t>DE03</t>
        </is>
      </c>
      <c r="G192" s="8">
        <f>IFERROR(VLOOKUP(A192,Flete!$A:$E,5,0),"")</f>
        <v/>
      </c>
      <c r="H192" s="7">
        <f>IFERROR(VLOOKUP(F192,TRAOPE!$AA:$AB,2,0),"")</f>
        <v/>
      </c>
      <c r="I192" s="7" t="n">
        <v>10004258</v>
      </c>
      <c r="J192" s="7">
        <f>IFERROR(VLOOKUP(I192,Materiales!$A:$H,8,0),"")</f>
        <v/>
      </c>
      <c r="K192" s="9">
        <f>IFERROR(VLOOKUP(I192,Materiales!$A:$G,7,0),"")</f>
        <v/>
      </c>
      <c r="L192" s="8" t="inlineStr">
        <is>
          <t>20230301</t>
        </is>
      </c>
      <c r="M192" s="8" t="inlineStr">
        <is>
          <t>20250129</t>
        </is>
      </c>
      <c r="N192" s="10" t="n">
        <v>209.15</v>
      </c>
      <c r="O192" s="10">
        <f>IFERROR(VLOOKUP(A192,Flete!$A:$J,10,0),"")</f>
        <v/>
      </c>
      <c r="P192" s="8" t="inlineStr">
        <is>
          <t>TN</t>
        </is>
      </c>
      <c r="Q192" s="10">
        <f>IFERROR(IFERROR(VLOOKUP(A192,TRAOPE!$A:$U,21,0),VLOOKUP(B192,TRAOPE!$A:$U,21,0)),"")</f>
        <v/>
      </c>
      <c r="R192" s="8">
        <f>IFERROR(IFERROR(VLOOKUP(A192,TRAOPE!$A:$W,23,0),VLOOKUP(B192,TRAOPE!$A:$W,23,0)),"")</f>
        <v/>
      </c>
      <c r="S192" s="10">
        <f>IF(AND(P192="TN",R192="TN"),N192+N(O192),IF(G192&amp;""="1",N(K192)*N192,(N192+N(O192))*N(K192)))</f>
        <v/>
      </c>
      <c r="T192" s="10">
        <f>IF(Q192="","",Q192-S192)</f>
        <v/>
      </c>
    </row>
    <row r="193">
      <c r="A193" s="7">
        <f>CONCATENATE(C193,E193,F193,I193)</f>
        <v/>
      </c>
      <c r="B193" s="7">
        <f>CONCATENATE(C193,E193,I193)</f>
        <v/>
      </c>
      <c r="C193" s="8" t="n">
        <v>900008141</v>
      </c>
      <c r="D193" s="7">
        <f>IFERROR(VLOOKUP(C193,TRAOPE!$G:$H,2,0),"")</f>
        <v/>
      </c>
      <c r="E193" s="8" t="inlineStr">
        <is>
          <t>DW83</t>
        </is>
      </c>
      <c r="F193" s="8" t="inlineStr">
        <is>
          <t>D033</t>
        </is>
      </c>
      <c r="G193" s="8">
        <f>IFERROR(VLOOKUP(A193,Flete!$A:$E,5,0),"")</f>
        <v/>
      </c>
      <c r="H193" s="7">
        <f>IFERROR(VLOOKUP(F193,TRAOPE!$AA:$AB,2,0),"")</f>
        <v/>
      </c>
      <c r="I193" s="7" t="n">
        <v>10000332</v>
      </c>
      <c r="J193" s="7">
        <f>IFERROR(VLOOKUP(I193,Materiales!$A:$H,8,0),"")</f>
        <v/>
      </c>
      <c r="K193" s="9">
        <f>IFERROR(VLOOKUP(I193,Materiales!$A:$G,7,0),"")</f>
        <v/>
      </c>
      <c r="L193" s="8" t="inlineStr">
        <is>
          <t>20240307</t>
        </is>
      </c>
      <c r="M193" s="8" t="inlineStr">
        <is>
          <t>99991231</t>
        </is>
      </c>
      <c r="N193" s="10" t="n">
        <v>312.5</v>
      </c>
      <c r="O193" s="10">
        <f>IFERROR(VLOOKUP(A193,Flete!$A:$J,10,0),"")</f>
        <v/>
      </c>
      <c r="P193" s="8" t="inlineStr">
        <is>
          <t>TN</t>
        </is>
      </c>
      <c r="Q193" s="10">
        <f>IFERROR(IFERROR(VLOOKUP(A193,TRAOPE!$A:$U,21,0),VLOOKUP(B193,TRAOPE!$A:$U,21,0)),"")</f>
        <v/>
      </c>
      <c r="R193" s="8">
        <f>IFERROR(IFERROR(VLOOKUP(A193,TRAOPE!$A:$W,23,0),VLOOKUP(B193,TRAOPE!$A:$W,23,0)),"")</f>
        <v/>
      </c>
      <c r="S193" s="10">
        <f>IF(AND(P193="TN",R193="TN"),N193+N(O193),IF(G193&amp;""="1",N(K193)*N193,(N193+N(O193))*N(K193)))</f>
        <v/>
      </c>
      <c r="T193" s="10">
        <f>IF(Q193="","",Q193-S193)</f>
        <v/>
      </c>
    </row>
    <row r="194">
      <c r="A194" s="7">
        <f>CONCATENATE(C194,E194,F194,I194)</f>
        <v/>
      </c>
      <c r="B194" s="7">
        <f>CONCATENATE(C194,E194,I194)</f>
        <v/>
      </c>
      <c r="C194" s="8" t="n">
        <v>900008141</v>
      </c>
      <c r="D194" s="7">
        <f>IFERROR(VLOOKUP(C194,TRAOPE!$G:$H,2,0),"")</f>
        <v/>
      </c>
      <c r="E194" s="8" t="inlineStr">
        <is>
          <t>DW83</t>
        </is>
      </c>
      <c r="F194" s="8" t="inlineStr">
        <is>
          <t>D215</t>
        </is>
      </c>
      <c r="G194" s="8">
        <f>IFERROR(VLOOKUP(A194,Flete!$A:$E,5,0),"")</f>
        <v/>
      </c>
      <c r="H194" s="7">
        <f>IFERROR(VLOOKUP(F194,TRAOPE!$AA:$AB,2,0),"")</f>
        <v/>
      </c>
      <c r="I194" s="7" t="n">
        <v>10000332</v>
      </c>
      <c r="J194" s="7">
        <f>IFERROR(VLOOKUP(I194,Materiales!$A:$H,8,0),"")</f>
        <v/>
      </c>
      <c r="K194" s="9">
        <f>IFERROR(VLOOKUP(I194,Materiales!$A:$G,7,0),"")</f>
        <v/>
      </c>
      <c r="L194" s="8" t="inlineStr">
        <is>
          <t>20240307</t>
        </is>
      </c>
      <c r="M194" s="8" t="inlineStr">
        <is>
          <t>99991231</t>
        </is>
      </c>
      <c r="N194" s="10" t="n">
        <v>312.5</v>
      </c>
      <c r="O194" s="10">
        <f>IFERROR(VLOOKUP(A194,Flete!$A:$J,10,0),"")</f>
        <v/>
      </c>
      <c r="P194" s="8" t="inlineStr">
        <is>
          <t>TN</t>
        </is>
      </c>
      <c r="Q194" s="10">
        <f>IFERROR(IFERROR(VLOOKUP(A194,TRAOPE!$A:$U,21,0),VLOOKUP(B194,TRAOPE!$A:$U,21,0)),"")</f>
        <v/>
      </c>
      <c r="R194" s="8">
        <f>IFERROR(IFERROR(VLOOKUP(A194,TRAOPE!$A:$W,23,0),VLOOKUP(B194,TRAOPE!$A:$W,23,0)),"")</f>
        <v/>
      </c>
      <c r="S194" s="10">
        <f>IF(AND(P194="TN",R194="TN"),N194+N(O194),IF(G194&amp;""="1",N(K194)*N194,(N194+N(O194))*N(K194)))</f>
        <v/>
      </c>
      <c r="T194" s="10">
        <f>IF(Q194="","",Q194-S194)</f>
        <v/>
      </c>
    </row>
    <row r="195">
      <c r="A195" s="7">
        <f>CONCATENATE(C195,E195,F195,I195)</f>
        <v/>
      </c>
      <c r="B195" s="7">
        <f>CONCATENATE(C195,E195,I195)</f>
        <v/>
      </c>
      <c r="C195" s="8" t="n">
        <v>900008141</v>
      </c>
      <c r="D195" s="7">
        <f>IFERROR(VLOOKUP(C195,TRAOPE!$G:$H,2,0),"")</f>
        <v/>
      </c>
      <c r="E195" s="8" t="inlineStr">
        <is>
          <t>DW83</t>
        </is>
      </c>
      <c r="F195" s="8" t="inlineStr">
        <is>
          <t>D216</t>
        </is>
      </c>
      <c r="G195" s="8">
        <f>IFERROR(VLOOKUP(A195,Flete!$A:$E,5,0),"")</f>
        <v/>
      </c>
      <c r="H195" s="7">
        <f>IFERROR(VLOOKUP(F195,TRAOPE!$AA:$AB,2,0),"")</f>
        <v/>
      </c>
      <c r="I195" s="7" t="n">
        <v>10000320</v>
      </c>
      <c r="J195" s="7">
        <f>IFERROR(VLOOKUP(I195,Materiales!$A:$H,8,0),"")</f>
        <v/>
      </c>
      <c r="K195" s="9">
        <f>IFERROR(VLOOKUP(I195,Materiales!$A:$G,7,0),"")</f>
        <v/>
      </c>
      <c r="L195" s="8" t="inlineStr">
        <is>
          <t>20230417</t>
        </is>
      </c>
      <c r="M195" s="8" t="inlineStr">
        <is>
          <t>20230705</t>
        </is>
      </c>
      <c r="N195" s="10" t="n">
        <v>87.3</v>
      </c>
      <c r="O195" s="10">
        <f>IFERROR(VLOOKUP(A195,Flete!$A:$J,10,0),"")</f>
        <v/>
      </c>
      <c r="P195" s="8" t="inlineStr">
        <is>
          <t>TN</t>
        </is>
      </c>
      <c r="Q195" s="10">
        <f>IFERROR(IFERROR(VLOOKUP(A195,TRAOPE!$A:$U,21,0),VLOOKUP(B195,TRAOPE!$A:$U,21,0)),"")</f>
        <v/>
      </c>
      <c r="R195" s="8">
        <f>IFERROR(IFERROR(VLOOKUP(A195,TRAOPE!$A:$W,23,0),VLOOKUP(B195,TRAOPE!$A:$W,23,0)),"")</f>
        <v/>
      </c>
      <c r="S195" s="10">
        <f>IF(AND(P195="TN",R195="TN"),N195+N(O195),IF(G195&amp;""="1",N(K195)*N195,(N195+N(O195))*N(K195)))</f>
        <v/>
      </c>
      <c r="T195" s="10">
        <f>IF(Q195="","",Q195-S195)</f>
        <v/>
      </c>
    </row>
    <row r="196">
      <c r="A196" s="7">
        <f>CONCATENATE(C196,E196,F196,I196)</f>
        <v/>
      </c>
      <c r="B196" s="7">
        <f>CONCATENATE(C196,E196,I196)</f>
        <v/>
      </c>
      <c r="C196" s="8" t="n">
        <v>900008141</v>
      </c>
      <c r="D196" s="7">
        <f>IFERROR(VLOOKUP(C196,TRAOPE!$G:$H,2,0),"")</f>
        <v/>
      </c>
      <c r="E196" s="8" t="inlineStr">
        <is>
          <t>DW83</t>
        </is>
      </c>
      <c r="F196" s="8" t="inlineStr">
        <is>
          <t>D216</t>
        </is>
      </c>
      <c r="G196" s="8">
        <f>IFERROR(VLOOKUP(A196,Flete!$A:$E,5,0),"")</f>
        <v/>
      </c>
      <c r="H196" s="7">
        <f>IFERROR(VLOOKUP(F196,TRAOPE!$AA:$AB,2,0),"")</f>
        <v/>
      </c>
      <c r="I196" s="7" t="n">
        <v>10000332</v>
      </c>
      <c r="J196" s="7">
        <f>IFERROR(VLOOKUP(I196,Materiales!$A:$H,8,0),"")</f>
        <v/>
      </c>
      <c r="K196" s="9">
        <f>IFERROR(VLOOKUP(I196,Materiales!$A:$G,7,0),"")</f>
        <v/>
      </c>
      <c r="L196" s="8" t="inlineStr">
        <is>
          <t>20240118</t>
        </is>
      </c>
      <c r="M196" s="8" t="inlineStr">
        <is>
          <t>99991231</t>
        </is>
      </c>
      <c r="N196" s="10" t="n">
        <v>343.75</v>
      </c>
      <c r="O196" s="10">
        <f>IFERROR(VLOOKUP(A196,Flete!$A:$J,10,0),"")</f>
        <v/>
      </c>
      <c r="P196" s="8" t="inlineStr">
        <is>
          <t>TN</t>
        </is>
      </c>
      <c r="Q196" s="10">
        <f>IFERROR(IFERROR(VLOOKUP(A196,TRAOPE!$A:$U,21,0),VLOOKUP(B196,TRAOPE!$A:$U,21,0)),"")</f>
        <v/>
      </c>
      <c r="R196" s="8">
        <f>IFERROR(IFERROR(VLOOKUP(A196,TRAOPE!$A:$W,23,0),VLOOKUP(B196,TRAOPE!$A:$W,23,0)),"")</f>
        <v/>
      </c>
      <c r="S196" s="10">
        <f>IF(AND(P196="TN",R196="TN"),N196+N(O196),IF(G196&amp;""="1",N(K196)*N196,(N196+N(O196))*N(K196)))</f>
        <v/>
      </c>
      <c r="T196" s="10">
        <f>IF(Q196="","",Q196-S196)</f>
        <v/>
      </c>
    </row>
    <row r="197">
      <c r="A197" s="7">
        <f>CONCATENATE(C197,E197,F197,I197)</f>
        <v/>
      </c>
      <c r="B197" s="7">
        <f>CONCATENATE(C197,E197,I197)</f>
        <v/>
      </c>
      <c r="C197" s="8" t="n">
        <v>900008141</v>
      </c>
      <c r="D197" s="7">
        <f>IFERROR(VLOOKUP(C197,TRAOPE!$G:$H,2,0),"")</f>
        <v/>
      </c>
      <c r="E197" s="8" t="inlineStr">
        <is>
          <t>DW83</t>
        </is>
      </c>
      <c r="F197" s="8" t="inlineStr">
        <is>
          <t>D216</t>
        </is>
      </c>
      <c r="G197" s="8">
        <f>IFERROR(VLOOKUP(A197,Flete!$A:$E,5,0),"")</f>
        <v/>
      </c>
      <c r="H197" s="7">
        <f>IFERROR(VLOOKUP(F197,TRAOPE!$AA:$AB,2,0),"")</f>
        <v/>
      </c>
      <c r="I197" s="7" t="n">
        <v>10000377</v>
      </c>
      <c r="J197" s="7">
        <f>IFERROR(VLOOKUP(I197,Materiales!$A:$H,8,0),"")</f>
        <v/>
      </c>
      <c r="K197" s="9">
        <f>IFERROR(VLOOKUP(I197,Materiales!$A:$G,7,0),"")</f>
        <v/>
      </c>
      <c r="L197" s="8" t="inlineStr">
        <is>
          <t>20230602</t>
        </is>
      </c>
      <c r="M197" s="8" t="inlineStr">
        <is>
          <t>99991231</t>
        </is>
      </c>
      <c r="N197" s="10" t="n">
        <v>75.45</v>
      </c>
      <c r="O197" s="10">
        <f>IFERROR(VLOOKUP(A197,Flete!$A:$J,10,0),"")</f>
        <v/>
      </c>
      <c r="P197" s="8" t="inlineStr">
        <is>
          <t>TN</t>
        </is>
      </c>
      <c r="Q197" s="10">
        <f>IFERROR(IFERROR(VLOOKUP(A197,TRAOPE!$A:$U,21,0),VLOOKUP(B197,TRAOPE!$A:$U,21,0)),"")</f>
        <v/>
      </c>
      <c r="R197" s="8">
        <f>IFERROR(IFERROR(VLOOKUP(A197,TRAOPE!$A:$W,23,0),VLOOKUP(B197,TRAOPE!$A:$W,23,0)),"")</f>
        <v/>
      </c>
      <c r="S197" s="10">
        <f>IF(AND(P197="TN",R197="TN"),N197+N(O197),IF(G197&amp;""="1",N(K197)*N197,(N197+N(O197))*N(K197)))</f>
        <v/>
      </c>
      <c r="T197" s="10">
        <f>IF(Q197="","",Q197-S197)</f>
        <v/>
      </c>
    </row>
    <row r="198">
      <c r="A198" s="7">
        <f>CONCATENATE(C198,E198,F198,I198)</f>
        <v/>
      </c>
      <c r="B198" s="7">
        <f>CONCATENATE(C198,E198,I198)</f>
        <v/>
      </c>
      <c r="C198" s="8" t="n">
        <v>900008141</v>
      </c>
      <c r="D198" s="7">
        <f>IFERROR(VLOOKUP(C198,TRAOPE!$G:$H,2,0),"")</f>
        <v/>
      </c>
      <c r="E198" s="8" t="inlineStr">
        <is>
          <t>DW83</t>
        </is>
      </c>
      <c r="F198" s="8" t="inlineStr">
        <is>
          <t>D216</t>
        </is>
      </c>
      <c r="G198" s="8">
        <f>IFERROR(VLOOKUP(A198,Flete!$A:$E,5,0),"")</f>
        <v/>
      </c>
      <c r="H198" s="7">
        <f>IFERROR(VLOOKUP(F198,TRAOPE!$AA:$AB,2,0),"")</f>
        <v/>
      </c>
      <c r="I198" s="7" t="n">
        <v>10000379</v>
      </c>
      <c r="J198" s="7">
        <f>IFERROR(VLOOKUP(I198,Materiales!$A:$H,8,0),"")</f>
        <v/>
      </c>
      <c r="K198" s="9">
        <f>IFERROR(VLOOKUP(I198,Materiales!$A:$G,7,0),"")</f>
        <v/>
      </c>
      <c r="L198" s="8" t="inlineStr">
        <is>
          <t>20230417</t>
        </is>
      </c>
      <c r="M198" s="8" t="inlineStr">
        <is>
          <t>99991231</t>
        </is>
      </c>
      <c r="N198" s="10" t="n">
        <v>119.23</v>
      </c>
      <c r="O198" s="10">
        <f>IFERROR(VLOOKUP(A198,Flete!$A:$J,10,0),"")</f>
        <v/>
      </c>
      <c r="P198" s="8" t="inlineStr">
        <is>
          <t>TN</t>
        </is>
      </c>
      <c r="Q198" s="10">
        <f>IFERROR(IFERROR(VLOOKUP(A198,TRAOPE!$A:$U,21,0),VLOOKUP(B198,TRAOPE!$A:$U,21,0)),"")</f>
        <v/>
      </c>
      <c r="R198" s="8">
        <f>IFERROR(IFERROR(VLOOKUP(A198,TRAOPE!$A:$W,23,0),VLOOKUP(B198,TRAOPE!$A:$W,23,0)),"")</f>
        <v/>
      </c>
      <c r="S198" s="10">
        <f>IF(AND(P198="TN",R198="TN"),N198+N(O198),IF(G198&amp;""="1",N(K198)*N198,(N198+N(O198))*N(K198)))</f>
        <v/>
      </c>
      <c r="T198" s="10">
        <f>IF(Q198="","",Q198-S198)</f>
        <v/>
      </c>
    </row>
    <row r="199">
      <c r="A199" s="7">
        <f>CONCATENATE(C199,E199,F199,I199)</f>
        <v/>
      </c>
      <c r="B199" s="7">
        <f>CONCATENATE(C199,E199,I199)</f>
        <v/>
      </c>
      <c r="C199" s="8" t="n">
        <v>900008141</v>
      </c>
      <c r="D199" s="7">
        <f>IFERROR(VLOOKUP(C199,TRAOPE!$G:$H,2,0),"")</f>
        <v/>
      </c>
      <c r="E199" s="8" t="inlineStr">
        <is>
          <t>DW83</t>
        </is>
      </c>
      <c r="F199" s="8" t="inlineStr">
        <is>
          <t>D216</t>
        </is>
      </c>
      <c r="G199" s="8">
        <f>IFERROR(VLOOKUP(A199,Flete!$A:$E,5,0),"")</f>
        <v/>
      </c>
      <c r="H199" s="7">
        <f>IFERROR(VLOOKUP(F199,TRAOPE!$AA:$AB,2,0),"")</f>
        <v/>
      </c>
      <c r="I199" s="7" t="n">
        <v>10000383</v>
      </c>
      <c r="J199" s="7">
        <f>IFERROR(VLOOKUP(I199,Materiales!$A:$H,8,0),"")</f>
        <v/>
      </c>
      <c r="K199" s="9">
        <f>IFERROR(VLOOKUP(I199,Materiales!$A:$G,7,0),"")</f>
        <v/>
      </c>
      <c r="L199" s="8" t="inlineStr">
        <is>
          <t>20230417</t>
        </is>
      </c>
      <c r="M199" s="8" t="inlineStr">
        <is>
          <t>99991231</t>
        </is>
      </c>
      <c r="N199" s="10" t="n">
        <v>125.46</v>
      </c>
      <c r="O199" s="10">
        <f>IFERROR(VLOOKUP(A199,Flete!$A:$J,10,0),"")</f>
        <v/>
      </c>
      <c r="P199" s="8" t="inlineStr">
        <is>
          <t>TN</t>
        </is>
      </c>
      <c r="Q199" s="10">
        <f>IFERROR(IFERROR(VLOOKUP(A199,TRAOPE!$A:$U,21,0),VLOOKUP(B199,TRAOPE!$A:$U,21,0)),"")</f>
        <v/>
      </c>
      <c r="R199" s="8">
        <f>IFERROR(IFERROR(VLOOKUP(A199,TRAOPE!$A:$W,23,0),VLOOKUP(B199,TRAOPE!$A:$W,23,0)),"")</f>
        <v/>
      </c>
      <c r="S199" s="10">
        <f>IF(AND(P199="TN",R199="TN"),N199+N(O199),IF(G199&amp;""="1",N(K199)*N199,(N199+N(O199))*N(K199)))</f>
        <v/>
      </c>
      <c r="T199" s="10">
        <f>IF(Q199="","",Q199-S199)</f>
        <v/>
      </c>
    </row>
    <row r="200">
      <c r="A200" s="7">
        <f>CONCATENATE(C200,E200,F200,I200)</f>
        <v/>
      </c>
      <c r="B200" s="7">
        <f>CONCATENATE(C200,E200,I200)</f>
        <v/>
      </c>
      <c r="C200" s="8" t="n">
        <v>900008141</v>
      </c>
      <c r="D200" s="7">
        <f>IFERROR(VLOOKUP(C200,TRAOPE!$G:$H,2,0),"")</f>
        <v/>
      </c>
      <c r="E200" s="8" t="inlineStr">
        <is>
          <t>DW83</t>
        </is>
      </c>
      <c r="F200" s="8" t="inlineStr">
        <is>
          <t>D216</t>
        </is>
      </c>
      <c r="G200" s="8">
        <f>IFERROR(VLOOKUP(A200,Flete!$A:$E,5,0),"")</f>
        <v/>
      </c>
      <c r="H200" s="7">
        <f>IFERROR(VLOOKUP(F200,TRAOPE!$AA:$AB,2,0),"")</f>
        <v/>
      </c>
      <c r="I200" s="7" t="n">
        <v>10000719</v>
      </c>
      <c r="J200" s="7">
        <f>IFERROR(VLOOKUP(I200,Materiales!$A:$H,8,0),"")</f>
        <v/>
      </c>
      <c r="K200" s="9">
        <f>IFERROR(VLOOKUP(I200,Materiales!$A:$G,7,0),"")</f>
        <v/>
      </c>
      <c r="L200" s="8" t="inlineStr">
        <is>
          <t>20230602</t>
        </is>
      </c>
      <c r="M200" s="8" t="inlineStr">
        <is>
          <t>99991231</t>
        </is>
      </c>
      <c r="N200" s="10" t="n">
        <v>110.96</v>
      </c>
      <c r="O200" s="10">
        <f>IFERROR(VLOOKUP(A200,Flete!$A:$J,10,0),"")</f>
        <v/>
      </c>
      <c r="P200" s="8" t="inlineStr">
        <is>
          <t>TN</t>
        </is>
      </c>
      <c r="Q200" s="10">
        <f>IFERROR(IFERROR(VLOOKUP(A200,TRAOPE!$A:$U,21,0),VLOOKUP(B200,TRAOPE!$A:$U,21,0)),"")</f>
        <v/>
      </c>
      <c r="R200" s="8">
        <f>IFERROR(IFERROR(VLOOKUP(A200,TRAOPE!$A:$W,23,0),VLOOKUP(B200,TRAOPE!$A:$W,23,0)),"")</f>
        <v/>
      </c>
      <c r="S200" s="10">
        <f>IF(AND(P200="TN",R200="TN"),N200+N(O200),IF(G200&amp;""="1",N(K200)*N200,(N200+N(O200))*N(K200)))</f>
        <v/>
      </c>
      <c r="T200" s="10">
        <f>IF(Q200="","",Q200-S200)</f>
        <v/>
      </c>
    </row>
    <row r="201">
      <c r="A201" s="7">
        <f>CONCATENATE(C201,E201,F201,I201)</f>
        <v/>
      </c>
      <c r="B201" s="7">
        <f>CONCATENATE(C201,E201,I201)</f>
        <v/>
      </c>
      <c r="C201" s="8" t="n">
        <v>900008141</v>
      </c>
      <c r="D201" s="7">
        <f>IFERROR(VLOOKUP(C201,TRAOPE!$G:$H,2,0),"")</f>
        <v/>
      </c>
      <c r="E201" s="8" t="inlineStr">
        <is>
          <t>DW83</t>
        </is>
      </c>
      <c r="F201" s="8" t="inlineStr">
        <is>
          <t>D216</t>
        </is>
      </c>
      <c r="G201" s="8">
        <f>IFERROR(VLOOKUP(A201,Flete!$A:$E,5,0),"")</f>
        <v/>
      </c>
      <c r="H201" s="7">
        <f>IFERROR(VLOOKUP(F201,TRAOPE!$AA:$AB,2,0),"")</f>
        <v/>
      </c>
      <c r="I201" s="7" t="n">
        <v>10192197</v>
      </c>
      <c r="J201" s="7">
        <f>IFERROR(VLOOKUP(I201,Materiales!$A:$H,8,0),"")</f>
        <v/>
      </c>
      <c r="K201" s="9">
        <f>IFERROR(VLOOKUP(I201,Materiales!$A:$G,7,0),"")</f>
        <v/>
      </c>
      <c r="L201" s="8" t="inlineStr">
        <is>
          <t>20230705</t>
        </is>
      </c>
      <c r="M201" s="8" t="inlineStr">
        <is>
          <t>99991231</t>
        </is>
      </c>
      <c r="N201" s="10" t="n">
        <v>91.48</v>
      </c>
      <c r="O201" s="10">
        <f>IFERROR(VLOOKUP(A201,Flete!$A:$J,10,0),"")</f>
        <v/>
      </c>
      <c r="P201" s="8" t="inlineStr">
        <is>
          <t>TN</t>
        </is>
      </c>
      <c r="Q201" s="10">
        <f>IFERROR(IFERROR(VLOOKUP(A201,TRAOPE!$A:$U,21,0),VLOOKUP(B201,TRAOPE!$A:$U,21,0)),"")</f>
        <v/>
      </c>
      <c r="R201" s="8">
        <f>IFERROR(IFERROR(VLOOKUP(A201,TRAOPE!$A:$W,23,0),VLOOKUP(B201,TRAOPE!$A:$W,23,0)),"")</f>
        <v/>
      </c>
      <c r="S201" s="10">
        <f>IF(AND(P201="TN",R201="TN"),N201+N(O201),IF(G201&amp;""="1",N(K201)*N201,(N201+N(O201))*N(K201)))</f>
        <v/>
      </c>
      <c r="T201" s="10">
        <f>IF(Q201="","",Q201-S201)</f>
        <v/>
      </c>
    </row>
    <row r="202">
      <c r="A202" s="7">
        <f>CONCATENATE(C202,E202,F202,I202)</f>
        <v/>
      </c>
      <c r="B202" s="7">
        <f>CONCATENATE(C202,E202,I202)</f>
        <v/>
      </c>
      <c r="C202" s="8" t="n">
        <v>900008141</v>
      </c>
      <c r="D202" s="7">
        <f>IFERROR(VLOOKUP(C202,TRAOPE!$G:$H,2,0),"")</f>
        <v/>
      </c>
      <c r="E202" s="8" t="inlineStr">
        <is>
          <t>DW83</t>
        </is>
      </c>
      <c r="F202" s="8" t="inlineStr">
        <is>
          <t>D243</t>
        </is>
      </c>
      <c r="G202" s="8">
        <f>IFERROR(VLOOKUP(A202,Flete!$A:$E,5,0),"")</f>
        <v/>
      </c>
      <c r="H202" s="7">
        <f>IFERROR(VLOOKUP(F202,TRAOPE!$AA:$AB,2,0),"")</f>
        <v/>
      </c>
      <c r="I202" s="7" t="n">
        <v>10000320</v>
      </c>
      <c r="J202" s="7">
        <f>IFERROR(VLOOKUP(I202,Materiales!$A:$H,8,0),"")</f>
        <v/>
      </c>
      <c r="K202" s="9">
        <f>IFERROR(VLOOKUP(I202,Materiales!$A:$G,7,0),"")</f>
        <v/>
      </c>
      <c r="L202" s="8" t="inlineStr">
        <is>
          <t>20230417</t>
        </is>
      </c>
      <c r="M202" s="8" t="inlineStr">
        <is>
          <t>20230705</t>
        </is>
      </c>
      <c r="N202" s="10" t="n">
        <v>87.3</v>
      </c>
      <c r="O202" s="10">
        <f>IFERROR(VLOOKUP(A202,Flete!$A:$J,10,0),"")</f>
        <v/>
      </c>
      <c r="P202" s="8" t="inlineStr">
        <is>
          <t>TN</t>
        </is>
      </c>
      <c r="Q202" s="10">
        <f>IFERROR(IFERROR(VLOOKUP(A202,TRAOPE!$A:$U,21,0),VLOOKUP(B202,TRAOPE!$A:$U,21,0)),"")</f>
        <v/>
      </c>
      <c r="R202" s="8">
        <f>IFERROR(IFERROR(VLOOKUP(A202,TRAOPE!$A:$W,23,0),VLOOKUP(B202,TRAOPE!$A:$W,23,0)),"")</f>
        <v/>
      </c>
      <c r="S202" s="10">
        <f>IF(AND(P202="TN",R202="TN"),N202+N(O202),IF(G202&amp;""="1",N(K202)*N202,(N202+N(O202))*N(K202)))</f>
        <v/>
      </c>
      <c r="T202" s="10">
        <f>IF(Q202="","",Q202-S202)</f>
        <v/>
      </c>
    </row>
    <row r="203">
      <c r="A203" s="7">
        <f>CONCATENATE(C203,E203,F203,I203)</f>
        <v/>
      </c>
      <c r="B203" s="7">
        <f>CONCATENATE(C203,E203,I203)</f>
        <v/>
      </c>
      <c r="C203" s="8" t="n">
        <v>900008141</v>
      </c>
      <c r="D203" s="7">
        <f>IFERROR(VLOOKUP(C203,TRAOPE!$G:$H,2,0),"")</f>
        <v/>
      </c>
      <c r="E203" s="8" t="inlineStr">
        <is>
          <t>DW83</t>
        </is>
      </c>
      <c r="F203" s="8" t="inlineStr">
        <is>
          <t>D243</t>
        </is>
      </c>
      <c r="G203" s="8">
        <f>IFERROR(VLOOKUP(A203,Flete!$A:$E,5,0),"")</f>
        <v/>
      </c>
      <c r="H203" s="7">
        <f>IFERROR(VLOOKUP(F203,TRAOPE!$AA:$AB,2,0),"")</f>
        <v/>
      </c>
      <c r="I203" s="7" t="n">
        <v>10000332</v>
      </c>
      <c r="J203" s="7">
        <f>IFERROR(VLOOKUP(I203,Materiales!$A:$H,8,0),"")</f>
        <v/>
      </c>
      <c r="K203" s="9">
        <f>IFERROR(VLOOKUP(I203,Materiales!$A:$G,7,0),"")</f>
        <v/>
      </c>
      <c r="L203" s="8" t="inlineStr">
        <is>
          <t>20230301</t>
        </is>
      </c>
      <c r="M203" s="8" t="inlineStr">
        <is>
          <t>20250129</t>
        </is>
      </c>
      <c r="N203" s="10" t="n">
        <v>267.86</v>
      </c>
      <c r="O203" s="10">
        <f>IFERROR(VLOOKUP(A203,Flete!$A:$J,10,0),"")</f>
        <v/>
      </c>
      <c r="P203" s="8" t="inlineStr">
        <is>
          <t>TN</t>
        </is>
      </c>
      <c r="Q203" s="10">
        <f>IFERROR(IFERROR(VLOOKUP(A203,TRAOPE!$A:$U,21,0),VLOOKUP(B203,TRAOPE!$A:$U,21,0)),"")</f>
        <v/>
      </c>
      <c r="R203" s="8">
        <f>IFERROR(IFERROR(VLOOKUP(A203,TRAOPE!$A:$W,23,0),VLOOKUP(B203,TRAOPE!$A:$W,23,0)),"")</f>
        <v/>
      </c>
      <c r="S203" s="10">
        <f>IF(AND(P203="TN",R203="TN"),N203+N(O203),IF(G203&amp;""="1",N(K203)*N203,(N203+N(O203))*N(K203)))</f>
        <v/>
      </c>
      <c r="T203" s="10">
        <f>IF(Q203="","",Q203-S203)</f>
        <v/>
      </c>
    </row>
    <row r="204">
      <c r="A204" s="7">
        <f>CONCATENATE(C204,E204,F204,I204)</f>
        <v/>
      </c>
      <c r="B204" s="7">
        <f>CONCATENATE(C204,E204,I204)</f>
        <v/>
      </c>
      <c r="C204" s="8" t="n">
        <v>900008141</v>
      </c>
      <c r="D204" s="7">
        <f>IFERROR(VLOOKUP(C204,TRAOPE!$G:$H,2,0),"")</f>
        <v/>
      </c>
      <c r="E204" s="8" t="inlineStr">
        <is>
          <t>DW83</t>
        </is>
      </c>
      <c r="F204" s="8" t="inlineStr">
        <is>
          <t>D243</t>
        </is>
      </c>
      <c r="G204" s="8">
        <f>IFERROR(VLOOKUP(A204,Flete!$A:$E,5,0),"")</f>
        <v/>
      </c>
      <c r="H204" s="7">
        <f>IFERROR(VLOOKUP(F204,TRAOPE!$AA:$AB,2,0),"")</f>
        <v/>
      </c>
      <c r="I204" s="7" t="n">
        <v>10000377</v>
      </c>
      <c r="J204" s="7">
        <f>IFERROR(VLOOKUP(I204,Materiales!$A:$H,8,0),"")</f>
        <v/>
      </c>
      <c r="K204" s="9">
        <f>IFERROR(VLOOKUP(I204,Materiales!$A:$G,7,0),"")</f>
        <v/>
      </c>
      <c r="L204" s="8" t="inlineStr">
        <is>
          <t>20250214</t>
        </is>
      </c>
      <c r="M204" s="8" t="inlineStr">
        <is>
          <t>99991231</t>
        </is>
      </c>
      <c r="N204" s="10" t="n">
        <v>123.46</v>
      </c>
      <c r="O204" s="10">
        <f>IFERROR(VLOOKUP(A204,Flete!$A:$J,10,0),"")</f>
        <v/>
      </c>
      <c r="P204" s="8" t="inlineStr">
        <is>
          <t>TN</t>
        </is>
      </c>
      <c r="Q204" s="10">
        <f>IFERROR(IFERROR(VLOOKUP(A204,TRAOPE!$A:$U,21,0),VLOOKUP(B204,TRAOPE!$A:$U,21,0)),"")</f>
        <v/>
      </c>
      <c r="R204" s="8">
        <f>IFERROR(IFERROR(VLOOKUP(A204,TRAOPE!$A:$W,23,0),VLOOKUP(B204,TRAOPE!$A:$W,23,0)),"")</f>
        <v/>
      </c>
      <c r="S204" s="10">
        <f>IF(AND(P204="TN",R204="TN"),N204+N(O204),IF(G204&amp;""="1",N(K204)*N204,(N204+N(O204))*N(K204)))</f>
        <v/>
      </c>
      <c r="T204" s="10">
        <f>IF(Q204="","",Q204-S204)</f>
        <v/>
      </c>
    </row>
    <row r="205">
      <c r="A205" s="7">
        <f>CONCATENATE(C205,E205,F205,I205)</f>
        <v/>
      </c>
      <c r="B205" s="7">
        <f>CONCATENATE(C205,E205,I205)</f>
        <v/>
      </c>
      <c r="C205" s="8" t="n">
        <v>900008141</v>
      </c>
      <c r="D205" s="7">
        <f>IFERROR(VLOOKUP(C205,TRAOPE!$G:$H,2,0),"")</f>
        <v/>
      </c>
      <c r="E205" s="8" t="inlineStr">
        <is>
          <t>DW83</t>
        </is>
      </c>
      <c r="F205" s="8" t="inlineStr">
        <is>
          <t>D243</t>
        </is>
      </c>
      <c r="G205" s="8">
        <f>IFERROR(VLOOKUP(A205,Flete!$A:$E,5,0),"")</f>
        <v/>
      </c>
      <c r="H205" s="7">
        <f>IFERROR(VLOOKUP(F205,TRAOPE!$AA:$AB,2,0),"")</f>
        <v/>
      </c>
      <c r="I205" s="7" t="n">
        <v>10000379</v>
      </c>
      <c r="J205" s="7">
        <f>IFERROR(VLOOKUP(I205,Materiales!$A:$H,8,0),"")</f>
        <v/>
      </c>
      <c r="K205" s="9">
        <f>IFERROR(VLOOKUP(I205,Materiales!$A:$G,7,0),"")</f>
        <v/>
      </c>
      <c r="L205" s="8" t="inlineStr">
        <is>
          <t>20250214</t>
        </is>
      </c>
      <c r="M205" s="8" t="inlineStr">
        <is>
          <t>99991231</t>
        </is>
      </c>
      <c r="N205" s="10" t="n">
        <v>125.87</v>
      </c>
      <c r="O205" s="10">
        <f>IFERROR(VLOOKUP(A205,Flete!$A:$J,10,0),"")</f>
        <v/>
      </c>
      <c r="P205" s="8" t="inlineStr">
        <is>
          <t>TN</t>
        </is>
      </c>
      <c r="Q205" s="10">
        <f>IFERROR(IFERROR(VLOOKUP(A205,TRAOPE!$A:$U,21,0),VLOOKUP(B205,TRAOPE!$A:$U,21,0)),"")</f>
        <v/>
      </c>
      <c r="R205" s="8">
        <f>IFERROR(IFERROR(VLOOKUP(A205,TRAOPE!$A:$W,23,0),VLOOKUP(B205,TRAOPE!$A:$W,23,0)),"")</f>
        <v/>
      </c>
      <c r="S205" s="10">
        <f>IF(AND(P205="TN",R205="TN"),N205+N(O205),IF(G205&amp;""="1",N(K205)*N205,(N205+N(O205))*N(K205)))</f>
        <v/>
      </c>
      <c r="T205" s="10">
        <f>IF(Q205="","",Q205-S205)</f>
        <v/>
      </c>
    </row>
    <row r="206">
      <c r="A206" s="7">
        <f>CONCATENATE(C206,E206,F206,I206)</f>
        <v/>
      </c>
      <c r="B206" s="7">
        <f>CONCATENATE(C206,E206,I206)</f>
        <v/>
      </c>
      <c r="C206" s="8" t="n">
        <v>900008141</v>
      </c>
      <c r="D206" s="7">
        <f>IFERROR(VLOOKUP(C206,TRAOPE!$G:$H,2,0),"")</f>
        <v/>
      </c>
      <c r="E206" s="8" t="inlineStr">
        <is>
          <t>DW83</t>
        </is>
      </c>
      <c r="F206" s="8" t="inlineStr">
        <is>
          <t>D243</t>
        </is>
      </c>
      <c r="G206" s="8">
        <f>IFERROR(VLOOKUP(A206,Flete!$A:$E,5,0),"")</f>
        <v/>
      </c>
      <c r="H206" s="7">
        <f>IFERROR(VLOOKUP(F206,TRAOPE!$AA:$AB,2,0),"")</f>
        <v/>
      </c>
      <c r="I206" s="7" t="n">
        <v>10000383</v>
      </c>
      <c r="J206" s="7">
        <f>IFERROR(VLOOKUP(I206,Materiales!$A:$H,8,0),"")</f>
        <v/>
      </c>
      <c r="K206" s="9">
        <f>IFERROR(VLOOKUP(I206,Materiales!$A:$G,7,0),"")</f>
        <v/>
      </c>
      <c r="L206" s="8" t="inlineStr">
        <is>
          <t>20250214</t>
        </is>
      </c>
      <c r="M206" s="8" t="inlineStr">
        <is>
          <t>99991231</t>
        </is>
      </c>
      <c r="N206" s="10" t="n">
        <v>132.45</v>
      </c>
      <c r="O206" s="10">
        <f>IFERROR(VLOOKUP(A206,Flete!$A:$J,10,0),"")</f>
        <v/>
      </c>
      <c r="P206" s="8" t="inlineStr">
        <is>
          <t>TN</t>
        </is>
      </c>
      <c r="Q206" s="10">
        <f>IFERROR(IFERROR(VLOOKUP(A206,TRAOPE!$A:$U,21,0),VLOOKUP(B206,TRAOPE!$A:$U,21,0)),"")</f>
        <v/>
      </c>
      <c r="R206" s="8">
        <f>IFERROR(IFERROR(VLOOKUP(A206,TRAOPE!$A:$W,23,0),VLOOKUP(B206,TRAOPE!$A:$W,23,0)),"")</f>
        <v/>
      </c>
      <c r="S206" s="10">
        <f>IF(AND(P206="TN",R206="TN"),N206+N(O206),IF(G206&amp;""="1",N(K206)*N206,(N206+N(O206))*N(K206)))</f>
        <v/>
      </c>
      <c r="T206" s="10">
        <f>IF(Q206="","",Q206-S206)</f>
        <v/>
      </c>
    </row>
    <row r="207">
      <c r="A207" s="7">
        <f>CONCATENATE(C207,E207,F207,I207)</f>
        <v/>
      </c>
      <c r="B207" s="7">
        <f>CONCATENATE(C207,E207,I207)</f>
        <v/>
      </c>
      <c r="C207" s="8" t="n">
        <v>900008141</v>
      </c>
      <c r="D207" s="7">
        <f>IFERROR(VLOOKUP(C207,TRAOPE!$G:$H,2,0),"")</f>
        <v/>
      </c>
      <c r="E207" s="8" t="inlineStr">
        <is>
          <t>DW83</t>
        </is>
      </c>
      <c r="F207" s="8" t="inlineStr">
        <is>
          <t>D243</t>
        </is>
      </c>
      <c r="G207" s="8">
        <f>IFERROR(VLOOKUP(A207,Flete!$A:$E,5,0),"")</f>
        <v/>
      </c>
      <c r="H207" s="7">
        <f>IFERROR(VLOOKUP(F207,TRAOPE!$AA:$AB,2,0),"")</f>
        <v/>
      </c>
      <c r="I207" s="7" t="n">
        <v>10000719</v>
      </c>
      <c r="J207" s="7">
        <f>IFERROR(VLOOKUP(I207,Materiales!$A:$H,8,0),"")</f>
        <v/>
      </c>
      <c r="K207" s="9">
        <f>IFERROR(VLOOKUP(I207,Materiales!$A:$G,7,0),"")</f>
        <v/>
      </c>
      <c r="L207" s="8" t="inlineStr">
        <is>
          <t>20250214</t>
        </is>
      </c>
      <c r="M207" s="8" t="inlineStr">
        <is>
          <t>99991231</t>
        </is>
      </c>
      <c r="N207" s="10" t="n">
        <v>117.89</v>
      </c>
      <c r="O207" s="10">
        <f>IFERROR(VLOOKUP(A207,Flete!$A:$J,10,0),"")</f>
        <v/>
      </c>
      <c r="P207" s="8" t="inlineStr">
        <is>
          <t>TN</t>
        </is>
      </c>
      <c r="Q207" s="10">
        <f>IFERROR(IFERROR(VLOOKUP(A207,TRAOPE!$A:$U,21,0),VLOOKUP(B207,TRAOPE!$A:$U,21,0)),"")</f>
        <v/>
      </c>
      <c r="R207" s="8">
        <f>IFERROR(IFERROR(VLOOKUP(A207,TRAOPE!$A:$W,23,0),VLOOKUP(B207,TRAOPE!$A:$W,23,0)),"")</f>
        <v/>
      </c>
      <c r="S207" s="10">
        <f>IF(AND(P207="TN",R207="TN"),N207+N(O207),IF(G207&amp;""="1",N(K207)*N207,(N207+N(O207))*N(K207)))</f>
        <v/>
      </c>
      <c r="T207" s="10">
        <f>IF(Q207="","",Q207-S207)</f>
        <v/>
      </c>
    </row>
    <row r="208">
      <c r="A208" s="7">
        <f>CONCATENATE(C208,E208,F208,I208)</f>
        <v/>
      </c>
      <c r="B208" s="7">
        <f>CONCATENATE(C208,E208,I208)</f>
        <v/>
      </c>
      <c r="C208" s="8" t="n">
        <v>900008141</v>
      </c>
      <c r="D208" s="7">
        <f>IFERROR(VLOOKUP(C208,TRAOPE!$G:$H,2,0),"")</f>
        <v/>
      </c>
      <c r="E208" s="8" t="inlineStr">
        <is>
          <t>DW83</t>
        </is>
      </c>
      <c r="F208" s="8" t="inlineStr">
        <is>
          <t>D243</t>
        </is>
      </c>
      <c r="G208" s="8">
        <f>IFERROR(VLOOKUP(A208,Flete!$A:$E,5,0),"")</f>
        <v/>
      </c>
      <c r="H208" s="7">
        <f>IFERROR(VLOOKUP(F208,TRAOPE!$AA:$AB,2,0),"")</f>
        <v/>
      </c>
      <c r="I208" s="7" t="n">
        <v>10192197</v>
      </c>
      <c r="J208" s="7">
        <f>IFERROR(VLOOKUP(I208,Materiales!$A:$H,8,0),"")</f>
        <v/>
      </c>
      <c r="K208" s="9">
        <f>IFERROR(VLOOKUP(I208,Materiales!$A:$G,7,0),"")</f>
        <v/>
      </c>
      <c r="L208" s="8" t="inlineStr">
        <is>
          <t>20250214</t>
        </is>
      </c>
      <c r="M208" s="8" t="inlineStr">
        <is>
          <t>99991231</t>
        </is>
      </c>
      <c r="N208" s="10" t="n">
        <v>117.81</v>
      </c>
      <c r="O208" s="10">
        <f>IFERROR(VLOOKUP(A208,Flete!$A:$J,10,0),"")</f>
        <v/>
      </c>
      <c r="P208" s="8" t="inlineStr">
        <is>
          <t>TN</t>
        </is>
      </c>
      <c r="Q208" s="10">
        <f>IFERROR(IFERROR(VLOOKUP(A208,TRAOPE!$A:$U,21,0),VLOOKUP(B208,TRAOPE!$A:$U,21,0)),"")</f>
        <v/>
      </c>
      <c r="R208" s="8">
        <f>IFERROR(IFERROR(VLOOKUP(A208,TRAOPE!$A:$W,23,0),VLOOKUP(B208,TRAOPE!$A:$W,23,0)),"")</f>
        <v/>
      </c>
      <c r="S208" s="10">
        <f>IF(AND(P208="TN",R208="TN"),N208+N(O208),IF(G208&amp;""="1",N(K208)*N208,(N208+N(O208))*N(K208)))</f>
        <v/>
      </c>
      <c r="T208" s="10">
        <f>IF(Q208="","",Q208-S208)</f>
        <v/>
      </c>
    </row>
    <row r="209">
      <c r="A209" s="7">
        <f>CONCATENATE(C209,E209,F209,I209)</f>
        <v/>
      </c>
      <c r="B209" s="7">
        <f>CONCATENATE(C209,E209,I209)</f>
        <v/>
      </c>
      <c r="C209" s="8" t="n">
        <v>900008141</v>
      </c>
      <c r="D209" s="7">
        <f>IFERROR(VLOOKUP(C209,TRAOPE!$G:$H,2,0),"")</f>
        <v/>
      </c>
      <c r="E209" s="8" t="inlineStr">
        <is>
          <t>DW83</t>
        </is>
      </c>
      <c r="F209" s="8" t="inlineStr">
        <is>
          <t>D386</t>
        </is>
      </c>
      <c r="G209" s="8">
        <f>IFERROR(VLOOKUP(A209,Flete!$A:$E,5,0),"")</f>
        <v/>
      </c>
      <c r="H209" s="7">
        <f>IFERROR(VLOOKUP(F209,TRAOPE!$AA:$AB,2,0),"")</f>
        <v/>
      </c>
      <c r="I209" s="7" t="n">
        <v>10000332</v>
      </c>
      <c r="J209" s="7">
        <f>IFERROR(VLOOKUP(I209,Materiales!$A:$H,8,0),"")</f>
        <v/>
      </c>
      <c r="K209" s="9">
        <f>IFERROR(VLOOKUP(I209,Materiales!$A:$G,7,0),"")</f>
        <v/>
      </c>
      <c r="L209" s="8" t="inlineStr">
        <is>
          <t>20240307</t>
        </is>
      </c>
      <c r="M209" s="8" t="inlineStr">
        <is>
          <t>99991231</t>
        </is>
      </c>
      <c r="N209" s="10" t="n">
        <v>312.5</v>
      </c>
      <c r="O209" s="10">
        <f>IFERROR(VLOOKUP(A209,Flete!$A:$J,10,0),"")</f>
        <v/>
      </c>
      <c r="P209" s="8" t="inlineStr">
        <is>
          <t>TN</t>
        </is>
      </c>
      <c r="Q209" s="10">
        <f>IFERROR(IFERROR(VLOOKUP(A209,TRAOPE!$A:$U,21,0),VLOOKUP(B209,TRAOPE!$A:$U,21,0)),"")</f>
        <v/>
      </c>
      <c r="R209" s="8">
        <f>IFERROR(IFERROR(VLOOKUP(A209,TRAOPE!$A:$W,23,0),VLOOKUP(B209,TRAOPE!$A:$W,23,0)),"")</f>
        <v/>
      </c>
      <c r="S209" s="10">
        <f>IF(AND(P209="TN",R209="TN"),N209+N(O209),IF(G209&amp;""="1",N(K209)*N209,(N209+N(O209))*N(K209)))</f>
        <v/>
      </c>
      <c r="T209" s="10">
        <f>IF(Q209="","",Q209-S209)</f>
        <v/>
      </c>
    </row>
    <row r="210">
      <c r="A210" s="7">
        <f>CONCATENATE(C210,E210,F210,I210)</f>
        <v/>
      </c>
      <c r="B210" s="7">
        <f>CONCATENATE(C210,E210,I210)</f>
        <v/>
      </c>
      <c r="C210" s="8" t="n">
        <v>900008141</v>
      </c>
      <c r="D210" s="7">
        <f>IFERROR(VLOOKUP(C210,TRAOPE!$G:$H,2,0),"")</f>
        <v/>
      </c>
      <c r="E210" s="8" t="inlineStr">
        <is>
          <t>DW83</t>
        </is>
      </c>
      <c r="F210" s="8" t="inlineStr">
        <is>
          <t>D557</t>
        </is>
      </c>
      <c r="G210" s="8">
        <f>IFERROR(VLOOKUP(A210,Flete!$A:$E,5,0),"")</f>
        <v/>
      </c>
      <c r="H210" s="7">
        <f>IFERROR(VLOOKUP(F210,TRAOPE!$AA:$AB,2,0),"")</f>
        <v/>
      </c>
      <c r="I210" s="7" t="n">
        <v>10000332</v>
      </c>
      <c r="J210" s="7">
        <f>IFERROR(VLOOKUP(I210,Materiales!$A:$H,8,0),"")</f>
        <v/>
      </c>
      <c r="K210" s="9">
        <f>IFERROR(VLOOKUP(I210,Materiales!$A:$G,7,0),"")</f>
        <v/>
      </c>
      <c r="L210" s="8" t="inlineStr">
        <is>
          <t>20240307</t>
        </is>
      </c>
      <c r="M210" s="8" t="inlineStr">
        <is>
          <t>99991231</t>
        </is>
      </c>
      <c r="N210" s="10" t="n">
        <v>312.5</v>
      </c>
      <c r="O210" s="10">
        <f>IFERROR(VLOOKUP(A210,Flete!$A:$J,10,0),"")</f>
        <v/>
      </c>
      <c r="P210" s="8" t="inlineStr">
        <is>
          <t>TN</t>
        </is>
      </c>
      <c r="Q210" s="10">
        <f>IFERROR(IFERROR(VLOOKUP(A210,TRAOPE!$A:$U,21,0),VLOOKUP(B210,TRAOPE!$A:$U,21,0)),"")</f>
        <v/>
      </c>
      <c r="R210" s="8">
        <f>IFERROR(IFERROR(VLOOKUP(A210,TRAOPE!$A:$W,23,0),VLOOKUP(B210,TRAOPE!$A:$W,23,0)),"")</f>
        <v/>
      </c>
      <c r="S210" s="10">
        <f>IF(AND(P210="TN",R210="TN"),N210+N(O210),IF(G210&amp;""="1",N(K210)*N210,(N210+N(O210))*N(K210)))</f>
        <v/>
      </c>
      <c r="T210" s="10">
        <f>IF(Q210="","",Q210-S210)</f>
        <v/>
      </c>
    </row>
    <row r="211">
      <c r="A211" s="7">
        <f>CONCATENATE(C211,E211,F211,I211)</f>
        <v/>
      </c>
      <c r="B211" s="7">
        <f>CONCATENATE(C211,E211,I211)</f>
        <v/>
      </c>
      <c r="C211" s="8" t="n">
        <v>900008907</v>
      </c>
      <c r="D211" s="7">
        <f>IFERROR(VLOOKUP(C211,TRAOPE!$G:$H,2,0),"")</f>
        <v/>
      </c>
      <c r="E211" s="8" t="inlineStr">
        <is>
          <t>DW83</t>
        </is>
      </c>
      <c r="F211" s="8" t="inlineStr">
        <is>
          <t>D216</t>
        </is>
      </c>
      <c r="G211" s="8">
        <f>IFERROR(VLOOKUP(A211,Flete!$A:$E,5,0),"")</f>
        <v/>
      </c>
      <c r="H211" s="7">
        <f>IFERROR(VLOOKUP(F211,TRAOPE!$AA:$AB,2,0),"")</f>
        <v/>
      </c>
      <c r="I211" s="7" t="n">
        <v>10000191</v>
      </c>
      <c r="J211" s="7">
        <f>IFERROR(VLOOKUP(I211,Materiales!$A:$H,8,0),"")</f>
        <v/>
      </c>
      <c r="K211" s="9">
        <f>IFERROR(VLOOKUP(I211,Materiales!$A:$G,7,0),"")</f>
        <v/>
      </c>
      <c r="L211" s="8" t="inlineStr">
        <is>
          <t>20260215</t>
        </is>
      </c>
      <c r="M211" s="8" t="inlineStr">
        <is>
          <t>99991231</t>
        </is>
      </c>
      <c r="N211" s="10" t="n">
        <v>238.3</v>
      </c>
      <c r="O211" s="10">
        <f>IFERROR(VLOOKUP(A211,Flete!$A:$J,10,0),"")</f>
        <v/>
      </c>
      <c r="P211" s="8" t="inlineStr">
        <is>
          <t>TN</t>
        </is>
      </c>
      <c r="Q211" s="10">
        <f>IFERROR(IFERROR(VLOOKUP(A211,TRAOPE!$A:$U,21,0),VLOOKUP(B211,TRAOPE!$A:$U,21,0)),"")</f>
        <v/>
      </c>
      <c r="R211" s="8">
        <f>IFERROR(IFERROR(VLOOKUP(A211,TRAOPE!$A:$W,23,0),VLOOKUP(B211,TRAOPE!$A:$W,23,0)),"")</f>
        <v/>
      </c>
      <c r="S211" s="10">
        <f>IF(AND(P211="TN",R211="TN"),N211+N(O211),IF(G211&amp;""="1",N(K211)*N211,(N211+N(O211))*N(K211)))</f>
        <v/>
      </c>
      <c r="T211" s="10">
        <f>IF(Q211="","",Q211-S211)</f>
        <v/>
      </c>
    </row>
    <row r="212">
      <c r="A212" s="7">
        <f>CONCATENATE(C212,E212,F212,I212)</f>
        <v/>
      </c>
      <c r="B212" s="7">
        <f>CONCATENATE(C212,E212,I212)</f>
        <v/>
      </c>
      <c r="C212" s="8" t="n">
        <v>900008907</v>
      </c>
      <c r="D212" s="7">
        <f>IFERROR(VLOOKUP(C212,TRAOPE!$G:$H,2,0),"")</f>
        <v/>
      </c>
      <c r="E212" s="8" t="inlineStr">
        <is>
          <t>DW83</t>
        </is>
      </c>
      <c r="F212" s="8" t="inlineStr">
        <is>
          <t>D216</t>
        </is>
      </c>
      <c r="G212" s="8">
        <f>IFERROR(VLOOKUP(A212,Flete!$A:$E,5,0),"")</f>
        <v/>
      </c>
      <c r="H212" s="7">
        <f>IFERROR(VLOOKUP(F212,TRAOPE!$AA:$AB,2,0),"")</f>
        <v/>
      </c>
      <c r="I212" s="7" t="n">
        <v>10069534</v>
      </c>
      <c r="J212" s="7">
        <f>IFERROR(VLOOKUP(I212,Materiales!$A:$H,8,0),"")</f>
        <v/>
      </c>
      <c r="K212" s="9">
        <f>IFERROR(VLOOKUP(I212,Materiales!$A:$G,7,0),"")</f>
        <v/>
      </c>
      <c r="L212" s="8" t="inlineStr">
        <is>
          <t>20260215</t>
        </is>
      </c>
      <c r="M212" s="8" t="inlineStr">
        <is>
          <t>99991231</t>
        </is>
      </c>
      <c r="N212" s="10" t="n">
        <v>203.27</v>
      </c>
      <c r="O212" s="10">
        <f>IFERROR(VLOOKUP(A212,Flete!$A:$J,10,0),"")</f>
        <v/>
      </c>
      <c r="P212" s="8" t="inlineStr">
        <is>
          <t>TN</t>
        </is>
      </c>
      <c r="Q212" s="10">
        <f>IFERROR(IFERROR(VLOOKUP(A212,TRAOPE!$A:$U,21,0),VLOOKUP(B212,TRAOPE!$A:$U,21,0)),"")</f>
        <v/>
      </c>
      <c r="R212" s="8">
        <f>IFERROR(IFERROR(VLOOKUP(A212,TRAOPE!$A:$W,23,0),VLOOKUP(B212,TRAOPE!$A:$W,23,0)),"")</f>
        <v/>
      </c>
      <c r="S212" s="10">
        <f>IF(AND(P212="TN",R212="TN"),N212+N(O212),IF(G212&amp;""="1",N(K212)*N212,(N212+N(O212))*N(K212)))</f>
        <v/>
      </c>
      <c r="T212" s="10">
        <f>IF(Q212="","",Q212-S212)</f>
        <v/>
      </c>
    </row>
    <row r="213">
      <c r="A213" s="7">
        <f>CONCATENATE(C213,E213,F213,I213)</f>
        <v/>
      </c>
      <c r="B213" s="7">
        <f>CONCATENATE(C213,E213,I213)</f>
        <v/>
      </c>
      <c r="C213" s="8" t="n">
        <v>900008907</v>
      </c>
      <c r="D213" s="7">
        <f>IFERROR(VLOOKUP(C213,TRAOPE!$G:$H,2,0),"")</f>
        <v/>
      </c>
      <c r="E213" s="8" t="inlineStr">
        <is>
          <t>DW83</t>
        </is>
      </c>
      <c r="F213" s="8" t="inlineStr">
        <is>
          <t>D243</t>
        </is>
      </c>
      <c r="G213" s="8">
        <f>IFERROR(VLOOKUP(A213,Flete!$A:$E,5,0),"")</f>
        <v/>
      </c>
      <c r="H213" s="7">
        <f>IFERROR(VLOOKUP(F213,TRAOPE!$AA:$AB,2,0),"")</f>
        <v/>
      </c>
      <c r="I213" s="7" t="n">
        <v>10000191</v>
      </c>
      <c r="J213" s="7">
        <f>IFERROR(VLOOKUP(I213,Materiales!$A:$H,8,0),"")</f>
        <v/>
      </c>
      <c r="K213" s="9">
        <f>IFERROR(VLOOKUP(I213,Materiales!$A:$G,7,0),"")</f>
        <v/>
      </c>
      <c r="L213" s="8" t="inlineStr">
        <is>
          <t>20260215</t>
        </is>
      </c>
      <c r="M213" s="8" t="inlineStr">
        <is>
          <t>99991231</t>
        </is>
      </c>
      <c r="N213" s="10" t="n">
        <v>238.3</v>
      </c>
      <c r="O213" s="10">
        <f>IFERROR(VLOOKUP(A213,Flete!$A:$J,10,0),"")</f>
        <v/>
      </c>
      <c r="P213" s="8" t="inlineStr">
        <is>
          <t>TN</t>
        </is>
      </c>
      <c r="Q213" s="10">
        <f>IFERROR(IFERROR(VLOOKUP(A213,TRAOPE!$A:$U,21,0),VLOOKUP(B213,TRAOPE!$A:$U,21,0)),"")</f>
        <v/>
      </c>
      <c r="R213" s="8">
        <f>IFERROR(IFERROR(VLOOKUP(A213,TRAOPE!$A:$W,23,0),VLOOKUP(B213,TRAOPE!$A:$W,23,0)),"")</f>
        <v/>
      </c>
      <c r="S213" s="10">
        <f>IF(AND(P213="TN",R213="TN"),N213+N(O213),IF(G213&amp;""="1",N(K213)*N213,(N213+N(O213))*N(K213)))</f>
        <v/>
      </c>
      <c r="T213" s="10">
        <f>IF(Q213="","",Q213-S213)</f>
        <v/>
      </c>
    </row>
    <row r="214">
      <c r="A214" s="7">
        <f>CONCATENATE(C214,E214,F214,I214)</f>
        <v/>
      </c>
      <c r="B214" s="7">
        <f>CONCATENATE(C214,E214,I214)</f>
        <v/>
      </c>
      <c r="C214" s="8" t="n">
        <v>900008907</v>
      </c>
      <c r="D214" s="7">
        <f>IFERROR(VLOOKUP(C214,TRAOPE!$G:$H,2,0),"")</f>
        <v/>
      </c>
      <c r="E214" s="8" t="inlineStr">
        <is>
          <t>DW83</t>
        </is>
      </c>
      <c r="F214" s="8" t="inlineStr">
        <is>
          <t>D243</t>
        </is>
      </c>
      <c r="G214" s="8">
        <f>IFERROR(VLOOKUP(A214,Flete!$A:$E,5,0),"")</f>
        <v/>
      </c>
      <c r="H214" s="7">
        <f>IFERROR(VLOOKUP(F214,TRAOPE!$AA:$AB,2,0),"")</f>
        <v/>
      </c>
      <c r="I214" s="7" t="n">
        <v>10069534</v>
      </c>
      <c r="J214" s="7">
        <f>IFERROR(VLOOKUP(I214,Materiales!$A:$H,8,0),"")</f>
        <v/>
      </c>
      <c r="K214" s="9">
        <f>IFERROR(VLOOKUP(I214,Materiales!$A:$G,7,0),"")</f>
        <v/>
      </c>
      <c r="L214" s="8" t="inlineStr">
        <is>
          <t>20260215</t>
        </is>
      </c>
      <c r="M214" s="8" t="inlineStr">
        <is>
          <t>99991231</t>
        </is>
      </c>
      <c r="N214" s="10" t="n">
        <v>203.27</v>
      </c>
      <c r="O214" s="10">
        <f>IFERROR(VLOOKUP(A214,Flete!$A:$J,10,0),"")</f>
        <v/>
      </c>
      <c r="P214" s="8" t="inlineStr">
        <is>
          <t>TN</t>
        </is>
      </c>
      <c r="Q214" s="10">
        <f>IFERROR(IFERROR(VLOOKUP(A214,TRAOPE!$A:$U,21,0),VLOOKUP(B214,TRAOPE!$A:$U,21,0)),"")</f>
        <v/>
      </c>
      <c r="R214" s="8">
        <f>IFERROR(IFERROR(VLOOKUP(A214,TRAOPE!$A:$W,23,0),VLOOKUP(B214,TRAOPE!$A:$W,23,0)),"")</f>
        <v/>
      </c>
      <c r="S214" s="10">
        <f>IF(AND(P214="TN",R214="TN"),N214+N(O214),IF(G214&amp;""="1",N(K214)*N214,(N214+N(O214))*N(K214)))</f>
        <v/>
      </c>
      <c r="T214" s="10">
        <f>IF(Q214="","",Q214-S214)</f>
        <v/>
      </c>
    </row>
    <row r="215">
      <c r="A215" s="7">
        <f>CONCATENATE(C215,E215,F215,I215)</f>
        <v/>
      </c>
      <c r="B215" s="7">
        <f>CONCATENATE(C215,E215,I215)</f>
        <v/>
      </c>
      <c r="C215" s="8" t="n">
        <v>900009274</v>
      </c>
      <c r="D215" s="7">
        <f>IFERROR(VLOOKUP(C215,TRAOPE!$G:$H,2,0),"")</f>
        <v/>
      </c>
      <c r="E215" s="8" t="inlineStr">
        <is>
          <t>DW83</t>
        </is>
      </c>
      <c r="F215" s="8" t="inlineStr">
        <is>
          <t>D216</t>
        </is>
      </c>
      <c r="G215" s="8">
        <f>IFERROR(VLOOKUP(A215,Flete!$A:$E,5,0),"")</f>
        <v/>
      </c>
      <c r="H215" s="7">
        <f>IFERROR(VLOOKUP(F215,TRAOPE!$AA:$AB,2,0),"")</f>
        <v/>
      </c>
      <c r="I215" s="7" t="n">
        <v>10000437</v>
      </c>
      <c r="J215" s="7">
        <f>IFERROR(VLOOKUP(I215,Materiales!$A:$H,8,0),"")</f>
        <v/>
      </c>
      <c r="K215" s="9">
        <f>IFERROR(VLOOKUP(I215,Materiales!$A:$G,7,0),"")</f>
        <v/>
      </c>
      <c r="L215" s="8" t="inlineStr">
        <is>
          <t>20250701</t>
        </is>
      </c>
      <c r="M215" s="8" t="inlineStr">
        <is>
          <t>99991231</t>
        </is>
      </c>
      <c r="N215" s="10" t="n">
        <v>232.56</v>
      </c>
      <c r="O215" s="10">
        <f>IFERROR(VLOOKUP(A215,Flete!$A:$J,10,0),"")</f>
        <v/>
      </c>
      <c r="P215" s="8" t="inlineStr">
        <is>
          <t>TN</t>
        </is>
      </c>
      <c r="Q215" s="10">
        <f>IFERROR(IFERROR(VLOOKUP(A215,TRAOPE!$A:$U,21,0),VLOOKUP(B215,TRAOPE!$A:$U,21,0)),"")</f>
        <v/>
      </c>
      <c r="R215" s="8">
        <f>IFERROR(IFERROR(VLOOKUP(A215,TRAOPE!$A:$W,23,0),VLOOKUP(B215,TRAOPE!$A:$W,23,0)),"")</f>
        <v/>
      </c>
      <c r="S215" s="10">
        <f>IF(AND(P215="TN",R215="TN"),N215+N(O215),IF(G215&amp;""="1",N(K215)*N215,(N215+N(O215))*N(K215)))</f>
        <v/>
      </c>
      <c r="T215" s="10">
        <f>IF(Q215="","",Q215-S215)</f>
        <v/>
      </c>
    </row>
    <row r="216">
      <c r="A216" s="7">
        <f>CONCATENATE(C216,E216,F216,I216)</f>
        <v/>
      </c>
      <c r="B216" s="7">
        <f>CONCATENATE(C216,E216,I216)</f>
        <v/>
      </c>
      <c r="C216" s="8" t="n">
        <v>900009274</v>
      </c>
      <c r="D216" s="7">
        <f>IFERROR(VLOOKUP(C216,TRAOPE!$G:$H,2,0),"")</f>
        <v/>
      </c>
      <c r="E216" s="8" t="inlineStr">
        <is>
          <t>DW83</t>
        </is>
      </c>
      <c r="F216" s="8" t="inlineStr">
        <is>
          <t>D216</t>
        </is>
      </c>
      <c r="G216" s="8">
        <f>IFERROR(VLOOKUP(A216,Flete!$A:$E,5,0),"")</f>
        <v/>
      </c>
      <c r="H216" s="7">
        <f>IFERROR(VLOOKUP(F216,TRAOPE!$AA:$AB,2,0),"")</f>
        <v/>
      </c>
      <c r="I216" s="7" t="n">
        <v>10258539</v>
      </c>
      <c r="J216" s="7">
        <f>IFERROR(VLOOKUP(I216,Materiales!$A:$H,8,0),"")</f>
        <v/>
      </c>
      <c r="K216" s="9">
        <f>IFERROR(VLOOKUP(I216,Materiales!$A:$G,7,0),"")</f>
        <v/>
      </c>
      <c r="L216" s="8" t="inlineStr">
        <is>
          <t>20250701</t>
        </is>
      </c>
      <c r="M216" s="8" t="inlineStr">
        <is>
          <t>99991231</t>
        </is>
      </c>
      <c r="N216" s="10" t="n">
        <v>219.99</v>
      </c>
      <c r="O216" s="10">
        <f>IFERROR(VLOOKUP(A216,Flete!$A:$J,10,0),"")</f>
        <v/>
      </c>
      <c r="P216" s="8" t="inlineStr">
        <is>
          <t>TN</t>
        </is>
      </c>
      <c r="Q216" s="10">
        <f>IFERROR(IFERROR(VLOOKUP(A216,TRAOPE!$A:$U,21,0),VLOOKUP(B216,TRAOPE!$A:$U,21,0)),"")</f>
        <v/>
      </c>
      <c r="R216" s="8">
        <f>IFERROR(IFERROR(VLOOKUP(A216,TRAOPE!$A:$W,23,0),VLOOKUP(B216,TRAOPE!$A:$W,23,0)),"")</f>
        <v/>
      </c>
      <c r="S216" s="10">
        <f>IF(AND(P216="TN",R216="TN"),N216+N(O216),IF(G216&amp;""="1",N(K216)*N216,(N216+N(O216))*N(K216)))</f>
        <v/>
      </c>
      <c r="T216" s="10">
        <f>IF(Q216="","",Q216-S216)</f>
        <v/>
      </c>
    </row>
    <row r="217">
      <c r="A217" s="7">
        <f>CONCATENATE(C217,E217,F217,I217)</f>
        <v/>
      </c>
      <c r="B217" s="7">
        <f>CONCATENATE(C217,E217,I217)</f>
        <v/>
      </c>
      <c r="C217" s="8" t="n">
        <v>900009275</v>
      </c>
      <c r="D217" s="7">
        <f>IFERROR(VLOOKUP(C217,TRAOPE!$G:$H,2,0),"")</f>
        <v/>
      </c>
      <c r="E217" s="8" t="inlineStr">
        <is>
          <t>DW83</t>
        </is>
      </c>
      <c r="F217" s="8" t="inlineStr">
        <is>
          <t>D216</t>
        </is>
      </c>
      <c r="G217" s="8">
        <f>IFERROR(VLOOKUP(A217,Flete!$A:$E,5,0),"")</f>
        <v/>
      </c>
      <c r="H217" s="7">
        <f>IFERROR(VLOOKUP(F217,TRAOPE!$AA:$AB,2,0),"")</f>
        <v/>
      </c>
      <c r="I217" s="7" t="n">
        <v>10000437</v>
      </c>
      <c r="J217" s="7">
        <f>IFERROR(VLOOKUP(I217,Materiales!$A:$H,8,0),"")</f>
        <v/>
      </c>
      <c r="K217" s="9">
        <f>IFERROR(VLOOKUP(I217,Materiales!$A:$G,7,0),"")</f>
        <v/>
      </c>
      <c r="L217" s="8" t="inlineStr">
        <is>
          <t>20260605</t>
        </is>
      </c>
      <c r="M217" s="8" t="inlineStr">
        <is>
          <t>99991231</t>
        </is>
      </c>
      <c r="N217" s="10" t="n">
        <v>293.67</v>
      </c>
      <c r="O217" s="10">
        <f>IFERROR(VLOOKUP(A217,Flete!$A:$J,10,0),"")</f>
        <v/>
      </c>
      <c r="P217" s="8" t="inlineStr">
        <is>
          <t>TN</t>
        </is>
      </c>
      <c r="Q217" s="10">
        <f>IFERROR(IFERROR(VLOOKUP(A217,TRAOPE!$A:$U,21,0),VLOOKUP(B217,TRAOPE!$A:$U,21,0)),"")</f>
        <v/>
      </c>
      <c r="R217" s="8">
        <f>IFERROR(IFERROR(VLOOKUP(A217,TRAOPE!$A:$W,23,0),VLOOKUP(B217,TRAOPE!$A:$W,23,0)),"")</f>
        <v/>
      </c>
      <c r="S217" s="10">
        <f>IF(AND(P217="TN",R217="TN"),N217+N(O217),IF(G217&amp;""="1",N(K217)*N217,(N217+N(O217))*N(K217)))</f>
        <v/>
      </c>
      <c r="T217" s="10">
        <f>IF(Q217="","",Q217-S217)</f>
        <v/>
      </c>
    </row>
    <row r="218">
      <c r="A218" s="7">
        <f>CONCATENATE(C218,E218,F218,I218)</f>
        <v/>
      </c>
      <c r="B218" s="7">
        <f>CONCATENATE(C218,E218,I218)</f>
        <v/>
      </c>
      <c r="C218" s="8" t="n">
        <v>900009275</v>
      </c>
      <c r="D218" s="7">
        <f>IFERROR(VLOOKUP(C218,TRAOPE!$G:$H,2,0),"")</f>
        <v/>
      </c>
      <c r="E218" s="8" t="inlineStr">
        <is>
          <t>DW83</t>
        </is>
      </c>
      <c r="F218" s="8" t="inlineStr">
        <is>
          <t>D216</t>
        </is>
      </c>
      <c r="G218" s="8">
        <f>IFERROR(VLOOKUP(A218,Flete!$A:$E,5,0),"")</f>
        <v/>
      </c>
      <c r="H218" s="7">
        <f>IFERROR(VLOOKUP(F218,TRAOPE!$AA:$AB,2,0),"")</f>
        <v/>
      </c>
      <c r="I218" s="7" t="n">
        <v>10258539</v>
      </c>
      <c r="J218" s="7">
        <f>IFERROR(VLOOKUP(I218,Materiales!$A:$H,8,0),"")</f>
        <v/>
      </c>
      <c r="K218" s="9">
        <f>IFERROR(VLOOKUP(I218,Materiales!$A:$G,7,0),"")</f>
        <v/>
      </c>
      <c r="L218" s="8" t="inlineStr">
        <is>
          <t>20260605</t>
        </is>
      </c>
      <c r="M218" s="8" t="inlineStr">
        <is>
          <t>99991231</t>
        </is>
      </c>
      <c r="N218" s="10" t="n">
        <v>277.8</v>
      </c>
      <c r="O218" s="10">
        <f>IFERROR(VLOOKUP(A218,Flete!$A:$J,10,0),"")</f>
        <v/>
      </c>
      <c r="P218" s="8" t="inlineStr">
        <is>
          <t>TN</t>
        </is>
      </c>
      <c r="Q218" s="10">
        <f>IFERROR(IFERROR(VLOOKUP(A218,TRAOPE!$A:$U,21,0),VLOOKUP(B218,TRAOPE!$A:$U,21,0)),"")</f>
        <v/>
      </c>
      <c r="R218" s="8">
        <f>IFERROR(IFERROR(VLOOKUP(A218,TRAOPE!$A:$W,23,0),VLOOKUP(B218,TRAOPE!$A:$W,23,0)),"")</f>
        <v/>
      </c>
      <c r="S218" s="10">
        <f>IF(AND(P218="TN",R218="TN"),N218+N(O218),IF(G218&amp;""="1",N(K218)*N218,(N218+N(O218))*N(K218)))</f>
        <v/>
      </c>
      <c r="T218" s="10">
        <f>IF(Q218="","",Q218-S218)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900000045</t>
        </is>
      </c>
      <c r="B2" t="inlineStr">
        <is>
          <t>DW83</t>
        </is>
      </c>
      <c r="C2" t="inlineStr">
        <is>
          <t>D216</t>
        </is>
      </c>
      <c r="D2" t="inlineStr">
        <is>
          <t>10000377</t>
        </is>
      </c>
      <c r="E2" t="inlineStr"/>
      <c r="F2" s="11" t="n">
        <v>107.59</v>
      </c>
      <c r="G2" t="inlineStr"/>
      <c r="I2" t="inlineStr">
        <is>
          <t>TN</t>
        </is>
      </c>
      <c r="J2" t="inlineStr"/>
      <c r="K2" t="inlineStr">
        <is>
          <t>20210620</t>
        </is>
      </c>
      <c r="L2" t="inlineStr">
        <is>
          <t>20251031</t>
        </is>
      </c>
    </row>
    <row r="3">
      <c r="A3" t="inlineStr">
        <is>
          <t>900000045</t>
        </is>
      </c>
      <c r="B3" t="inlineStr">
        <is>
          <t>DW83</t>
        </is>
      </c>
      <c r="C3" t="inlineStr">
        <is>
          <t>D216</t>
        </is>
      </c>
      <c r="D3" t="inlineStr">
        <is>
          <t>10000379</t>
        </is>
      </c>
      <c r="E3" t="inlineStr"/>
      <c r="F3" s="11" t="n">
        <v>119.23</v>
      </c>
      <c r="G3" t="inlineStr"/>
      <c r="I3" t="inlineStr">
        <is>
          <t>TN</t>
        </is>
      </c>
      <c r="J3" t="inlineStr"/>
      <c r="K3" t="inlineStr">
        <is>
          <t>20210620</t>
        </is>
      </c>
      <c r="L3" t="inlineStr">
        <is>
          <t>20251031</t>
        </is>
      </c>
    </row>
    <row r="4">
      <c r="A4" t="inlineStr">
        <is>
          <t>900000045</t>
        </is>
      </c>
      <c r="B4" t="inlineStr">
        <is>
          <t>DW83</t>
        </is>
      </c>
      <c r="C4" t="inlineStr">
        <is>
          <t>D216</t>
        </is>
      </c>
      <c r="D4" t="inlineStr">
        <is>
          <t>10000381</t>
        </is>
      </c>
      <c r="E4" t="inlineStr"/>
      <c r="F4" s="11" t="n">
        <v>69.97</v>
      </c>
      <c r="G4" t="inlineStr"/>
      <c r="I4" t="inlineStr">
        <is>
          <t>TN</t>
        </is>
      </c>
      <c r="J4" t="inlineStr"/>
      <c r="K4" t="inlineStr">
        <is>
          <t>20210620</t>
        </is>
      </c>
      <c r="L4" t="inlineStr">
        <is>
          <t>20251031</t>
        </is>
      </c>
    </row>
    <row r="5">
      <c r="A5" t="inlineStr">
        <is>
          <t>900000045</t>
        </is>
      </c>
      <c r="B5" t="inlineStr">
        <is>
          <t>DW83</t>
        </is>
      </c>
      <c r="C5" t="inlineStr">
        <is>
          <t>D216</t>
        </is>
      </c>
      <c r="D5" t="inlineStr">
        <is>
          <t>10000719</t>
        </is>
      </c>
      <c r="E5" t="inlineStr"/>
      <c r="F5" s="11" t="n">
        <v>79.92</v>
      </c>
      <c r="G5" t="inlineStr"/>
      <c r="I5" t="inlineStr">
        <is>
          <t>TN</t>
        </is>
      </c>
      <c r="J5" t="inlineStr"/>
      <c r="K5" t="inlineStr">
        <is>
          <t>20210620</t>
        </is>
      </c>
      <c r="L5" t="inlineStr">
        <is>
          <t>20251031</t>
        </is>
      </c>
    </row>
    <row r="6">
      <c r="A6" t="inlineStr">
        <is>
          <t>900000045</t>
        </is>
      </c>
      <c r="B6" t="inlineStr">
        <is>
          <t>DW83</t>
        </is>
      </c>
      <c r="C6" t="inlineStr">
        <is>
          <t>D216</t>
        </is>
      </c>
      <c r="D6" t="inlineStr">
        <is>
          <t>10192197</t>
        </is>
      </c>
      <c r="E6" t="inlineStr"/>
      <c r="F6" s="11" t="n">
        <v>76.39</v>
      </c>
      <c r="G6" t="inlineStr"/>
      <c r="I6" t="inlineStr">
        <is>
          <t>TN</t>
        </is>
      </c>
      <c r="J6" t="inlineStr"/>
      <c r="K6" t="inlineStr">
        <is>
          <t>20210620</t>
        </is>
      </c>
      <c r="L6" t="inlineStr">
        <is>
          <t>20251031</t>
        </is>
      </c>
    </row>
    <row r="7">
      <c r="A7" t="inlineStr">
        <is>
          <t>900000045</t>
        </is>
      </c>
      <c r="B7" t="inlineStr">
        <is>
          <t>DW83</t>
        </is>
      </c>
      <c r="C7" t="inlineStr">
        <is>
          <t>D243</t>
        </is>
      </c>
      <c r="D7" t="inlineStr">
        <is>
          <t>10000379</t>
        </is>
      </c>
      <c r="E7" t="inlineStr"/>
      <c r="F7" s="11" t="n">
        <v>119.23</v>
      </c>
      <c r="G7" t="inlineStr"/>
      <c r="I7" t="inlineStr">
        <is>
          <t>TN</t>
        </is>
      </c>
      <c r="J7" t="inlineStr"/>
      <c r="K7" t="inlineStr">
        <is>
          <t>20230301</t>
        </is>
      </c>
      <c r="L7" t="inlineStr">
        <is>
          <t>20250129</t>
        </is>
      </c>
    </row>
    <row r="8">
      <c r="A8" t="inlineStr">
        <is>
          <t>900000045</t>
        </is>
      </c>
      <c r="B8" t="inlineStr">
        <is>
          <t>DW83</t>
        </is>
      </c>
      <c r="C8" t="inlineStr">
        <is>
          <t>D243</t>
        </is>
      </c>
      <c r="D8" t="inlineStr">
        <is>
          <t>10000719</t>
        </is>
      </c>
      <c r="E8" t="inlineStr"/>
      <c r="F8" s="11" t="n">
        <v>91.54000000000001</v>
      </c>
      <c r="G8" t="inlineStr"/>
      <c r="I8" t="inlineStr">
        <is>
          <t>TN</t>
        </is>
      </c>
      <c r="J8" t="inlineStr"/>
      <c r="K8" t="inlineStr">
        <is>
          <t>20230301</t>
        </is>
      </c>
      <c r="L8" t="inlineStr">
        <is>
          <t>20250129</t>
        </is>
      </c>
    </row>
    <row r="9">
      <c r="A9" t="inlineStr">
        <is>
          <t>900000045</t>
        </is>
      </c>
      <c r="B9" t="inlineStr">
        <is>
          <t>DW83</t>
        </is>
      </c>
      <c r="C9" t="inlineStr">
        <is>
          <t>D243</t>
        </is>
      </c>
      <c r="D9" t="inlineStr">
        <is>
          <t>10192197</t>
        </is>
      </c>
      <c r="E9" t="inlineStr"/>
      <c r="F9" s="11" t="n">
        <v>76.39</v>
      </c>
      <c r="G9" t="inlineStr"/>
      <c r="I9" t="inlineStr">
        <is>
          <t>TN</t>
        </is>
      </c>
      <c r="J9" t="inlineStr"/>
      <c r="K9" t="inlineStr">
        <is>
          <t>20230301</t>
        </is>
      </c>
      <c r="L9" t="inlineStr">
        <is>
          <t>20250129</t>
        </is>
      </c>
    </row>
    <row r="10">
      <c r="A10" t="inlineStr">
        <is>
          <t>900000045</t>
        </is>
      </c>
      <c r="B10" t="inlineStr">
        <is>
          <t>DW83</t>
        </is>
      </c>
      <c r="C10" t="inlineStr">
        <is>
          <t>D269</t>
        </is>
      </c>
      <c r="D10" t="inlineStr">
        <is>
          <t>10000332</t>
        </is>
      </c>
      <c r="E10" t="inlineStr"/>
      <c r="F10" s="11" t="n">
        <v>327.5</v>
      </c>
      <c r="G10" t="inlineStr"/>
      <c r="I10" t="inlineStr">
        <is>
          <t>TN</t>
        </is>
      </c>
      <c r="J10" t="inlineStr"/>
      <c r="K10" t="inlineStr">
        <is>
          <t>20230203</t>
        </is>
      </c>
      <c r="L10" t="inlineStr">
        <is>
          <t>20240201</t>
        </is>
      </c>
    </row>
    <row r="11">
      <c r="A11" t="inlineStr">
        <is>
          <t>900000045</t>
        </is>
      </c>
      <c r="B11" t="inlineStr">
        <is>
          <t>DW83</t>
        </is>
      </c>
      <c r="C11" t="inlineStr">
        <is>
          <t>D269</t>
        </is>
      </c>
      <c r="D11" t="inlineStr">
        <is>
          <t>10000377</t>
        </is>
      </c>
      <c r="E11" t="inlineStr"/>
      <c r="F11" s="11" t="n">
        <v>94.88</v>
      </c>
      <c r="G11" t="inlineStr"/>
      <c r="I11" t="inlineStr">
        <is>
          <t>TN</t>
        </is>
      </c>
      <c r="J11" t="inlineStr"/>
      <c r="K11" t="inlineStr">
        <is>
          <t>20260601</t>
        </is>
      </c>
      <c r="L11" t="inlineStr">
        <is>
          <t>99991231</t>
        </is>
      </c>
    </row>
    <row r="12">
      <c r="A12" t="inlineStr">
        <is>
          <t>900000045</t>
        </is>
      </c>
      <c r="B12" t="inlineStr">
        <is>
          <t>DW83</t>
        </is>
      </c>
      <c r="C12" t="inlineStr">
        <is>
          <t>D269</t>
        </is>
      </c>
      <c r="D12" t="inlineStr">
        <is>
          <t>10000379</t>
        </is>
      </c>
      <c r="E12" t="inlineStr"/>
      <c r="F12" s="11" t="n">
        <v>144.17</v>
      </c>
      <c r="G12" t="inlineStr"/>
      <c r="I12" t="inlineStr">
        <is>
          <t>TN</t>
        </is>
      </c>
      <c r="J12" t="inlineStr"/>
      <c r="K12" t="inlineStr">
        <is>
          <t>20260601</t>
        </is>
      </c>
      <c r="L12" t="inlineStr">
        <is>
          <t>99991231</t>
        </is>
      </c>
    </row>
    <row r="13">
      <c r="A13" t="inlineStr">
        <is>
          <t>900000045</t>
        </is>
      </c>
      <c r="B13" t="inlineStr">
        <is>
          <t>DW83</t>
        </is>
      </c>
      <c r="C13" t="inlineStr">
        <is>
          <t>D269</t>
        </is>
      </c>
      <c r="D13" t="inlineStr">
        <is>
          <t>10000381</t>
        </is>
      </c>
      <c r="E13" t="inlineStr"/>
      <c r="F13" s="11" t="n">
        <v>46.17</v>
      </c>
      <c r="G13" t="inlineStr"/>
      <c r="I13" t="inlineStr">
        <is>
          <t>TN</t>
        </is>
      </c>
      <c r="J13" t="inlineStr"/>
      <c r="K13" t="inlineStr">
        <is>
          <t>20230203</t>
        </is>
      </c>
      <c r="L13" t="inlineStr">
        <is>
          <t>20240201</t>
        </is>
      </c>
    </row>
    <row r="14">
      <c r="A14" t="inlineStr">
        <is>
          <t>900000045</t>
        </is>
      </c>
      <c r="B14" t="inlineStr">
        <is>
          <t>DW83</t>
        </is>
      </c>
      <c r="C14" t="inlineStr">
        <is>
          <t>D269</t>
        </is>
      </c>
      <c r="D14" t="inlineStr">
        <is>
          <t>10000383</t>
        </is>
      </c>
      <c r="E14" t="inlineStr"/>
      <c r="F14" s="11" t="n">
        <v>151.71</v>
      </c>
      <c r="G14" t="inlineStr"/>
      <c r="I14" t="inlineStr">
        <is>
          <t>TN</t>
        </is>
      </c>
      <c r="J14" t="inlineStr"/>
      <c r="K14" t="inlineStr">
        <is>
          <t>20260601</t>
        </is>
      </c>
      <c r="L14" t="inlineStr">
        <is>
          <t>99991231</t>
        </is>
      </c>
    </row>
    <row r="15">
      <c r="A15" t="inlineStr">
        <is>
          <t>900000045</t>
        </is>
      </c>
      <c r="B15" t="inlineStr">
        <is>
          <t>DW83</t>
        </is>
      </c>
      <c r="C15" t="inlineStr">
        <is>
          <t>D269</t>
        </is>
      </c>
      <c r="D15" t="inlineStr">
        <is>
          <t>10000719</t>
        </is>
      </c>
      <c r="E15" t="inlineStr"/>
      <c r="F15" s="11" t="n">
        <v>117.41</v>
      </c>
      <c r="G15" t="inlineStr"/>
      <c r="I15" t="inlineStr">
        <is>
          <t>TN</t>
        </is>
      </c>
      <c r="J15" t="inlineStr"/>
      <c r="K15" t="inlineStr">
        <is>
          <t>20260601</t>
        </is>
      </c>
      <c r="L15" t="inlineStr">
        <is>
          <t>99991231</t>
        </is>
      </c>
    </row>
    <row r="16">
      <c r="A16" t="inlineStr">
        <is>
          <t>900000045</t>
        </is>
      </c>
      <c r="B16" t="inlineStr">
        <is>
          <t>DW83</t>
        </is>
      </c>
      <c r="C16" t="inlineStr">
        <is>
          <t>D269</t>
        </is>
      </c>
      <c r="D16" t="inlineStr">
        <is>
          <t>10192197</t>
        </is>
      </c>
      <c r="E16" t="inlineStr"/>
      <c r="F16" s="11" t="n">
        <v>110.62</v>
      </c>
      <c r="G16" t="inlineStr"/>
      <c r="I16" t="inlineStr">
        <is>
          <t>TN</t>
        </is>
      </c>
      <c r="J16" t="inlineStr"/>
      <c r="K16" t="inlineStr">
        <is>
          <t>20260601</t>
        </is>
      </c>
      <c r="L16" t="inlineStr">
        <is>
          <t>99991231</t>
        </is>
      </c>
    </row>
    <row r="17">
      <c r="A17" t="inlineStr">
        <is>
          <t>900000050</t>
        </is>
      </c>
      <c r="B17" t="inlineStr">
        <is>
          <t>DW83</t>
        </is>
      </c>
      <c r="C17" t="inlineStr">
        <is>
          <t>D215</t>
        </is>
      </c>
      <c r="D17" t="inlineStr">
        <is>
          <t>10000332</t>
        </is>
      </c>
      <c r="E17" t="inlineStr"/>
      <c r="F17" s="11" t="n">
        <v>161.63</v>
      </c>
      <c r="G17" t="inlineStr"/>
      <c r="I17" t="inlineStr">
        <is>
          <t>TN</t>
        </is>
      </c>
      <c r="J17" t="inlineStr"/>
      <c r="K17" t="inlineStr">
        <is>
          <t>20220812</t>
        </is>
      </c>
      <c r="L17" t="inlineStr">
        <is>
          <t>20251031</t>
        </is>
      </c>
    </row>
    <row r="18">
      <c r="A18" t="inlineStr">
        <is>
          <t>900000050</t>
        </is>
      </c>
      <c r="B18" t="inlineStr">
        <is>
          <t>DW83</t>
        </is>
      </c>
      <c r="C18" t="inlineStr">
        <is>
          <t>D216</t>
        </is>
      </c>
      <c r="D18" t="inlineStr">
        <is>
          <t>10000237</t>
        </is>
      </c>
      <c r="E18" t="inlineStr"/>
      <c r="F18" s="11" t="n">
        <v>288.37</v>
      </c>
      <c r="G18" t="inlineStr"/>
      <c r="I18" t="inlineStr">
        <is>
          <t>TN</t>
        </is>
      </c>
      <c r="J18" t="inlineStr"/>
      <c r="K18" t="inlineStr">
        <is>
          <t>20220812</t>
        </is>
      </c>
      <c r="L18" t="inlineStr">
        <is>
          <t>20251031</t>
        </is>
      </c>
    </row>
    <row r="19">
      <c r="A19" t="inlineStr">
        <is>
          <t>900000050</t>
        </is>
      </c>
      <c r="B19" t="inlineStr">
        <is>
          <t>DW83</t>
        </is>
      </c>
      <c r="C19" t="inlineStr">
        <is>
          <t>D216</t>
        </is>
      </c>
      <c r="D19" t="inlineStr">
        <is>
          <t>10000318</t>
        </is>
      </c>
      <c r="E19" t="inlineStr"/>
      <c r="F19" s="11" t="n">
        <v>224.46</v>
      </c>
      <c r="G19" t="inlineStr"/>
      <c r="I19" t="inlineStr">
        <is>
          <t>TN</t>
        </is>
      </c>
      <c r="J19" t="inlineStr"/>
      <c r="K19" t="inlineStr">
        <is>
          <t>20220812</t>
        </is>
      </c>
      <c r="L19" t="inlineStr">
        <is>
          <t>20251031</t>
        </is>
      </c>
    </row>
    <row r="20">
      <c r="A20" t="inlineStr">
        <is>
          <t>900000050</t>
        </is>
      </c>
      <c r="B20" t="inlineStr">
        <is>
          <t>DW83</t>
        </is>
      </c>
      <c r="C20" t="inlineStr">
        <is>
          <t>D216</t>
        </is>
      </c>
      <c r="D20" t="inlineStr">
        <is>
          <t>10000320</t>
        </is>
      </c>
      <c r="E20" t="inlineStr"/>
      <c r="F20" s="11" t="n">
        <v>213.95</v>
      </c>
      <c r="G20" t="inlineStr"/>
      <c r="I20" t="inlineStr">
        <is>
          <t>TN</t>
        </is>
      </c>
      <c r="J20" t="inlineStr"/>
      <c r="K20" t="inlineStr">
        <is>
          <t>20220812</t>
        </is>
      </c>
      <c r="L20" t="inlineStr">
        <is>
          <t>20251031</t>
        </is>
      </c>
    </row>
    <row r="21">
      <c r="A21" t="inlineStr">
        <is>
          <t>900000050</t>
        </is>
      </c>
      <c r="B21" t="inlineStr">
        <is>
          <t>DW83</t>
        </is>
      </c>
      <c r="C21" t="inlineStr">
        <is>
          <t>D216</t>
        </is>
      </c>
      <c r="D21" t="inlineStr">
        <is>
          <t>10000332</t>
        </is>
      </c>
      <c r="E21" t="inlineStr"/>
      <c r="F21" s="11" t="n">
        <v>136.16</v>
      </c>
      <c r="G21" t="inlineStr"/>
      <c r="I21" t="inlineStr">
        <is>
          <t>TN</t>
        </is>
      </c>
      <c r="J21" t="inlineStr"/>
      <c r="K21" t="inlineStr">
        <is>
          <t>20220812</t>
        </is>
      </c>
      <c r="L21" t="inlineStr">
        <is>
          <t>20251031</t>
        </is>
      </c>
    </row>
    <row r="22">
      <c r="A22" t="inlineStr">
        <is>
          <t>900000050</t>
        </is>
      </c>
      <c r="B22" t="inlineStr">
        <is>
          <t>DW83</t>
        </is>
      </c>
      <c r="C22" t="inlineStr">
        <is>
          <t>D216</t>
        </is>
      </c>
      <c r="D22" t="inlineStr">
        <is>
          <t>10000554</t>
        </is>
      </c>
      <c r="E22" t="inlineStr"/>
      <c r="F22" s="11" t="n">
        <v>221.18</v>
      </c>
      <c r="G22" t="inlineStr"/>
      <c r="I22" t="inlineStr">
        <is>
          <t>TN</t>
        </is>
      </c>
      <c r="J22" t="inlineStr"/>
      <c r="K22" t="inlineStr">
        <is>
          <t>20220812</t>
        </is>
      </c>
      <c r="L22" t="inlineStr">
        <is>
          <t>20251031</t>
        </is>
      </c>
    </row>
    <row r="23">
      <c r="A23" t="inlineStr">
        <is>
          <t>900000050</t>
        </is>
      </c>
      <c r="B23" t="inlineStr">
        <is>
          <t>DW83</t>
        </is>
      </c>
      <c r="C23" t="inlineStr">
        <is>
          <t>D216</t>
        </is>
      </c>
      <c r="D23" t="inlineStr">
        <is>
          <t>10045015</t>
        </is>
      </c>
      <c r="E23" t="inlineStr"/>
      <c r="F23" s="11" t="n">
        <v>294.37</v>
      </c>
      <c r="G23" t="inlineStr"/>
      <c r="I23" t="inlineStr">
        <is>
          <t>TN</t>
        </is>
      </c>
      <c r="J23" t="inlineStr"/>
      <c r="K23" t="inlineStr">
        <is>
          <t>20220812</t>
        </is>
      </c>
      <c r="L23" t="inlineStr">
        <is>
          <t>20251031</t>
        </is>
      </c>
    </row>
    <row r="24">
      <c r="A24" t="inlineStr">
        <is>
          <t>900000050</t>
        </is>
      </c>
      <c r="B24" t="inlineStr">
        <is>
          <t>DW83</t>
        </is>
      </c>
      <c r="C24" t="inlineStr">
        <is>
          <t>D243</t>
        </is>
      </c>
      <c r="D24" t="inlineStr">
        <is>
          <t>10000237</t>
        </is>
      </c>
      <c r="E24" t="inlineStr"/>
      <c r="F24" s="11" t="n">
        <v>288.37</v>
      </c>
      <c r="G24" t="inlineStr"/>
      <c r="I24" t="inlineStr">
        <is>
          <t>TN</t>
        </is>
      </c>
      <c r="J24" t="inlineStr"/>
      <c r="K24" t="inlineStr">
        <is>
          <t>20230301</t>
        </is>
      </c>
      <c r="L24" t="inlineStr">
        <is>
          <t>20250129</t>
        </is>
      </c>
    </row>
    <row r="25">
      <c r="A25" t="inlineStr">
        <is>
          <t>900000050</t>
        </is>
      </c>
      <c r="B25" t="inlineStr">
        <is>
          <t>DW83</t>
        </is>
      </c>
      <c r="C25" t="inlineStr">
        <is>
          <t>D243</t>
        </is>
      </c>
      <c r="D25" t="inlineStr">
        <is>
          <t>10000318</t>
        </is>
      </c>
      <c r="E25" t="inlineStr"/>
      <c r="F25" s="11" t="n">
        <v>224.46</v>
      </c>
      <c r="G25" t="inlineStr"/>
      <c r="I25" t="inlineStr">
        <is>
          <t>TN</t>
        </is>
      </c>
      <c r="J25" t="inlineStr"/>
      <c r="K25" t="inlineStr">
        <is>
          <t>20230301</t>
        </is>
      </c>
      <c r="L25" t="inlineStr">
        <is>
          <t>20250129</t>
        </is>
      </c>
    </row>
    <row r="26">
      <c r="A26" t="inlineStr">
        <is>
          <t>900000050</t>
        </is>
      </c>
      <c r="B26" t="inlineStr">
        <is>
          <t>DW83</t>
        </is>
      </c>
      <c r="C26" t="inlineStr">
        <is>
          <t>D243</t>
        </is>
      </c>
      <c r="D26" t="inlineStr">
        <is>
          <t>10000320</t>
        </is>
      </c>
      <c r="E26" t="inlineStr"/>
      <c r="F26" s="11" t="n">
        <v>213.95</v>
      </c>
      <c r="G26" t="inlineStr"/>
      <c r="I26" t="inlineStr">
        <is>
          <t>TN</t>
        </is>
      </c>
      <c r="J26" t="inlineStr"/>
      <c r="K26" t="inlineStr">
        <is>
          <t>20230301</t>
        </is>
      </c>
      <c r="L26" t="inlineStr">
        <is>
          <t>20250129</t>
        </is>
      </c>
    </row>
    <row r="27">
      <c r="A27" t="inlineStr">
        <is>
          <t>900000050</t>
        </is>
      </c>
      <c r="B27" t="inlineStr">
        <is>
          <t>DW83</t>
        </is>
      </c>
      <c r="C27" t="inlineStr">
        <is>
          <t>D386</t>
        </is>
      </c>
      <c r="D27" t="inlineStr">
        <is>
          <t>10000332</t>
        </is>
      </c>
      <c r="E27" t="inlineStr"/>
      <c r="F27" s="11" t="n">
        <v>98.75</v>
      </c>
      <c r="G27" t="inlineStr"/>
      <c r="I27" t="inlineStr">
        <is>
          <t>TN</t>
        </is>
      </c>
      <c r="J27" t="inlineStr"/>
      <c r="K27" t="inlineStr">
        <is>
          <t>20220812</t>
        </is>
      </c>
      <c r="L27" t="inlineStr">
        <is>
          <t>20251031</t>
        </is>
      </c>
    </row>
    <row r="28">
      <c r="A28" t="inlineStr">
        <is>
          <t>900000050</t>
        </is>
      </c>
      <c r="B28" t="inlineStr">
        <is>
          <t>DW83</t>
        </is>
      </c>
      <c r="C28" t="inlineStr">
        <is>
          <t>DE03</t>
        </is>
      </c>
      <c r="D28" t="inlineStr">
        <is>
          <t>10000320</t>
        </is>
      </c>
      <c r="E28" t="inlineStr"/>
      <c r="F28" s="11" t="n">
        <v>147.83</v>
      </c>
      <c r="G28" t="inlineStr"/>
      <c r="I28" t="inlineStr">
        <is>
          <t>TN</t>
        </is>
      </c>
      <c r="J28" t="inlineStr"/>
      <c r="K28" t="inlineStr">
        <is>
          <t>20230301</t>
        </is>
      </c>
      <c r="L28" t="inlineStr">
        <is>
          <t>20250129</t>
        </is>
      </c>
    </row>
    <row r="29">
      <c r="A29" t="inlineStr">
        <is>
          <t>900000434</t>
        </is>
      </c>
      <c r="B29" t="inlineStr">
        <is>
          <t>DW83</t>
        </is>
      </c>
      <c r="C29" t="inlineStr">
        <is>
          <t>D033</t>
        </is>
      </c>
      <c r="D29" t="inlineStr">
        <is>
          <t>10000377</t>
        </is>
      </c>
      <c r="E29" t="inlineStr"/>
      <c r="F29" s="11" t="n">
        <v>78.45999999999999</v>
      </c>
      <c r="G29" t="inlineStr"/>
      <c r="I29" t="inlineStr">
        <is>
          <t>TN</t>
        </is>
      </c>
      <c r="J29" t="inlineStr"/>
      <c r="K29" t="inlineStr">
        <is>
          <t>20230301</t>
        </is>
      </c>
      <c r="L29" t="inlineStr">
        <is>
          <t>20251031</t>
        </is>
      </c>
    </row>
    <row r="30">
      <c r="A30" t="inlineStr">
        <is>
          <t>900000434</t>
        </is>
      </c>
      <c r="B30" t="inlineStr">
        <is>
          <t>DW83</t>
        </is>
      </c>
      <c r="C30" t="inlineStr">
        <is>
          <t>D033</t>
        </is>
      </c>
      <c r="D30" t="inlineStr">
        <is>
          <t>10000379</t>
        </is>
      </c>
      <c r="E30" t="inlineStr"/>
      <c r="F30" s="11" t="n">
        <v>139.56</v>
      </c>
      <c r="G30" t="inlineStr"/>
      <c r="I30" t="inlineStr">
        <is>
          <t>TN</t>
        </is>
      </c>
      <c r="J30" t="inlineStr"/>
      <c r="K30" t="inlineStr">
        <is>
          <t>20260601</t>
        </is>
      </c>
      <c r="L30" t="inlineStr">
        <is>
          <t>99991231</t>
        </is>
      </c>
    </row>
    <row r="31">
      <c r="A31" t="inlineStr">
        <is>
          <t>900000434</t>
        </is>
      </c>
      <c r="B31" t="inlineStr">
        <is>
          <t>DW83</t>
        </is>
      </c>
      <c r="C31" t="inlineStr">
        <is>
          <t>D033</t>
        </is>
      </c>
      <c r="D31" t="inlineStr">
        <is>
          <t>10000383</t>
        </is>
      </c>
      <c r="E31" t="inlineStr"/>
      <c r="F31" s="11" t="n">
        <v>146.85</v>
      </c>
      <c r="G31" t="inlineStr"/>
      <c r="I31" t="inlineStr">
        <is>
          <t>TN</t>
        </is>
      </c>
      <c r="J31" t="inlineStr"/>
      <c r="K31" t="inlineStr">
        <is>
          <t>20260601</t>
        </is>
      </c>
      <c r="L31" t="inlineStr">
        <is>
          <t>99991231</t>
        </is>
      </c>
    </row>
    <row r="32">
      <c r="A32" t="inlineStr">
        <is>
          <t>900000434</t>
        </is>
      </c>
      <c r="B32" t="inlineStr">
        <is>
          <t>DW83</t>
        </is>
      </c>
      <c r="C32" t="inlineStr">
        <is>
          <t>D215</t>
        </is>
      </c>
      <c r="D32" t="inlineStr">
        <is>
          <t>10000377</t>
        </is>
      </c>
      <c r="E32" t="inlineStr"/>
      <c r="F32" s="11" t="n">
        <v>78.45999999999999</v>
      </c>
      <c r="G32" t="inlineStr"/>
      <c r="I32" t="inlineStr">
        <is>
          <t>TN</t>
        </is>
      </c>
      <c r="J32" t="inlineStr"/>
      <c r="K32" t="inlineStr">
        <is>
          <t>20230301</t>
        </is>
      </c>
      <c r="L32" t="inlineStr">
        <is>
          <t>99991231</t>
        </is>
      </c>
    </row>
    <row r="33">
      <c r="A33" t="inlineStr">
        <is>
          <t>900000434</t>
        </is>
      </c>
      <c r="B33" t="inlineStr">
        <is>
          <t>DW83</t>
        </is>
      </c>
      <c r="C33" t="inlineStr">
        <is>
          <t>D215</t>
        </is>
      </c>
      <c r="D33" t="inlineStr">
        <is>
          <t>10000379</t>
        </is>
      </c>
      <c r="E33" t="inlineStr"/>
      <c r="F33" s="11" t="n">
        <v>139.56</v>
      </c>
      <c r="G33" t="inlineStr"/>
      <c r="I33" t="inlineStr">
        <is>
          <t>TN</t>
        </is>
      </c>
      <c r="J33" t="inlineStr"/>
      <c r="K33" t="inlineStr">
        <is>
          <t>20260601</t>
        </is>
      </c>
      <c r="L33" t="inlineStr">
        <is>
          <t>99991231</t>
        </is>
      </c>
    </row>
    <row r="34">
      <c r="A34" t="inlineStr">
        <is>
          <t>900000434</t>
        </is>
      </c>
      <c r="B34" t="inlineStr">
        <is>
          <t>DW83</t>
        </is>
      </c>
      <c r="C34" t="inlineStr">
        <is>
          <t>D215</t>
        </is>
      </c>
      <c r="D34" t="inlineStr">
        <is>
          <t>10000383</t>
        </is>
      </c>
      <c r="E34" t="inlineStr"/>
      <c r="F34" s="11" t="n">
        <v>146.85</v>
      </c>
      <c r="G34" t="inlineStr"/>
      <c r="I34" t="inlineStr">
        <is>
          <t>TN</t>
        </is>
      </c>
      <c r="J34" t="inlineStr"/>
      <c r="K34" t="inlineStr">
        <is>
          <t>20260601</t>
        </is>
      </c>
      <c r="L34" t="inlineStr">
        <is>
          <t>99991231</t>
        </is>
      </c>
    </row>
    <row r="35">
      <c r="A35" t="inlineStr">
        <is>
          <t>900000434</t>
        </is>
      </c>
      <c r="B35" t="inlineStr">
        <is>
          <t>DW83</t>
        </is>
      </c>
      <c r="C35" t="inlineStr">
        <is>
          <t>D215</t>
        </is>
      </c>
      <c r="D35" t="inlineStr">
        <is>
          <t>10192197</t>
        </is>
      </c>
      <c r="E35" t="inlineStr"/>
      <c r="F35" s="11" t="n">
        <v>107.06</v>
      </c>
      <c r="G35" t="inlineStr"/>
      <c r="I35" t="inlineStr">
        <is>
          <t>TN</t>
        </is>
      </c>
      <c r="J35" t="inlineStr"/>
      <c r="K35" t="inlineStr">
        <is>
          <t>20260601</t>
        </is>
      </c>
      <c r="L35" t="inlineStr">
        <is>
          <t>99991231</t>
        </is>
      </c>
    </row>
    <row r="36">
      <c r="A36" t="inlineStr">
        <is>
          <t>900000434</t>
        </is>
      </c>
      <c r="B36" t="inlineStr">
        <is>
          <t>DW83</t>
        </is>
      </c>
      <c r="C36" t="inlineStr">
        <is>
          <t>D216</t>
        </is>
      </c>
      <c r="D36" t="inlineStr">
        <is>
          <t>10000320</t>
        </is>
      </c>
      <c r="E36" t="inlineStr"/>
      <c r="F36" s="11" t="n">
        <v>87.3</v>
      </c>
      <c r="G36" t="inlineStr"/>
      <c r="I36" t="inlineStr">
        <is>
          <t>TN</t>
        </is>
      </c>
      <c r="J36" t="inlineStr"/>
      <c r="K36" t="inlineStr">
        <is>
          <t>20230301</t>
        </is>
      </c>
      <c r="L36" t="inlineStr">
        <is>
          <t>20251031</t>
        </is>
      </c>
    </row>
    <row r="37">
      <c r="A37" t="inlineStr">
        <is>
          <t>900000434</t>
        </is>
      </c>
      <c r="B37" t="inlineStr">
        <is>
          <t>DW83</t>
        </is>
      </c>
      <c r="C37" t="inlineStr">
        <is>
          <t>D216</t>
        </is>
      </c>
      <c r="D37" t="inlineStr">
        <is>
          <t>10000379</t>
        </is>
      </c>
      <c r="E37" t="inlineStr"/>
      <c r="F37" s="11" t="n">
        <v>119.23</v>
      </c>
      <c r="G37" t="inlineStr"/>
      <c r="I37" t="inlineStr">
        <is>
          <t>TN</t>
        </is>
      </c>
      <c r="J37" t="inlineStr"/>
      <c r="K37" t="inlineStr">
        <is>
          <t>20230301</t>
        </is>
      </c>
      <c r="L37" t="inlineStr">
        <is>
          <t>20251031</t>
        </is>
      </c>
    </row>
    <row r="38">
      <c r="A38" t="inlineStr">
        <is>
          <t>900000434</t>
        </is>
      </c>
      <c r="B38" t="inlineStr">
        <is>
          <t>DW83</t>
        </is>
      </c>
      <c r="C38" t="inlineStr">
        <is>
          <t>D216</t>
        </is>
      </c>
      <c r="D38" t="inlineStr">
        <is>
          <t>10000383</t>
        </is>
      </c>
      <c r="E38" t="inlineStr"/>
      <c r="F38" s="11" t="n">
        <v>125.46</v>
      </c>
      <c r="G38" t="inlineStr"/>
      <c r="I38" t="inlineStr">
        <is>
          <t>TN</t>
        </is>
      </c>
      <c r="J38" t="inlineStr"/>
      <c r="K38" t="inlineStr">
        <is>
          <t>20230301</t>
        </is>
      </c>
      <c r="L38" t="inlineStr">
        <is>
          <t>20251031</t>
        </is>
      </c>
    </row>
    <row r="39">
      <c r="A39" t="inlineStr">
        <is>
          <t>900000434</t>
        </is>
      </c>
      <c r="B39" t="inlineStr">
        <is>
          <t>DW83</t>
        </is>
      </c>
      <c r="C39" t="inlineStr">
        <is>
          <t>D216</t>
        </is>
      </c>
      <c r="D39" t="inlineStr">
        <is>
          <t>10000719</t>
        </is>
      </c>
      <c r="E39" t="inlineStr"/>
      <c r="F39" s="11" t="n">
        <v>114.42</v>
      </c>
      <c r="G39" t="inlineStr"/>
      <c r="I39" t="inlineStr">
        <is>
          <t>TN</t>
        </is>
      </c>
      <c r="J39" t="inlineStr"/>
      <c r="K39" t="inlineStr">
        <is>
          <t>20230301</t>
        </is>
      </c>
      <c r="L39" t="inlineStr">
        <is>
          <t>20251031</t>
        </is>
      </c>
    </row>
    <row r="40">
      <c r="A40" t="inlineStr">
        <is>
          <t>900000434</t>
        </is>
      </c>
      <c r="B40" t="inlineStr">
        <is>
          <t>DW83</t>
        </is>
      </c>
      <c r="C40" t="inlineStr">
        <is>
          <t>D216</t>
        </is>
      </c>
      <c r="D40" t="inlineStr">
        <is>
          <t>10192197</t>
        </is>
      </c>
      <c r="E40" t="inlineStr"/>
      <c r="F40" s="11" t="n">
        <v>91.48</v>
      </c>
      <c r="G40" t="inlineStr"/>
      <c r="I40" t="inlineStr">
        <is>
          <t>TN</t>
        </is>
      </c>
      <c r="J40" t="inlineStr"/>
      <c r="K40" t="inlineStr">
        <is>
          <t>20230301</t>
        </is>
      </c>
      <c r="L40" t="inlineStr">
        <is>
          <t>20251031</t>
        </is>
      </c>
    </row>
    <row r="41">
      <c r="A41" t="inlineStr">
        <is>
          <t>900000434</t>
        </is>
      </c>
      <c r="B41" t="inlineStr">
        <is>
          <t>DW83</t>
        </is>
      </c>
      <c r="C41" t="inlineStr">
        <is>
          <t>D243</t>
        </is>
      </c>
      <c r="D41" t="inlineStr">
        <is>
          <t>10000320</t>
        </is>
      </c>
      <c r="E41" t="inlineStr"/>
      <c r="F41" s="11" t="n">
        <v>87.3</v>
      </c>
      <c r="G41" t="inlineStr"/>
      <c r="I41" t="inlineStr">
        <is>
          <t>TN</t>
        </is>
      </c>
      <c r="J41" t="inlineStr"/>
      <c r="K41" t="inlineStr">
        <is>
          <t>20230301</t>
        </is>
      </c>
      <c r="L41" t="inlineStr">
        <is>
          <t>20250129</t>
        </is>
      </c>
    </row>
    <row r="42">
      <c r="A42" t="inlineStr">
        <is>
          <t>900000434</t>
        </is>
      </c>
      <c r="B42" t="inlineStr">
        <is>
          <t>DW83</t>
        </is>
      </c>
      <c r="C42" t="inlineStr">
        <is>
          <t>D243</t>
        </is>
      </c>
      <c r="D42" t="inlineStr">
        <is>
          <t>10000377</t>
        </is>
      </c>
      <c r="E42" t="inlineStr"/>
      <c r="F42" s="11" t="n">
        <v>78.45999999999999</v>
      </c>
      <c r="G42" t="inlineStr"/>
      <c r="I42" t="inlineStr">
        <is>
          <t>TN</t>
        </is>
      </c>
      <c r="J42" t="inlineStr"/>
      <c r="K42" t="inlineStr">
        <is>
          <t>20230301</t>
        </is>
      </c>
      <c r="L42" t="inlineStr">
        <is>
          <t>20250129</t>
        </is>
      </c>
    </row>
    <row r="43">
      <c r="A43" t="inlineStr">
        <is>
          <t>900000434</t>
        </is>
      </c>
      <c r="B43" t="inlineStr">
        <is>
          <t>DW83</t>
        </is>
      </c>
      <c r="C43" t="inlineStr">
        <is>
          <t>D243</t>
        </is>
      </c>
      <c r="D43" t="inlineStr">
        <is>
          <t>10000379</t>
        </is>
      </c>
      <c r="E43" t="inlineStr"/>
      <c r="F43" s="11" t="n">
        <v>119.23</v>
      </c>
      <c r="G43" t="inlineStr"/>
      <c r="I43" t="inlineStr">
        <is>
          <t>TN</t>
        </is>
      </c>
      <c r="J43" t="inlineStr"/>
      <c r="K43" t="inlineStr">
        <is>
          <t>20230301</t>
        </is>
      </c>
      <c r="L43" t="inlineStr">
        <is>
          <t>20250129</t>
        </is>
      </c>
    </row>
    <row r="44">
      <c r="A44" t="inlineStr">
        <is>
          <t>900000434</t>
        </is>
      </c>
      <c r="B44" t="inlineStr">
        <is>
          <t>DW83</t>
        </is>
      </c>
      <c r="C44" t="inlineStr">
        <is>
          <t>D243</t>
        </is>
      </c>
      <c r="D44" t="inlineStr">
        <is>
          <t>10000383</t>
        </is>
      </c>
      <c r="E44" t="inlineStr"/>
      <c r="F44" s="11" t="n">
        <v>125.46</v>
      </c>
      <c r="G44" t="inlineStr"/>
      <c r="I44" t="inlineStr">
        <is>
          <t>TN</t>
        </is>
      </c>
      <c r="J44" t="inlineStr"/>
      <c r="K44" t="inlineStr">
        <is>
          <t>20230301</t>
        </is>
      </c>
      <c r="L44" t="inlineStr">
        <is>
          <t>20250129</t>
        </is>
      </c>
    </row>
    <row r="45">
      <c r="A45" t="inlineStr">
        <is>
          <t>900000434</t>
        </is>
      </c>
      <c r="B45" t="inlineStr">
        <is>
          <t>DW83</t>
        </is>
      </c>
      <c r="C45" t="inlineStr">
        <is>
          <t>D243</t>
        </is>
      </c>
      <c r="D45" t="inlineStr">
        <is>
          <t>10000719</t>
        </is>
      </c>
      <c r="E45" t="inlineStr"/>
      <c r="F45" s="11" t="n">
        <v>114.42</v>
      </c>
      <c r="G45" t="inlineStr"/>
      <c r="I45" t="inlineStr">
        <is>
          <t>TN</t>
        </is>
      </c>
      <c r="J45" t="inlineStr"/>
      <c r="K45" t="inlineStr">
        <is>
          <t>20230301</t>
        </is>
      </c>
      <c r="L45" t="inlineStr">
        <is>
          <t>20250129</t>
        </is>
      </c>
    </row>
    <row r="46">
      <c r="A46" t="inlineStr">
        <is>
          <t>900000434</t>
        </is>
      </c>
      <c r="B46" t="inlineStr">
        <is>
          <t>DW83</t>
        </is>
      </c>
      <c r="C46" t="inlineStr">
        <is>
          <t>D243</t>
        </is>
      </c>
      <c r="D46" t="inlineStr">
        <is>
          <t>10192197</t>
        </is>
      </c>
      <c r="E46" t="inlineStr"/>
      <c r="F46" s="11" t="n">
        <v>91.48</v>
      </c>
      <c r="G46" t="inlineStr"/>
      <c r="I46" t="inlineStr">
        <is>
          <t>TN</t>
        </is>
      </c>
      <c r="J46" t="inlineStr"/>
      <c r="K46" t="inlineStr">
        <is>
          <t>20230301</t>
        </is>
      </c>
      <c r="L46" t="inlineStr">
        <is>
          <t>20250129</t>
        </is>
      </c>
    </row>
    <row r="47">
      <c r="A47" t="inlineStr">
        <is>
          <t>900000472</t>
        </is>
      </c>
      <c r="B47" t="inlineStr">
        <is>
          <t>DW83</t>
        </is>
      </c>
      <c r="C47" t="inlineStr">
        <is>
          <t>D215</t>
        </is>
      </c>
      <c r="D47" t="inlineStr">
        <is>
          <t>10000643</t>
        </is>
      </c>
      <c r="E47" t="inlineStr"/>
      <c r="F47" s="11" t="n">
        <v>1349.42</v>
      </c>
      <c r="G47" t="inlineStr"/>
      <c r="I47" t="inlineStr">
        <is>
          <t>TN</t>
        </is>
      </c>
      <c r="J47" t="inlineStr"/>
      <c r="K47" t="inlineStr">
        <is>
          <t>20240215</t>
        </is>
      </c>
      <c r="L47" t="inlineStr">
        <is>
          <t>20251031</t>
        </is>
      </c>
    </row>
    <row r="48">
      <c r="A48" t="inlineStr">
        <is>
          <t>900000472</t>
        </is>
      </c>
      <c r="B48" t="inlineStr">
        <is>
          <t>DW83</t>
        </is>
      </c>
      <c r="C48" t="inlineStr">
        <is>
          <t>D215</t>
        </is>
      </c>
      <c r="D48" t="inlineStr">
        <is>
          <t>10000655</t>
        </is>
      </c>
      <c r="E48" t="inlineStr"/>
      <c r="F48" s="11" t="n">
        <v>1349.42</v>
      </c>
      <c r="G48" t="inlineStr"/>
      <c r="I48" t="inlineStr">
        <is>
          <t>TN</t>
        </is>
      </c>
      <c r="J48" t="inlineStr"/>
      <c r="K48" t="inlineStr">
        <is>
          <t>20240215</t>
        </is>
      </c>
      <c r="L48" t="inlineStr">
        <is>
          <t>20251031</t>
        </is>
      </c>
    </row>
    <row r="49">
      <c r="A49" t="inlineStr">
        <is>
          <t>900000472</t>
        </is>
      </c>
      <c r="B49" t="inlineStr">
        <is>
          <t>DW83</t>
        </is>
      </c>
      <c r="C49" t="inlineStr">
        <is>
          <t>D215</t>
        </is>
      </c>
      <c r="D49" t="inlineStr">
        <is>
          <t>10001456</t>
        </is>
      </c>
      <c r="E49" t="inlineStr"/>
      <c r="F49" s="11" t="n">
        <v>1349.42</v>
      </c>
      <c r="G49" t="inlineStr"/>
      <c r="I49" t="inlineStr">
        <is>
          <t>TN</t>
        </is>
      </c>
      <c r="J49" t="inlineStr"/>
      <c r="K49" t="inlineStr">
        <is>
          <t>20240215</t>
        </is>
      </c>
      <c r="L49" t="inlineStr">
        <is>
          <t>20251031</t>
        </is>
      </c>
    </row>
    <row r="50">
      <c r="A50" t="inlineStr">
        <is>
          <t>900000472</t>
        </is>
      </c>
      <c r="B50" t="inlineStr">
        <is>
          <t>DW83</t>
        </is>
      </c>
      <c r="C50" t="inlineStr">
        <is>
          <t>D215</t>
        </is>
      </c>
      <c r="D50" t="inlineStr">
        <is>
          <t>10210344</t>
        </is>
      </c>
      <c r="E50" t="inlineStr"/>
      <c r="F50" s="11" t="n">
        <v>1349.42</v>
      </c>
      <c r="G50" t="inlineStr"/>
      <c r="I50" t="inlineStr">
        <is>
          <t>TN</t>
        </is>
      </c>
      <c r="J50" t="inlineStr"/>
      <c r="K50" t="inlineStr">
        <is>
          <t>20240215</t>
        </is>
      </c>
      <c r="L50" t="inlineStr">
        <is>
          <t>20251031</t>
        </is>
      </c>
    </row>
    <row r="51">
      <c r="A51" t="inlineStr">
        <is>
          <t>900000560</t>
        </is>
      </c>
      <c r="B51" t="inlineStr">
        <is>
          <t>DW83</t>
        </is>
      </c>
      <c r="C51" t="inlineStr">
        <is>
          <t>D216</t>
        </is>
      </c>
      <c r="D51" t="inlineStr">
        <is>
          <t>10000437</t>
        </is>
      </c>
      <c r="E51" t="inlineStr"/>
      <c r="F51" s="11" t="n">
        <v>232.56</v>
      </c>
      <c r="G51" t="inlineStr"/>
      <c r="I51" t="inlineStr">
        <is>
          <t>TN</t>
        </is>
      </c>
      <c r="J51" t="inlineStr"/>
      <c r="K51" t="inlineStr">
        <is>
          <t>20230310</t>
        </is>
      </c>
      <c r="L51" t="inlineStr">
        <is>
          <t>20250701</t>
        </is>
      </c>
    </row>
    <row r="52">
      <c r="A52" t="inlineStr">
        <is>
          <t>900000560</t>
        </is>
      </c>
      <c r="B52" t="inlineStr">
        <is>
          <t>DW83</t>
        </is>
      </c>
      <c r="C52" t="inlineStr">
        <is>
          <t>D216</t>
        </is>
      </c>
      <c r="D52" t="inlineStr">
        <is>
          <t>10000829</t>
        </is>
      </c>
      <c r="E52" t="inlineStr"/>
      <c r="F52" s="11" t="n">
        <v>244.76</v>
      </c>
      <c r="G52" t="inlineStr"/>
      <c r="I52" t="inlineStr">
        <is>
          <t>TN</t>
        </is>
      </c>
      <c r="J52" t="inlineStr"/>
      <c r="K52" t="inlineStr">
        <is>
          <t>20240705</t>
        </is>
      </c>
      <c r="L52" t="inlineStr">
        <is>
          <t>20240705</t>
        </is>
      </c>
    </row>
    <row r="53">
      <c r="A53" t="inlineStr">
        <is>
          <t>900000560</t>
        </is>
      </c>
      <c r="B53" t="inlineStr">
        <is>
          <t>DW83</t>
        </is>
      </c>
      <c r="C53" t="inlineStr">
        <is>
          <t>D216</t>
        </is>
      </c>
      <c r="D53" t="inlineStr">
        <is>
          <t>10258539</t>
        </is>
      </c>
      <c r="E53" t="inlineStr"/>
      <c r="F53" s="11" t="n">
        <v>219.99</v>
      </c>
      <c r="G53" t="inlineStr"/>
      <c r="I53" t="inlineStr">
        <is>
          <t>TN</t>
        </is>
      </c>
      <c r="J53" t="inlineStr"/>
      <c r="K53" t="inlineStr">
        <is>
          <t>20240704</t>
        </is>
      </c>
      <c r="L53" t="inlineStr">
        <is>
          <t>20250701</t>
        </is>
      </c>
    </row>
    <row r="54">
      <c r="A54" t="inlineStr">
        <is>
          <t>900001405</t>
        </is>
      </c>
      <c r="B54" t="inlineStr">
        <is>
          <t>DW83</t>
        </is>
      </c>
      <c r="C54" t="inlineStr">
        <is>
          <t>D215</t>
        </is>
      </c>
      <c r="D54" t="inlineStr">
        <is>
          <t>10000586</t>
        </is>
      </c>
      <c r="E54" t="inlineStr"/>
      <c r="F54" s="11" t="n">
        <v>250</v>
      </c>
      <c r="G54" t="inlineStr"/>
      <c r="I54" t="inlineStr">
        <is>
          <t>TN</t>
        </is>
      </c>
      <c r="J54" t="inlineStr"/>
      <c r="K54" t="inlineStr">
        <is>
          <t>20220516</t>
        </is>
      </c>
      <c r="L54" t="inlineStr">
        <is>
          <t>20251031</t>
        </is>
      </c>
    </row>
    <row r="55">
      <c r="A55" t="inlineStr">
        <is>
          <t>900001405</t>
        </is>
      </c>
      <c r="B55" t="inlineStr">
        <is>
          <t>DW83</t>
        </is>
      </c>
      <c r="C55" t="inlineStr">
        <is>
          <t>D215</t>
        </is>
      </c>
      <c r="D55" t="inlineStr">
        <is>
          <t>10001867</t>
        </is>
      </c>
      <c r="E55" t="inlineStr"/>
      <c r="F55" s="11" t="n">
        <v>250</v>
      </c>
      <c r="G55" t="inlineStr"/>
      <c r="I55" t="inlineStr">
        <is>
          <t>TN</t>
        </is>
      </c>
      <c r="J55" t="inlineStr"/>
      <c r="K55" t="inlineStr">
        <is>
          <t>20220516</t>
        </is>
      </c>
      <c r="L55" t="inlineStr">
        <is>
          <t>20251031</t>
        </is>
      </c>
    </row>
    <row r="56">
      <c r="A56" t="inlineStr">
        <is>
          <t>900003017</t>
        </is>
      </c>
      <c r="B56" t="inlineStr">
        <is>
          <t>DW83</t>
        </is>
      </c>
      <c r="C56" t="inlineStr">
        <is>
          <t>D216</t>
        </is>
      </c>
      <c r="D56" t="inlineStr">
        <is>
          <t>10049556</t>
        </is>
      </c>
      <c r="E56" t="inlineStr"/>
      <c r="F56" s="11" t="n">
        <v>131.78</v>
      </c>
      <c r="G56" t="inlineStr"/>
      <c r="I56" t="inlineStr">
        <is>
          <t>TN</t>
        </is>
      </c>
      <c r="J56" t="inlineStr"/>
      <c r="K56" t="inlineStr">
        <is>
          <t>20220516</t>
        </is>
      </c>
      <c r="L56" t="inlineStr">
        <is>
          <t>20251031</t>
        </is>
      </c>
    </row>
    <row r="57">
      <c r="A57" t="inlineStr">
        <is>
          <t>900003017</t>
        </is>
      </c>
      <c r="B57" t="inlineStr">
        <is>
          <t>DW83</t>
        </is>
      </c>
      <c r="C57" t="inlineStr">
        <is>
          <t>D243</t>
        </is>
      </c>
      <c r="D57" t="inlineStr">
        <is>
          <t>10000383</t>
        </is>
      </c>
      <c r="E57" t="inlineStr"/>
      <c r="F57" s="11" t="n">
        <v>125.46</v>
      </c>
      <c r="G57" t="inlineStr"/>
      <c r="I57" t="inlineStr">
        <is>
          <t>TN</t>
        </is>
      </c>
      <c r="J57" t="inlineStr"/>
      <c r="K57" t="inlineStr">
        <is>
          <t>20230301</t>
        </is>
      </c>
      <c r="L57" t="inlineStr">
        <is>
          <t>20250129</t>
        </is>
      </c>
    </row>
    <row r="58">
      <c r="A58" t="inlineStr">
        <is>
          <t>900003017</t>
        </is>
      </c>
      <c r="B58" t="inlineStr">
        <is>
          <t>DW83</t>
        </is>
      </c>
      <c r="C58" t="inlineStr">
        <is>
          <t>D243</t>
        </is>
      </c>
      <c r="D58" t="inlineStr">
        <is>
          <t>10049554</t>
        </is>
      </c>
      <c r="E58" t="inlineStr"/>
      <c r="F58" s="11" t="n">
        <v>133.41</v>
      </c>
      <c r="G58" t="inlineStr"/>
      <c r="I58" t="inlineStr">
        <is>
          <t>TN</t>
        </is>
      </c>
      <c r="J58" t="inlineStr"/>
      <c r="K58" t="inlineStr">
        <is>
          <t>20230301</t>
        </is>
      </c>
      <c r="L58" t="inlineStr">
        <is>
          <t>20250129</t>
        </is>
      </c>
    </row>
    <row r="59">
      <c r="A59" t="inlineStr">
        <is>
          <t>900003017</t>
        </is>
      </c>
      <c r="B59" t="inlineStr">
        <is>
          <t>DW83</t>
        </is>
      </c>
      <c r="C59" t="inlineStr">
        <is>
          <t>D243</t>
        </is>
      </c>
      <c r="D59" t="inlineStr">
        <is>
          <t>10049556</t>
        </is>
      </c>
      <c r="E59" t="inlineStr"/>
      <c r="F59" s="11" t="n">
        <v>86.14</v>
      </c>
      <c r="G59" t="inlineStr"/>
      <c r="I59" t="inlineStr">
        <is>
          <t>TN</t>
        </is>
      </c>
      <c r="J59" t="inlineStr"/>
      <c r="K59" t="inlineStr">
        <is>
          <t>20230301</t>
        </is>
      </c>
      <c r="L59" t="inlineStr">
        <is>
          <t>20250129</t>
        </is>
      </c>
    </row>
    <row r="60">
      <c r="A60" t="inlineStr">
        <is>
          <t>900003017</t>
        </is>
      </c>
      <c r="B60" t="inlineStr">
        <is>
          <t>DW83</t>
        </is>
      </c>
      <c r="C60" t="inlineStr">
        <is>
          <t>D243</t>
        </is>
      </c>
      <c r="D60" t="inlineStr">
        <is>
          <t>10052407</t>
        </is>
      </c>
      <c r="E60" t="inlineStr"/>
      <c r="F60" s="11" t="n">
        <v>82.78</v>
      </c>
      <c r="G60" t="inlineStr"/>
      <c r="I60" t="inlineStr">
        <is>
          <t>TN</t>
        </is>
      </c>
      <c r="J60" t="inlineStr"/>
      <c r="K60" t="inlineStr">
        <is>
          <t>20230301</t>
        </is>
      </c>
      <c r="L60" t="inlineStr">
        <is>
          <t>20250129</t>
        </is>
      </c>
    </row>
    <row r="61">
      <c r="A61" t="inlineStr">
        <is>
          <t>900003017</t>
        </is>
      </c>
      <c r="B61" t="inlineStr">
        <is>
          <t>DW83</t>
        </is>
      </c>
      <c r="C61" t="inlineStr">
        <is>
          <t>D243</t>
        </is>
      </c>
      <c r="D61" t="inlineStr">
        <is>
          <t>10060689</t>
        </is>
      </c>
      <c r="E61" t="inlineStr"/>
      <c r="F61" s="11" t="n">
        <v>80</v>
      </c>
      <c r="G61" t="inlineStr"/>
      <c r="I61" t="inlineStr">
        <is>
          <t>TN</t>
        </is>
      </c>
      <c r="J61" t="inlineStr"/>
      <c r="K61" t="inlineStr">
        <is>
          <t>20230301</t>
        </is>
      </c>
      <c r="L61" t="inlineStr">
        <is>
          <t>20250129</t>
        </is>
      </c>
    </row>
    <row r="62">
      <c r="A62" t="inlineStr">
        <is>
          <t>900003368</t>
        </is>
      </c>
      <c r="B62" t="inlineStr">
        <is>
          <t>DW83</t>
        </is>
      </c>
      <c r="C62" t="inlineStr">
        <is>
          <t>D215</t>
        </is>
      </c>
      <c r="D62" t="inlineStr">
        <is>
          <t>10000332</t>
        </is>
      </c>
      <c r="E62" t="inlineStr"/>
      <c r="F62" s="11" t="n">
        <v>327.5</v>
      </c>
      <c r="G62" t="inlineStr"/>
      <c r="I62" t="inlineStr">
        <is>
          <t>TN</t>
        </is>
      </c>
      <c r="J62" t="inlineStr"/>
      <c r="K62" t="inlineStr">
        <is>
          <t>20230203</t>
        </is>
      </c>
      <c r="L62" t="inlineStr">
        <is>
          <t>20240201</t>
        </is>
      </c>
    </row>
    <row r="63">
      <c r="A63" t="inlineStr">
        <is>
          <t>900003368</t>
        </is>
      </c>
      <c r="B63" t="inlineStr">
        <is>
          <t>DW83</t>
        </is>
      </c>
      <c r="C63" t="inlineStr">
        <is>
          <t>D215</t>
        </is>
      </c>
      <c r="D63" t="inlineStr">
        <is>
          <t>10000377</t>
        </is>
      </c>
      <c r="E63" t="inlineStr"/>
      <c r="F63" s="11" t="n">
        <v>91.83</v>
      </c>
      <c r="G63" t="inlineStr"/>
      <c r="I63" t="inlineStr">
        <is>
          <t>TN</t>
        </is>
      </c>
      <c r="J63" t="inlineStr"/>
      <c r="K63" t="inlineStr">
        <is>
          <t>20260601</t>
        </is>
      </c>
      <c r="L63" t="inlineStr">
        <is>
          <t>99991231</t>
        </is>
      </c>
    </row>
    <row r="64">
      <c r="A64" t="inlineStr">
        <is>
          <t>900003368</t>
        </is>
      </c>
      <c r="B64" t="inlineStr">
        <is>
          <t>DW83</t>
        </is>
      </c>
      <c r="C64" t="inlineStr">
        <is>
          <t>D215</t>
        </is>
      </c>
      <c r="D64" t="inlineStr">
        <is>
          <t>10000379</t>
        </is>
      </c>
      <c r="E64" t="inlineStr"/>
      <c r="F64" s="11" t="n">
        <v>139.55</v>
      </c>
      <c r="G64" t="inlineStr"/>
      <c r="I64" t="inlineStr">
        <is>
          <t>TN</t>
        </is>
      </c>
      <c r="J64" t="inlineStr"/>
      <c r="K64" t="inlineStr">
        <is>
          <t>20260601</t>
        </is>
      </c>
      <c r="L64" t="inlineStr">
        <is>
          <t>99991231</t>
        </is>
      </c>
    </row>
    <row r="65">
      <c r="A65" t="inlineStr">
        <is>
          <t>900003368</t>
        </is>
      </c>
      <c r="B65" t="inlineStr">
        <is>
          <t>DW83</t>
        </is>
      </c>
      <c r="C65" t="inlineStr">
        <is>
          <t>D215</t>
        </is>
      </c>
      <c r="D65" t="inlineStr">
        <is>
          <t>10000381</t>
        </is>
      </c>
      <c r="E65" t="inlineStr"/>
      <c r="F65" s="11" t="n">
        <v>55.85</v>
      </c>
      <c r="G65" t="inlineStr"/>
      <c r="I65" t="inlineStr">
        <is>
          <t>TN</t>
        </is>
      </c>
      <c r="J65" t="inlineStr"/>
      <c r="K65" t="inlineStr">
        <is>
          <t>20230203</t>
        </is>
      </c>
      <c r="L65" t="inlineStr">
        <is>
          <t>20240201</t>
        </is>
      </c>
    </row>
    <row r="66">
      <c r="A66" t="inlineStr">
        <is>
          <t>900003368</t>
        </is>
      </c>
      <c r="B66" t="inlineStr">
        <is>
          <t>DW83</t>
        </is>
      </c>
      <c r="C66" t="inlineStr">
        <is>
          <t>D215</t>
        </is>
      </c>
      <c r="D66" t="inlineStr">
        <is>
          <t>10000383</t>
        </is>
      </c>
      <c r="E66" t="inlineStr"/>
      <c r="F66" s="11" t="n">
        <v>146.84</v>
      </c>
      <c r="G66" t="inlineStr"/>
      <c r="I66" t="inlineStr">
        <is>
          <t>TN</t>
        </is>
      </c>
      <c r="J66" t="inlineStr"/>
      <c r="K66" t="inlineStr">
        <is>
          <t>20260601</t>
        </is>
      </c>
      <c r="L66" t="inlineStr">
        <is>
          <t>99991231</t>
        </is>
      </c>
    </row>
    <row r="67">
      <c r="A67" t="inlineStr">
        <is>
          <t>900003368</t>
        </is>
      </c>
      <c r="B67" t="inlineStr">
        <is>
          <t>DW83</t>
        </is>
      </c>
      <c r="C67" t="inlineStr">
        <is>
          <t>D215</t>
        </is>
      </c>
      <c r="D67" t="inlineStr">
        <is>
          <t>10000719</t>
        </is>
      </c>
      <c r="E67" t="inlineStr"/>
      <c r="F67" s="11" t="n">
        <v>107.14</v>
      </c>
      <c r="G67" t="inlineStr"/>
      <c r="I67" t="inlineStr">
        <is>
          <t>TN</t>
        </is>
      </c>
      <c r="J67" t="inlineStr"/>
      <c r="K67" t="inlineStr">
        <is>
          <t>20260601</t>
        </is>
      </c>
      <c r="L67" t="inlineStr">
        <is>
          <t>99991231</t>
        </is>
      </c>
    </row>
    <row r="68">
      <c r="A68" t="inlineStr">
        <is>
          <t>900003368</t>
        </is>
      </c>
      <c r="B68" t="inlineStr">
        <is>
          <t>DW83</t>
        </is>
      </c>
      <c r="C68" t="inlineStr">
        <is>
          <t>D215</t>
        </is>
      </c>
      <c r="D68" t="inlineStr">
        <is>
          <t>10192197</t>
        </is>
      </c>
      <c r="E68" t="inlineStr"/>
      <c r="F68" s="11" t="n">
        <v>107.07</v>
      </c>
      <c r="G68" t="inlineStr"/>
      <c r="I68" t="inlineStr">
        <is>
          <t>TN</t>
        </is>
      </c>
      <c r="J68" t="inlineStr"/>
      <c r="K68" t="inlineStr">
        <is>
          <t>20260601</t>
        </is>
      </c>
      <c r="L68" t="inlineStr">
        <is>
          <t>99991231</t>
        </is>
      </c>
    </row>
    <row r="69">
      <c r="A69" t="inlineStr">
        <is>
          <t>900003368</t>
        </is>
      </c>
      <c r="B69" t="inlineStr">
        <is>
          <t>DW83</t>
        </is>
      </c>
      <c r="C69" t="inlineStr">
        <is>
          <t>D216</t>
        </is>
      </c>
      <c r="D69" t="inlineStr">
        <is>
          <t>10000719</t>
        </is>
      </c>
      <c r="E69" t="inlineStr"/>
      <c r="F69" s="11" t="n">
        <v>97.09</v>
      </c>
      <c r="G69" t="inlineStr"/>
      <c r="I69" t="inlineStr">
        <is>
          <t>TN</t>
        </is>
      </c>
      <c r="J69" t="inlineStr"/>
      <c r="K69" t="inlineStr">
        <is>
          <t>20230203</t>
        </is>
      </c>
      <c r="L69" t="inlineStr">
        <is>
          <t>99991231</t>
        </is>
      </c>
    </row>
    <row r="70">
      <c r="A70" t="inlineStr">
        <is>
          <t>900003368</t>
        </is>
      </c>
      <c r="B70" t="inlineStr">
        <is>
          <t>DW83</t>
        </is>
      </c>
      <c r="C70" t="inlineStr">
        <is>
          <t>D386</t>
        </is>
      </c>
      <c r="D70" t="inlineStr">
        <is>
          <t>10000332</t>
        </is>
      </c>
      <c r="E70" t="inlineStr"/>
      <c r="F70" s="11" t="n">
        <v>327.5</v>
      </c>
      <c r="G70" t="inlineStr"/>
      <c r="I70" t="inlineStr">
        <is>
          <t>TN</t>
        </is>
      </c>
      <c r="J70" t="inlineStr"/>
      <c r="K70" t="inlineStr">
        <is>
          <t>20230203</t>
        </is>
      </c>
      <c r="L70" t="inlineStr">
        <is>
          <t>20240201</t>
        </is>
      </c>
    </row>
    <row r="71">
      <c r="A71" t="inlineStr">
        <is>
          <t>900003368</t>
        </is>
      </c>
      <c r="B71" t="inlineStr">
        <is>
          <t>DW83</t>
        </is>
      </c>
      <c r="C71" t="inlineStr">
        <is>
          <t>D386</t>
        </is>
      </c>
      <c r="D71" t="inlineStr">
        <is>
          <t>10210656</t>
        </is>
      </c>
      <c r="E71" t="inlineStr"/>
      <c r="F71" s="11" t="n">
        <v>327.5</v>
      </c>
      <c r="G71" t="inlineStr"/>
      <c r="I71" t="inlineStr">
        <is>
          <t>TN</t>
        </is>
      </c>
      <c r="J71" t="inlineStr"/>
      <c r="K71" t="inlineStr">
        <is>
          <t>20230203</t>
        </is>
      </c>
      <c r="L71" t="inlineStr">
        <is>
          <t>20240201</t>
        </is>
      </c>
    </row>
    <row r="72">
      <c r="A72" t="inlineStr">
        <is>
          <t>900003368</t>
        </is>
      </c>
      <c r="B72" t="inlineStr">
        <is>
          <t>DW83</t>
        </is>
      </c>
      <c r="C72" t="inlineStr">
        <is>
          <t>D557</t>
        </is>
      </c>
      <c r="D72" t="inlineStr">
        <is>
          <t>10000332</t>
        </is>
      </c>
      <c r="E72" t="inlineStr"/>
      <c r="F72" s="11" t="n">
        <v>327.5</v>
      </c>
      <c r="G72" t="inlineStr"/>
      <c r="I72" t="inlineStr">
        <is>
          <t>TN</t>
        </is>
      </c>
      <c r="J72" t="inlineStr"/>
      <c r="K72" t="inlineStr">
        <is>
          <t>20230203</t>
        </is>
      </c>
      <c r="L72" t="inlineStr">
        <is>
          <t>20240201</t>
        </is>
      </c>
    </row>
    <row r="73">
      <c r="A73" t="inlineStr">
        <is>
          <t>900003368</t>
        </is>
      </c>
      <c r="B73" t="inlineStr">
        <is>
          <t>DW83</t>
        </is>
      </c>
      <c r="C73" t="inlineStr">
        <is>
          <t>D557</t>
        </is>
      </c>
      <c r="D73" t="inlineStr">
        <is>
          <t>10000377</t>
        </is>
      </c>
      <c r="E73" t="inlineStr"/>
      <c r="F73" s="11" t="n">
        <v>91.83</v>
      </c>
      <c r="G73" t="inlineStr"/>
      <c r="I73" t="inlineStr">
        <is>
          <t>TN</t>
        </is>
      </c>
      <c r="J73" t="inlineStr"/>
      <c r="K73" t="inlineStr">
        <is>
          <t>20260601</t>
        </is>
      </c>
      <c r="L73" t="inlineStr">
        <is>
          <t>99991231</t>
        </is>
      </c>
    </row>
    <row r="74">
      <c r="A74" t="inlineStr">
        <is>
          <t>900003368</t>
        </is>
      </c>
      <c r="B74" t="inlineStr">
        <is>
          <t>DW83</t>
        </is>
      </c>
      <c r="C74" t="inlineStr">
        <is>
          <t>D557</t>
        </is>
      </c>
      <c r="D74" t="inlineStr">
        <is>
          <t>10000379</t>
        </is>
      </c>
      <c r="E74" t="inlineStr"/>
      <c r="F74" s="11" t="n">
        <v>139.55</v>
      </c>
      <c r="G74" t="inlineStr"/>
      <c r="I74" t="inlineStr">
        <is>
          <t>TN</t>
        </is>
      </c>
      <c r="J74" t="inlineStr"/>
      <c r="K74" t="inlineStr">
        <is>
          <t>20260601</t>
        </is>
      </c>
      <c r="L74" t="inlineStr">
        <is>
          <t>99991231</t>
        </is>
      </c>
    </row>
    <row r="75">
      <c r="A75" t="inlineStr">
        <is>
          <t>900003368</t>
        </is>
      </c>
      <c r="B75" t="inlineStr">
        <is>
          <t>DW83</t>
        </is>
      </c>
      <c r="C75" t="inlineStr">
        <is>
          <t>D557</t>
        </is>
      </c>
      <c r="D75" t="inlineStr">
        <is>
          <t>10000383</t>
        </is>
      </c>
      <c r="E75" t="inlineStr"/>
      <c r="F75" s="11" t="n">
        <v>146.84</v>
      </c>
      <c r="G75" t="inlineStr"/>
      <c r="I75" t="inlineStr">
        <is>
          <t>TN</t>
        </is>
      </c>
      <c r="J75" t="inlineStr"/>
      <c r="K75" t="inlineStr">
        <is>
          <t>20260601</t>
        </is>
      </c>
      <c r="L75" t="inlineStr">
        <is>
          <t>99991231</t>
        </is>
      </c>
    </row>
    <row r="76">
      <c r="A76" t="inlineStr">
        <is>
          <t>900003368</t>
        </is>
      </c>
      <c r="B76" t="inlineStr">
        <is>
          <t>DW83</t>
        </is>
      </c>
      <c r="C76" t="inlineStr">
        <is>
          <t>D557</t>
        </is>
      </c>
      <c r="D76" t="inlineStr">
        <is>
          <t>10000719</t>
        </is>
      </c>
      <c r="E76" t="inlineStr"/>
      <c r="F76" s="11" t="n">
        <v>107.14</v>
      </c>
      <c r="G76" t="inlineStr"/>
      <c r="I76" t="inlineStr">
        <is>
          <t>TN</t>
        </is>
      </c>
      <c r="J76" t="inlineStr"/>
      <c r="K76" t="inlineStr">
        <is>
          <t>20260601</t>
        </is>
      </c>
      <c r="L76" t="inlineStr">
        <is>
          <t>99991231</t>
        </is>
      </c>
    </row>
    <row r="77">
      <c r="A77" t="inlineStr">
        <is>
          <t>900003368</t>
        </is>
      </c>
      <c r="B77" t="inlineStr">
        <is>
          <t>DW83</t>
        </is>
      </c>
      <c r="C77" t="inlineStr">
        <is>
          <t>D557</t>
        </is>
      </c>
      <c r="D77" t="inlineStr">
        <is>
          <t>10000726</t>
        </is>
      </c>
      <c r="E77" t="inlineStr"/>
      <c r="F77" s="11" t="n">
        <v>123.78</v>
      </c>
      <c r="G77" t="inlineStr"/>
      <c r="I77" t="inlineStr">
        <is>
          <t>TN</t>
        </is>
      </c>
      <c r="J77" t="inlineStr"/>
      <c r="K77" t="inlineStr">
        <is>
          <t>20230301</t>
        </is>
      </c>
      <c r="L77" t="inlineStr">
        <is>
          <t>99991231</t>
        </is>
      </c>
    </row>
    <row r="78">
      <c r="A78" t="inlineStr">
        <is>
          <t>900003368</t>
        </is>
      </c>
      <c r="B78" t="inlineStr">
        <is>
          <t>DW83</t>
        </is>
      </c>
      <c r="C78" t="inlineStr">
        <is>
          <t>D557</t>
        </is>
      </c>
      <c r="D78" t="inlineStr">
        <is>
          <t>10192197</t>
        </is>
      </c>
      <c r="E78" t="inlineStr"/>
      <c r="F78" s="11" t="n">
        <v>107.07</v>
      </c>
      <c r="G78" t="inlineStr"/>
      <c r="I78" t="inlineStr">
        <is>
          <t>TN</t>
        </is>
      </c>
      <c r="J78" t="inlineStr"/>
      <c r="K78" t="inlineStr">
        <is>
          <t>20260601</t>
        </is>
      </c>
      <c r="L78" t="inlineStr">
        <is>
          <t>99991231</t>
        </is>
      </c>
    </row>
    <row r="79">
      <c r="A79" t="inlineStr">
        <is>
          <t>900003894</t>
        </is>
      </c>
      <c r="B79" t="inlineStr">
        <is>
          <t>DW83</t>
        </is>
      </c>
      <c r="C79" t="inlineStr">
        <is>
          <t>D033</t>
        </is>
      </c>
      <c r="D79" t="inlineStr">
        <is>
          <t>10000377</t>
        </is>
      </c>
      <c r="E79" t="inlineStr"/>
      <c r="F79" s="11" t="n">
        <v>76.17</v>
      </c>
      <c r="G79" t="inlineStr"/>
      <c r="I79" t="inlineStr">
        <is>
          <t>TN</t>
        </is>
      </c>
      <c r="J79" t="inlineStr"/>
      <c r="K79" t="inlineStr">
        <is>
          <t>20220516</t>
        </is>
      </c>
      <c r="L79" t="inlineStr">
        <is>
          <t>20251031</t>
        </is>
      </c>
    </row>
    <row r="80">
      <c r="A80" t="inlineStr">
        <is>
          <t>900003894</t>
        </is>
      </c>
      <c r="B80" t="inlineStr">
        <is>
          <t>DW83</t>
        </is>
      </c>
      <c r="C80" t="inlineStr">
        <is>
          <t>D033</t>
        </is>
      </c>
      <c r="D80" t="inlineStr">
        <is>
          <t>10000379</t>
        </is>
      </c>
      <c r="E80" t="inlineStr"/>
      <c r="F80" s="11" t="n">
        <v>103.27</v>
      </c>
      <c r="G80" t="inlineStr"/>
      <c r="I80" t="inlineStr">
        <is>
          <t>TN</t>
        </is>
      </c>
      <c r="J80" t="inlineStr"/>
      <c r="K80" t="inlineStr">
        <is>
          <t>20220516</t>
        </is>
      </c>
      <c r="L80" t="inlineStr">
        <is>
          <t>20251031</t>
        </is>
      </c>
    </row>
    <row r="81">
      <c r="A81" t="inlineStr">
        <is>
          <t>900003894</t>
        </is>
      </c>
      <c r="B81" t="inlineStr">
        <is>
          <t>DW83</t>
        </is>
      </c>
      <c r="C81" t="inlineStr">
        <is>
          <t>D033</t>
        </is>
      </c>
      <c r="D81" t="inlineStr">
        <is>
          <t>10000381</t>
        </is>
      </c>
      <c r="E81" t="inlineStr"/>
      <c r="F81" s="11" t="n">
        <v>69.08</v>
      </c>
      <c r="G81" t="inlineStr"/>
      <c r="I81" t="inlineStr">
        <is>
          <t>TN</t>
        </is>
      </c>
      <c r="J81" t="inlineStr"/>
      <c r="K81" t="inlineStr">
        <is>
          <t>20220516</t>
        </is>
      </c>
      <c r="L81" t="inlineStr">
        <is>
          <t>20251031</t>
        </is>
      </c>
    </row>
    <row r="82">
      <c r="A82" t="inlineStr">
        <is>
          <t>900003894</t>
        </is>
      </c>
      <c r="B82" t="inlineStr">
        <is>
          <t>DW83</t>
        </is>
      </c>
      <c r="C82" t="inlineStr">
        <is>
          <t>D033</t>
        </is>
      </c>
      <c r="D82" t="inlineStr">
        <is>
          <t>10000383</t>
        </is>
      </c>
      <c r="E82" t="inlineStr"/>
      <c r="F82" s="11" t="n">
        <v>108.66</v>
      </c>
      <c r="G82" t="inlineStr"/>
      <c r="I82" t="inlineStr">
        <is>
          <t>TN</t>
        </is>
      </c>
      <c r="J82" t="inlineStr"/>
      <c r="K82" t="inlineStr">
        <is>
          <t>20220516</t>
        </is>
      </c>
      <c r="L82" t="inlineStr">
        <is>
          <t>20251031</t>
        </is>
      </c>
    </row>
    <row r="83">
      <c r="A83" t="inlineStr">
        <is>
          <t>900003894</t>
        </is>
      </c>
      <c r="B83" t="inlineStr">
        <is>
          <t>DW83</t>
        </is>
      </c>
      <c r="C83" t="inlineStr">
        <is>
          <t>D215</t>
        </is>
      </c>
      <c r="D83" t="inlineStr">
        <is>
          <t>10000377</t>
        </is>
      </c>
      <c r="E83" t="inlineStr"/>
      <c r="F83" s="11" t="n">
        <v>76.17</v>
      </c>
      <c r="G83" t="inlineStr"/>
      <c r="I83" t="inlineStr">
        <is>
          <t>TN</t>
        </is>
      </c>
      <c r="J83" t="inlineStr"/>
      <c r="K83" t="inlineStr">
        <is>
          <t>20220516</t>
        </is>
      </c>
      <c r="L83" t="inlineStr">
        <is>
          <t>20251031</t>
        </is>
      </c>
    </row>
    <row r="84">
      <c r="A84" t="inlineStr">
        <is>
          <t>900003894</t>
        </is>
      </c>
      <c r="B84" t="inlineStr">
        <is>
          <t>DW83</t>
        </is>
      </c>
      <c r="C84" t="inlineStr">
        <is>
          <t>D215</t>
        </is>
      </c>
      <c r="D84" t="inlineStr">
        <is>
          <t>10000379</t>
        </is>
      </c>
      <c r="E84" t="inlineStr"/>
      <c r="F84" s="11" t="n">
        <v>103.27</v>
      </c>
      <c r="G84" t="inlineStr"/>
      <c r="I84" t="inlineStr">
        <is>
          <t>TN</t>
        </is>
      </c>
      <c r="J84" t="inlineStr"/>
      <c r="K84" t="inlineStr">
        <is>
          <t>20220516</t>
        </is>
      </c>
      <c r="L84" t="inlineStr">
        <is>
          <t>20251031</t>
        </is>
      </c>
    </row>
    <row r="85">
      <c r="A85" t="inlineStr">
        <is>
          <t>900003894</t>
        </is>
      </c>
      <c r="B85" t="inlineStr">
        <is>
          <t>DW83</t>
        </is>
      </c>
      <c r="C85" t="inlineStr">
        <is>
          <t>D215</t>
        </is>
      </c>
      <c r="D85" t="inlineStr">
        <is>
          <t>10000381</t>
        </is>
      </c>
      <c r="E85" t="inlineStr"/>
      <c r="F85" s="11" t="n">
        <v>69.08</v>
      </c>
      <c r="G85" t="inlineStr"/>
      <c r="I85" t="inlineStr">
        <is>
          <t>TN</t>
        </is>
      </c>
      <c r="J85" t="inlineStr"/>
      <c r="K85" t="inlineStr">
        <is>
          <t>20220516</t>
        </is>
      </c>
      <c r="L85" t="inlineStr">
        <is>
          <t>20251031</t>
        </is>
      </c>
    </row>
    <row r="86">
      <c r="A86" t="inlineStr">
        <is>
          <t>900003894</t>
        </is>
      </c>
      <c r="B86" t="inlineStr">
        <is>
          <t>DW83</t>
        </is>
      </c>
      <c r="C86" t="inlineStr">
        <is>
          <t>D215</t>
        </is>
      </c>
      <c r="D86" t="inlineStr">
        <is>
          <t>10000383</t>
        </is>
      </c>
      <c r="E86" t="inlineStr"/>
      <c r="F86" s="11" t="n">
        <v>108.66</v>
      </c>
      <c r="G86" t="inlineStr"/>
      <c r="I86" t="inlineStr">
        <is>
          <t>TN</t>
        </is>
      </c>
      <c r="J86" t="inlineStr"/>
      <c r="K86" t="inlineStr">
        <is>
          <t>20220516</t>
        </is>
      </c>
      <c r="L86" t="inlineStr">
        <is>
          <t>20251031</t>
        </is>
      </c>
    </row>
    <row r="87">
      <c r="A87" t="inlineStr">
        <is>
          <t>900004148</t>
        </is>
      </c>
      <c r="B87" t="inlineStr">
        <is>
          <t>DW83</t>
        </is>
      </c>
      <c r="C87" t="inlineStr">
        <is>
          <t>D243</t>
        </is>
      </c>
      <c r="D87" t="inlineStr">
        <is>
          <t>10066082</t>
        </is>
      </c>
      <c r="E87" t="inlineStr"/>
      <c r="F87" s="11" t="n">
        <v>84.06</v>
      </c>
      <c r="G87" t="inlineStr"/>
      <c r="I87" t="inlineStr">
        <is>
          <t>TN</t>
        </is>
      </c>
      <c r="J87" t="inlineStr"/>
      <c r="K87" t="inlineStr">
        <is>
          <t>20230301</t>
        </is>
      </c>
      <c r="L87" t="inlineStr">
        <is>
          <t>20250129</t>
        </is>
      </c>
    </row>
    <row r="88">
      <c r="A88" t="inlineStr">
        <is>
          <t>900004722</t>
        </is>
      </c>
      <c r="B88" t="inlineStr">
        <is>
          <t>DW83</t>
        </is>
      </c>
      <c r="C88" t="inlineStr">
        <is>
          <t>D557</t>
        </is>
      </c>
      <c r="D88" t="inlineStr">
        <is>
          <t>10000377</t>
        </is>
      </c>
      <c r="E88" t="inlineStr"/>
      <c r="F88" s="11" t="n">
        <v>98.34999999999999</v>
      </c>
      <c r="G88" t="inlineStr"/>
      <c r="I88" t="inlineStr">
        <is>
          <t>TN</t>
        </is>
      </c>
      <c r="J88" t="inlineStr"/>
      <c r="K88" t="inlineStr">
        <is>
          <t>20220516</t>
        </is>
      </c>
      <c r="L88" t="inlineStr">
        <is>
          <t>20251031</t>
        </is>
      </c>
    </row>
    <row r="89">
      <c r="A89" t="inlineStr">
        <is>
          <t>900004722</t>
        </is>
      </c>
      <c r="B89" t="inlineStr">
        <is>
          <t>DW83</t>
        </is>
      </c>
      <c r="C89" t="inlineStr">
        <is>
          <t>D557</t>
        </is>
      </c>
      <c r="D89" t="inlineStr">
        <is>
          <t>10000379</t>
        </is>
      </c>
      <c r="E89" t="inlineStr"/>
      <c r="F89" s="11" t="n">
        <v>111.08</v>
      </c>
      <c r="G89" t="inlineStr"/>
      <c r="I89" t="inlineStr">
        <is>
          <t>TN</t>
        </is>
      </c>
      <c r="J89" t="inlineStr"/>
      <c r="K89" t="inlineStr">
        <is>
          <t>20220516</t>
        </is>
      </c>
      <c r="L89" t="inlineStr">
        <is>
          <t>20251031</t>
        </is>
      </c>
    </row>
    <row r="90">
      <c r="A90" t="inlineStr">
        <is>
          <t>900004722</t>
        </is>
      </c>
      <c r="B90" t="inlineStr">
        <is>
          <t>DW83</t>
        </is>
      </c>
      <c r="C90" t="inlineStr">
        <is>
          <t>D557</t>
        </is>
      </c>
      <c r="D90" t="inlineStr">
        <is>
          <t>10000383</t>
        </is>
      </c>
      <c r="E90" t="inlineStr"/>
      <c r="F90" s="11" t="n">
        <v>116.89</v>
      </c>
      <c r="G90" t="inlineStr"/>
      <c r="I90" t="inlineStr">
        <is>
          <t>TN</t>
        </is>
      </c>
      <c r="J90" t="inlineStr"/>
      <c r="K90" t="inlineStr">
        <is>
          <t>20220516</t>
        </is>
      </c>
      <c r="L90" t="inlineStr">
        <is>
          <t>20251031</t>
        </is>
      </c>
    </row>
    <row r="91">
      <c r="A91" t="inlineStr">
        <is>
          <t>900004722</t>
        </is>
      </c>
      <c r="B91" t="inlineStr">
        <is>
          <t>DW83</t>
        </is>
      </c>
      <c r="C91" t="inlineStr">
        <is>
          <t>D557</t>
        </is>
      </c>
      <c r="D91" t="inlineStr">
        <is>
          <t>10000719</t>
        </is>
      </c>
      <c r="E91" t="inlineStr"/>
      <c r="F91" s="11" t="n">
        <v>113.73</v>
      </c>
      <c r="G91" t="inlineStr"/>
      <c r="I91" t="inlineStr">
        <is>
          <t>TN</t>
        </is>
      </c>
      <c r="J91" t="inlineStr"/>
      <c r="K91" t="inlineStr">
        <is>
          <t>20220516</t>
        </is>
      </c>
      <c r="L91" t="inlineStr">
        <is>
          <t>20251031</t>
        </is>
      </c>
    </row>
    <row r="92">
      <c r="A92" t="inlineStr">
        <is>
          <t>900004722</t>
        </is>
      </c>
      <c r="B92" t="inlineStr">
        <is>
          <t>DW83</t>
        </is>
      </c>
      <c r="C92" t="inlineStr">
        <is>
          <t>D557</t>
        </is>
      </c>
      <c r="D92" t="inlineStr">
        <is>
          <t>10000726</t>
        </is>
      </c>
      <c r="E92" t="inlineStr"/>
      <c r="F92" s="11" t="n">
        <v>157.8</v>
      </c>
      <c r="G92" t="inlineStr"/>
      <c r="I92" t="inlineStr">
        <is>
          <t>TN</t>
        </is>
      </c>
      <c r="J92" t="inlineStr"/>
      <c r="K92" t="inlineStr">
        <is>
          <t>20220516</t>
        </is>
      </c>
      <c r="L92" t="inlineStr">
        <is>
          <t>20251031</t>
        </is>
      </c>
    </row>
    <row r="93">
      <c r="A93" t="inlineStr">
        <is>
          <t>900004722</t>
        </is>
      </c>
      <c r="B93" t="inlineStr">
        <is>
          <t>DW83</t>
        </is>
      </c>
      <c r="C93" t="inlineStr">
        <is>
          <t>D557</t>
        </is>
      </c>
      <c r="D93" t="inlineStr">
        <is>
          <t>10192197</t>
        </is>
      </c>
      <c r="E93" t="inlineStr"/>
      <c r="F93" s="11" t="n">
        <v>74.39</v>
      </c>
      <c r="G93" t="inlineStr"/>
      <c r="I93" t="inlineStr">
        <is>
          <t>TN</t>
        </is>
      </c>
      <c r="J93" t="inlineStr"/>
      <c r="K93" t="inlineStr">
        <is>
          <t>20220516</t>
        </is>
      </c>
      <c r="L93" t="inlineStr">
        <is>
          <t>20251031</t>
        </is>
      </c>
    </row>
    <row r="94">
      <c r="A94" t="inlineStr">
        <is>
          <t>900004777</t>
        </is>
      </c>
      <c r="B94" t="inlineStr">
        <is>
          <t>DW83</t>
        </is>
      </c>
      <c r="C94" t="inlineStr">
        <is>
          <t>D059</t>
        </is>
      </c>
      <c r="D94" t="inlineStr">
        <is>
          <t>10000377</t>
        </is>
      </c>
      <c r="E94" t="inlineStr"/>
      <c r="F94" s="11" t="n">
        <v>111.47</v>
      </c>
      <c r="G94" t="inlineStr"/>
      <c r="I94" t="inlineStr">
        <is>
          <t>TN</t>
        </is>
      </c>
      <c r="J94" t="inlineStr"/>
      <c r="K94" t="inlineStr">
        <is>
          <t>20230203</t>
        </is>
      </c>
      <c r="L94" t="inlineStr">
        <is>
          <t>20240201</t>
        </is>
      </c>
    </row>
    <row r="95">
      <c r="A95" t="inlineStr">
        <is>
          <t>900004777</t>
        </is>
      </c>
      <c r="B95" t="inlineStr">
        <is>
          <t>DW83</t>
        </is>
      </c>
      <c r="C95" t="inlineStr">
        <is>
          <t>D059</t>
        </is>
      </c>
      <c r="D95" t="inlineStr">
        <is>
          <t>10000379</t>
        </is>
      </c>
      <c r="E95" t="inlineStr"/>
      <c r="F95" s="11" t="n">
        <v>129.5</v>
      </c>
      <c r="G95" t="inlineStr"/>
      <c r="I95" t="inlineStr">
        <is>
          <t>TN</t>
        </is>
      </c>
      <c r="J95" t="inlineStr"/>
      <c r="K95" t="inlineStr">
        <is>
          <t>20230203</t>
        </is>
      </c>
      <c r="L95" t="inlineStr">
        <is>
          <t>20240201</t>
        </is>
      </c>
    </row>
    <row r="96">
      <c r="A96" t="inlineStr">
        <is>
          <t>900004777</t>
        </is>
      </c>
      <c r="B96" t="inlineStr">
        <is>
          <t>DW83</t>
        </is>
      </c>
      <c r="C96" t="inlineStr">
        <is>
          <t>D059</t>
        </is>
      </c>
      <c r="D96" t="inlineStr">
        <is>
          <t>10000381</t>
        </is>
      </c>
      <c r="E96" t="inlineStr"/>
      <c r="F96" s="11" t="n">
        <v>88.63</v>
      </c>
      <c r="G96" t="inlineStr"/>
      <c r="I96" t="inlineStr">
        <is>
          <t>TN</t>
        </is>
      </c>
      <c r="J96" t="inlineStr"/>
      <c r="K96" t="inlineStr">
        <is>
          <t>20230203</t>
        </is>
      </c>
      <c r="L96" t="inlineStr">
        <is>
          <t>20240201</t>
        </is>
      </c>
    </row>
    <row r="97">
      <c r="A97" t="inlineStr">
        <is>
          <t>900004777</t>
        </is>
      </c>
      <c r="B97" t="inlineStr">
        <is>
          <t>DW83</t>
        </is>
      </c>
      <c r="C97" t="inlineStr">
        <is>
          <t>D059</t>
        </is>
      </c>
      <c r="D97" t="inlineStr">
        <is>
          <t>10000383</t>
        </is>
      </c>
      <c r="E97" t="inlineStr"/>
      <c r="F97" s="11" t="n">
        <v>136.26</v>
      </c>
      <c r="G97" t="inlineStr"/>
      <c r="I97" t="inlineStr">
        <is>
          <t>TN</t>
        </is>
      </c>
      <c r="J97" t="inlineStr"/>
      <c r="K97" t="inlineStr">
        <is>
          <t>20230203</t>
        </is>
      </c>
      <c r="L97" t="inlineStr">
        <is>
          <t>20240201</t>
        </is>
      </c>
    </row>
    <row r="98">
      <c r="A98" t="inlineStr">
        <is>
          <t>900004777</t>
        </is>
      </c>
      <c r="B98" t="inlineStr">
        <is>
          <t>DW83</t>
        </is>
      </c>
      <c r="C98" t="inlineStr">
        <is>
          <t>D557</t>
        </is>
      </c>
      <c r="D98" t="inlineStr">
        <is>
          <t>10000381</t>
        </is>
      </c>
      <c r="E98" t="inlineStr"/>
      <c r="F98" s="11" t="n">
        <v>73.84999999999999</v>
      </c>
      <c r="G98" t="inlineStr"/>
      <c r="I98" t="inlineStr">
        <is>
          <t>TN</t>
        </is>
      </c>
      <c r="J98" t="inlineStr"/>
      <c r="K98" t="inlineStr">
        <is>
          <t>20230203</t>
        </is>
      </c>
      <c r="L98" t="inlineStr">
        <is>
          <t>20240201</t>
        </is>
      </c>
    </row>
    <row r="99">
      <c r="A99" t="inlineStr">
        <is>
          <t>900004830</t>
        </is>
      </c>
      <c r="B99" t="inlineStr">
        <is>
          <t>DW83</t>
        </is>
      </c>
      <c r="C99" t="inlineStr">
        <is>
          <t>D033</t>
        </is>
      </c>
      <c r="D99" t="inlineStr">
        <is>
          <t>10000377</t>
        </is>
      </c>
      <c r="E99" t="inlineStr"/>
      <c r="F99" s="11" t="n">
        <v>91.83</v>
      </c>
      <c r="G99" t="inlineStr"/>
      <c r="I99" t="inlineStr">
        <is>
          <t>TN</t>
        </is>
      </c>
      <c r="J99" t="inlineStr"/>
      <c r="K99" t="inlineStr">
        <is>
          <t>20260601</t>
        </is>
      </c>
      <c r="L99" t="inlineStr">
        <is>
          <t>99991231</t>
        </is>
      </c>
    </row>
    <row r="100">
      <c r="A100" t="inlineStr">
        <is>
          <t>900004830</t>
        </is>
      </c>
      <c r="B100" t="inlineStr">
        <is>
          <t>DW83</t>
        </is>
      </c>
      <c r="C100" t="inlineStr">
        <is>
          <t>D033</t>
        </is>
      </c>
      <c r="D100" t="inlineStr">
        <is>
          <t>10000379</t>
        </is>
      </c>
      <c r="E100" t="inlineStr"/>
      <c r="F100" s="11" t="n">
        <v>139.55</v>
      </c>
      <c r="G100" t="inlineStr"/>
      <c r="I100" t="inlineStr">
        <is>
          <t>TN</t>
        </is>
      </c>
      <c r="J100" t="inlineStr"/>
      <c r="K100" t="inlineStr">
        <is>
          <t>20260601</t>
        </is>
      </c>
      <c r="L100" t="inlineStr">
        <is>
          <t>99991231</t>
        </is>
      </c>
    </row>
    <row r="101">
      <c r="A101" t="inlineStr">
        <is>
          <t>900004830</t>
        </is>
      </c>
      <c r="B101" t="inlineStr">
        <is>
          <t>DW83</t>
        </is>
      </c>
      <c r="C101" t="inlineStr">
        <is>
          <t>D033</t>
        </is>
      </c>
      <c r="D101" t="inlineStr">
        <is>
          <t>10000381</t>
        </is>
      </c>
      <c r="E101" t="inlineStr"/>
      <c r="F101" s="11" t="n">
        <v>43.77</v>
      </c>
      <c r="G101" t="inlineStr"/>
      <c r="I101" t="inlineStr">
        <is>
          <t>TN</t>
        </is>
      </c>
      <c r="J101" t="inlineStr"/>
      <c r="K101" t="inlineStr">
        <is>
          <t>20230203</t>
        </is>
      </c>
      <c r="L101" t="inlineStr">
        <is>
          <t>20240201</t>
        </is>
      </c>
    </row>
    <row r="102">
      <c r="A102" t="inlineStr">
        <is>
          <t>900004830</t>
        </is>
      </c>
      <c r="B102" t="inlineStr">
        <is>
          <t>DW83</t>
        </is>
      </c>
      <c r="C102" t="inlineStr">
        <is>
          <t>D033</t>
        </is>
      </c>
      <c r="D102" t="inlineStr">
        <is>
          <t>10000383</t>
        </is>
      </c>
      <c r="E102" t="inlineStr"/>
      <c r="F102" s="11" t="n">
        <v>146.84</v>
      </c>
      <c r="G102" t="inlineStr"/>
      <c r="I102" t="inlineStr">
        <is>
          <t>TN</t>
        </is>
      </c>
      <c r="J102" t="inlineStr"/>
      <c r="K102" t="inlineStr">
        <is>
          <t>20260601</t>
        </is>
      </c>
      <c r="L102" t="inlineStr">
        <is>
          <t>99991231</t>
        </is>
      </c>
    </row>
    <row r="103">
      <c r="A103" t="inlineStr">
        <is>
          <t>900004830</t>
        </is>
      </c>
      <c r="B103" t="inlineStr">
        <is>
          <t>DW83</t>
        </is>
      </c>
      <c r="C103" t="inlineStr">
        <is>
          <t>D033</t>
        </is>
      </c>
      <c r="D103" t="inlineStr">
        <is>
          <t>10000719</t>
        </is>
      </c>
      <c r="E103" t="inlineStr"/>
      <c r="F103" s="11" t="n">
        <v>107.14</v>
      </c>
      <c r="G103" t="inlineStr"/>
      <c r="I103" t="inlineStr">
        <is>
          <t>TN</t>
        </is>
      </c>
      <c r="J103" t="inlineStr"/>
      <c r="K103" t="inlineStr">
        <is>
          <t>20260601</t>
        </is>
      </c>
      <c r="L103" t="inlineStr">
        <is>
          <t>99991231</t>
        </is>
      </c>
    </row>
    <row r="104">
      <c r="A104" t="inlineStr">
        <is>
          <t>900004830</t>
        </is>
      </c>
      <c r="B104" t="inlineStr">
        <is>
          <t>DW83</t>
        </is>
      </c>
      <c r="C104" t="inlineStr">
        <is>
          <t>D033</t>
        </is>
      </c>
      <c r="D104" t="inlineStr">
        <is>
          <t>10000726</t>
        </is>
      </c>
      <c r="E104" t="inlineStr"/>
      <c r="F104" s="11" t="n">
        <v>123.78</v>
      </c>
      <c r="G104" t="inlineStr"/>
      <c r="I104" t="inlineStr">
        <is>
          <t>TN</t>
        </is>
      </c>
      <c r="J104" t="inlineStr"/>
      <c r="K104" t="inlineStr">
        <is>
          <t>20230301</t>
        </is>
      </c>
      <c r="L104" t="inlineStr">
        <is>
          <t>99991231</t>
        </is>
      </c>
    </row>
    <row r="105">
      <c r="A105" t="inlineStr">
        <is>
          <t>900004830</t>
        </is>
      </c>
      <c r="B105" t="inlineStr">
        <is>
          <t>DW83</t>
        </is>
      </c>
      <c r="C105" t="inlineStr">
        <is>
          <t>D033</t>
        </is>
      </c>
      <c r="D105" t="inlineStr">
        <is>
          <t>10060689</t>
        </is>
      </c>
      <c r="E105" t="inlineStr"/>
      <c r="F105" s="11" t="n">
        <v>62.73</v>
      </c>
      <c r="G105" t="inlineStr"/>
      <c r="I105" t="inlineStr">
        <is>
          <t>TN</t>
        </is>
      </c>
      <c r="J105" t="inlineStr"/>
      <c r="K105" t="inlineStr">
        <is>
          <t>20230203</t>
        </is>
      </c>
      <c r="L105" t="inlineStr">
        <is>
          <t>20240201</t>
        </is>
      </c>
    </row>
    <row r="106">
      <c r="A106" t="inlineStr">
        <is>
          <t>900004830</t>
        </is>
      </c>
      <c r="B106" t="inlineStr">
        <is>
          <t>DW83</t>
        </is>
      </c>
      <c r="C106" t="inlineStr">
        <is>
          <t>D033</t>
        </is>
      </c>
      <c r="D106" t="inlineStr">
        <is>
          <t>10146739</t>
        </is>
      </c>
      <c r="E106" t="inlineStr"/>
      <c r="F106" s="11" t="n">
        <v>21.16</v>
      </c>
      <c r="G106" t="inlineStr"/>
      <c r="I106" t="inlineStr">
        <is>
          <t>TN</t>
        </is>
      </c>
      <c r="J106" t="inlineStr"/>
      <c r="K106" t="inlineStr">
        <is>
          <t>20230203</t>
        </is>
      </c>
      <c r="L106" t="inlineStr">
        <is>
          <t>20240201</t>
        </is>
      </c>
    </row>
    <row r="107">
      <c r="A107" t="inlineStr">
        <is>
          <t>900004830</t>
        </is>
      </c>
      <c r="B107" t="inlineStr">
        <is>
          <t>DW83</t>
        </is>
      </c>
      <c r="C107" t="inlineStr">
        <is>
          <t>D033</t>
        </is>
      </c>
      <c r="D107" t="inlineStr">
        <is>
          <t>10192197</t>
        </is>
      </c>
      <c r="E107" t="inlineStr"/>
      <c r="F107" s="11" t="n">
        <v>107.07</v>
      </c>
      <c r="G107" t="inlineStr"/>
      <c r="I107" t="inlineStr">
        <is>
          <t>TN</t>
        </is>
      </c>
      <c r="J107" t="inlineStr"/>
      <c r="K107" t="inlineStr">
        <is>
          <t>20260601</t>
        </is>
      </c>
      <c r="L107" t="inlineStr">
        <is>
          <t>99991231</t>
        </is>
      </c>
    </row>
    <row r="108">
      <c r="A108" t="inlineStr">
        <is>
          <t>900004830</t>
        </is>
      </c>
      <c r="B108" t="inlineStr">
        <is>
          <t>DW83</t>
        </is>
      </c>
      <c r="C108" t="inlineStr">
        <is>
          <t>D216</t>
        </is>
      </c>
      <c r="D108" t="inlineStr">
        <is>
          <t>10000379</t>
        </is>
      </c>
      <c r="E108" t="inlineStr"/>
      <c r="F108" s="11" t="n">
        <v>119.23</v>
      </c>
      <c r="G108" t="inlineStr"/>
      <c r="I108" t="inlineStr">
        <is>
          <t>TN</t>
        </is>
      </c>
      <c r="J108" t="inlineStr"/>
      <c r="K108" t="inlineStr">
        <is>
          <t>20230203</t>
        </is>
      </c>
      <c r="L108" t="inlineStr">
        <is>
          <t>99991231</t>
        </is>
      </c>
    </row>
    <row r="109">
      <c r="A109" t="inlineStr">
        <is>
          <t>900004830</t>
        </is>
      </c>
      <c r="B109" t="inlineStr">
        <is>
          <t>DW83</t>
        </is>
      </c>
      <c r="C109" t="inlineStr">
        <is>
          <t>D216</t>
        </is>
      </c>
      <c r="D109" t="inlineStr">
        <is>
          <t>10000383</t>
        </is>
      </c>
      <c r="E109" t="inlineStr"/>
      <c r="F109" s="11" t="n">
        <v>125.46</v>
      </c>
      <c r="G109" t="inlineStr"/>
      <c r="I109" t="inlineStr">
        <is>
          <t>TN</t>
        </is>
      </c>
      <c r="J109" t="inlineStr"/>
      <c r="K109" t="inlineStr">
        <is>
          <t>20230203</t>
        </is>
      </c>
      <c r="L109" t="inlineStr">
        <is>
          <t>99991231</t>
        </is>
      </c>
    </row>
    <row r="110">
      <c r="A110" t="inlineStr">
        <is>
          <t>900004830</t>
        </is>
      </c>
      <c r="B110" t="inlineStr">
        <is>
          <t>DW83</t>
        </is>
      </c>
      <c r="C110" t="inlineStr">
        <is>
          <t>D386</t>
        </is>
      </c>
      <c r="D110" t="inlineStr">
        <is>
          <t>10000377</t>
        </is>
      </c>
      <c r="E110" t="inlineStr"/>
      <c r="F110" s="11" t="n">
        <v>112.38</v>
      </c>
      <c r="G110" t="inlineStr"/>
      <c r="I110" t="inlineStr">
        <is>
          <t>TN</t>
        </is>
      </c>
      <c r="J110" t="inlineStr"/>
      <c r="K110" t="inlineStr">
        <is>
          <t>20260601</t>
        </is>
      </c>
      <c r="L110" t="inlineStr">
        <is>
          <t>99991231</t>
        </is>
      </c>
    </row>
    <row r="111">
      <c r="A111" t="inlineStr">
        <is>
          <t>900004830</t>
        </is>
      </c>
      <c r="B111" t="inlineStr">
        <is>
          <t>DW83</t>
        </is>
      </c>
      <c r="C111" t="inlineStr">
        <is>
          <t>D386</t>
        </is>
      </c>
      <c r="D111" t="inlineStr">
        <is>
          <t>10000379</t>
        </is>
      </c>
      <c r="E111" t="inlineStr"/>
      <c r="F111" s="11" t="n">
        <v>139.55</v>
      </c>
      <c r="G111" t="inlineStr"/>
      <c r="I111" t="inlineStr">
        <is>
          <t>TN</t>
        </is>
      </c>
      <c r="J111" t="inlineStr"/>
      <c r="K111" t="inlineStr">
        <is>
          <t>20260601</t>
        </is>
      </c>
      <c r="L111" t="inlineStr">
        <is>
          <t>99991231</t>
        </is>
      </c>
    </row>
    <row r="112">
      <c r="A112" t="inlineStr">
        <is>
          <t>900004830</t>
        </is>
      </c>
      <c r="B112" t="inlineStr">
        <is>
          <t>DW83</t>
        </is>
      </c>
      <c r="C112" t="inlineStr">
        <is>
          <t>D386</t>
        </is>
      </c>
      <c r="D112" t="inlineStr">
        <is>
          <t>10000381</t>
        </is>
      </c>
      <c r="E112" t="inlineStr"/>
      <c r="F112" s="11" t="n">
        <v>73.91</v>
      </c>
      <c r="G112" t="inlineStr"/>
      <c r="I112" t="inlineStr">
        <is>
          <t>TN</t>
        </is>
      </c>
      <c r="J112" t="inlineStr"/>
      <c r="K112" t="inlineStr">
        <is>
          <t>20230203</t>
        </is>
      </c>
      <c r="L112" t="inlineStr">
        <is>
          <t>20240201</t>
        </is>
      </c>
    </row>
    <row r="113">
      <c r="A113" t="inlineStr">
        <is>
          <t>900004830</t>
        </is>
      </c>
      <c r="B113" t="inlineStr">
        <is>
          <t>DW83</t>
        </is>
      </c>
      <c r="C113" t="inlineStr">
        <is>
          <t>D386</t>
        </is>
      </c>
      <c r="D113" t="inlineStr">
        <is>
          <t>10000383</t>
        </is>
      </c>
      <c r="E113" t="inlineStr"/>
      <c r="F113" s="11" t="n">
        <v>146.84</v>
      </c>
      <c r="G113" t="inlineStr"/>
      <c r="I113" t="inlineStr">
        <is>
          <t>TN</t>
        </is>
      </c>
      <c r="J113" t="inlineStr"/>
      <c r="K113" t="inlineStr">
        <is>
          <t>20260601</t>
        </is>
      </c>
      <c r="L113" t="inlineStr">
        <is>
          <t>99991231</t>
        </is>
      </c>
    </row>
    <row r="114">
      <c r="A114" t="inlineStr">
        <is>
          <t>900004830</t>
        </is>
      </c>
      <c r="B114" t="inlineStr">
        <is>
          <t>DW83</t>
        </is>
      </c>
      <c r="C114" t="inlineStr">
        <is>
          <t>D386</t>
        </is>
      </c>
      <c r="D114" t="inlineStr">
        <is>
          <t>10000719</t>
        </is>
      </c>
      <c r="E114" t="inlineStr"/>
      <c r="F114" s="11" t="n">
        <v>107.14</v>
      </c>
      <c r="G114" t="inlineStr"/>
      <c r="I114" t="inlineStr">
        <is>
          <t>TN</t>
        </is>
      </c>
      <c r="J114" t="inlineStr"/>
      <c r="K114" t="inlineStr">
        <is>
          <t>20260601</t>
        </is>
      </c>
      <c r="L114" t="inlineStr">
        <is>
          <t>99991231</t>
        </is>
      </c>
    </row>
    <row r="115">
      <c r="A115" t="inlineStr">
        <is>
          <t>900004830</t>
        </is>
      </c>
      <c r="B115" t="inlineStr">
        <is>
          <t>DW83</t>
        </is>
      </c>
      <c r="C115" t="inlineStr">
        <is>
          <t>D386</t>
        </is>
      </c>
      <c r="D115" t="inlineStr">
        <is>
          <t>10000726</t>
        </is>
      </c>
      <c r="E115" t="inlineStr"/>
      <c r="F115" s="11" t="n">
        <v>123.78</v>
      </c>
      <c r="G115" t="inlineStr"/>
      <c r="I115" t="inlineStr">
        <is>
          <t>TN</t>
        </is>
      </c>
      <c r="J115" t="inlineStr"/>
      <c r="K115" t="inlineStr">
        <is>
          <t>20230301</t>
        </is>
      </c>
      <c r="L115" t="inlineStr">
        <is>
          <t>99991231</t>
        </is>
      </c>
    </row>
    <row r="116">
      <c r="A116" t="inlineStr">
        <is>
          <t>900004830</t>
        </is>
      </c>
      <c r="B116" t="inlineStr">
        <is>
          <t>DW83</t>
        </is>
      </c>
      <c r="C116" t="inlineStr">
        <is>
          <t>D386</t>
        </is>
      </c>
      <c r="D116" t="inlineStr">
        <is>
          <t>10192197</t>
        </is>
      </c>
      <c r="E116" t="inlineStr"/>
      <c r="F116" s="11" t="n">
        <v>107.07</v>
      </c>
      <c r="G116" t="inlineStr"/>
      <c r="I116" t="inlineStr">
        <is>
          <t>TN</t>
        </is>
      </c>
      <c r="J116" t="inlineStr"/>
      <c r="K116" t="inlineStr">
        <is>
          <t>20260601</t>
        </is>
      </c>
      <c r="L116" t="inlineStr">
        <is>
          <t>99991231</t>
        </is>
      </c>
    </row>
    <row r="117">
      <c r="A117" t="inlineStr">
        <is>
          <t>900004830</t>
        </is>
      </c>
      <c r="B117" t="inlineStr">
        <is>
          <t>DW83</t>
        </is>
      </c>
      <c r="C117" t="inlineStr">
        <is>
          <t>D557</t>
        </is>
      </c>
      <c r="D117" t="inlineStr">
        <is>
          <t>10000332</t>
        </is>
      </c>
      <c r="E117" t="inlineStr"/>
      <c r="F117" s="11" t="n">
        <v>350</v>
      </c>
      <c r="G117" t="inlineStr"/>
      <c r="I117" t="inlineStr">
        <is>
          <t>TN</t>
        </is>
      </c>
      <c r="J117" t="inlineStr"/>
      <c r="K117" t="inlineStr">
        <is>
          <t>20230203</t>
        </is>
      </c>
      <c r="L117" t="inlineStr">
        <is>
          <t>20240201</t>
        </is>
      </c>
    </row>
    <row r="118">
      <c r="A118" t="inlineStr">
        <is>
          <t>900004995</t>
        </is>
      </c>
      <c r="B118" t="inlineStr">
        <is>
          <t>DW83</t>
        </is>
      </c>
      <c r="C118" t="inlineStr">
        <is>
          <t>D215</t>
        </is>
      </c>
      <c r="D118" t="inlineStr">
        <is>
          <t>10000332</t>
        </is>
      </c>
      <c r="E118" t="inlineStr"/>
      <c r="F118" s="11" t="n">
        <v>198.75</v>
      </c>
      <c r="G118" t="inlineStr"/>
      <c r="I118" t="inlineStr">
        <is>
          <t>TN</t>
        </is>
      </c>
      <c r="J118" t="inlineStr"/>
      <c r="K118" t="inlineStr">
        <is>
          <t>20240314</t>
        </is>
      </c>
      <c r="L118" t="inlineStr">
        <is>
          <t>20250529</t>
        </is>
      </c>
    </row>
    <row r="119">
      <c r="A119" t="inlineStr">
        <is>
          <t>900004995</t>
        </is>
      </c>
      <c r="B119" t="inlineStr">
        <is>
          <t>DW83</t>
        </is>
      </c>
      <c r="C119" t="inlineStr">
        <is>
          <t>D386</t>
        </is>
      </c>
      <c r="D119" t="inlineStr">
        <is>
          <t>10000200</t>
        </is>
      </c>
      <c r="E119" t="inlineStr"/>
      <c r="F119" s="11" t="n">
        <v>192.49</v>
      </c>
      <c r="G119" t="inlineStr"/>
      <c r="I119" t="inlineStr">
        <is>
          <t>TN</t>
        </is>
      </c>
      <c r="J119" t="inlineStr"/>
      <c r="K119" t="inlineStr">
        <is>
          <t>20240529</t>
        </is>
      </c>
      <c r="L119" t="inlineStr">
        <is>
          <t>20250529</t>
        </is>
      </c>
    </row>
    <row r="120">
      <c r="A120" t="inlineStr">
        <is>
          <t>900004995</t>
        </is>
      </c>
      <c r="B120" t="inlineStr">
        <is>
          <t>DW83</t>
        </is>
      </c>
      <c r="C120" t="inlineStr">
        <is>
          <t>D386</t>
        </is>
      </c>
      <c r="D120" t="inlineStr">
        <is>
          <t>10210656</t>
        </is>
      </c>
      <c r="E120" t="inlineStr"/>
      <c r="F120" s="11" t="n">
        <v>198.75</v>
      </c>
      <c r="G120" t="inlineStr"/>
      <c r="I120" t="inlineStr">
        <is>
          <t>TN</t>
        </is>
      </c>
      <c r="J120" t="inlineStr"/>
      <c r="K120" t="inlineStr">
        <is>
          <t>20240301</t>
        </is>
      </c>
      <c r="L120" t="inlineStr">
        <is>
          <t>20250529</t>
        </is>
      </c>
    </row>
    <row r="121">
      <c r="A121" t="inlineStr">
        <is>
          <t>900005573</t>
        </is>
      </c>
      <c r="B121" t="inlineStr">
        <is>
          <t>DW83</t>
        </is>
      </c>
      <c r="C121" t="inlineStr">
        <is>
          <t>D215</t>
        </is>
      </c>
      <c r="D121" t="inlineStr">
        <is>
          <t>10000377</t>
        </is>
      </c>
      <c r="E121" t="inlineStr"/>
      <c r="F121" s="11" t="n">
        <v>48.01</v>
      </c>
      <c r="G121" t="inlineStr"/>
      <c r="I121" t="inlineStr">
        <is>
          <t>TN</t>
        </is>
      </c>
      <c r="J121" t="inlineStr"/>
      <c r="K121" t="inlineStr">
        <is>
          <t>20220516</t>
        </is>
      </c>
      <c r="L121" t="inlineStr">
        <is>
          <t>20251031</t>
        </is>
      </c>
    </row>
    <row r="122">
      <c r="A122" t="inlineStr">
        <is>
          <t>900005573</t>
        </is>
      </c>
      <c r="B122" t="inlineStr">
        <is>
          <t>DW83</t>
        </is>
      </c>
      <c r="C122" t="inlineStr">
        <is>
          <t>D215</t>
        </is>
      </c>
      <c r="D122" t="inlineStr">
        <is>
          <t>10000379</t>
        </is>
      </c>
      <c r="E122" t="inlineStr"/>
      <c r="F122" s="11" t="n">
        <v>83.92</v>
      </c>
      <c r="G122" t="inlineStr"/>
      <c r="I122" t="inlineStr">
        <is>
          <t>TN</t>
        </is>
      </c>
      <c r="J122" t="inlineStr"/>
      <c r="K122" t="inlineStr">
        <is>
          <t>20220516</t>
        </is>
      </c>
      <c r="L122" t="inlineStr">
        <is>
          <t>20251031</t>
        </is>
      </c>
    </row>
    <row r="123">
      <c r="A123" t="inlineStr">
        <is>
          <t>900005573</t>
        </is>
      </c>
      <c r="B123" t="inlineStr">
        <is>
          <t>DW83</t>
        </is>
      </c>
      <c r="C123" t="inlineStr">
        <is>
          <t>D215</t>
        </is>
      </c>
      <c r="D123" t="inlineStr">
        <is>
          <t>10000381</t>
        </is>
      </c>
      <c r="E123" t="inlineStr"/>
      <c r="F123" s="11" t="n">
        <v>38.82</v>
      </c>
      <c r="G123" t="inlineStr"/>
      <c r="I123" t="inlineStr">
        <is>
          <t>TN</t>
        </is>
      </c>
      <c r="J123" t="inlineStr"/>
      <c r="K123" t="inlineStr">
        <is>
          <t>20220516</t>
        </is>
      </c>
      <c r="L123" t="inlineStr">
        <is>
          <t>20251031</t>
        </is>
      </c>
    </row>
    <row r="124">
      <c r="A124" t="inlineStr">
        <is>
          <t>900005573</t>
        </is>
      </c>
      <c r="B124" t="inlineStr">
        <is>
          <t>DW83</t>
        </is>
      </c>
      <c r="C124" t="inlineStr">
        <is>
          <t>D215</t>
        </is>
      </c>
      <c r="D124" t="inlineStr">
        <is>
          <t>10000383</t>
        </is>
      </c>
      <c r="E124" t="inlineStr"/>
      <c r="F124" s="11" t="n">
        <v>86.09</v>
      </c>
      <c r="G124" t="inlineStr"/>
      <c r="I124" t="inlineStr">
        <is>
          <t>TN</t>
        </is>
      </c>
      <c r="J124" t="inlineStr"/>
      <c r="K124" t="inlineStr">
        <is>
          <t>20220516</t>
        </is>
      </c>
      <c r="L124" t="inlineStr">
        <is>
          <t>20251031</t>
        </is>
      </c>
    </row>
    <row r="125">
      <c r="A125" t="inlineStr">
        <is>
          <t>900006597</t>
        </is>
      </c>
      <c r="B125" t="inlineStr">
        <is>
          <t>DW83</t>
        </is>
      </c>
      <c r="C125" t="inlineStr">
        <is>
          <t>D035</t>
        </is>
      </c>
      <c r="D125" t="inlineStr">
        <is>
          <t>10000318</t>
        </is>
      </c>
      <c r="E125" t="inlineStr"/>
      <c r="F125" s="11" t="n">
        <v>129.63</v>
      </c>
      <c r="G125" t="inlineStr"/>
      <c r="I125" t="inlineStr">
        <is>
          <t>TN</t>
        </is>
      </c>
      <c r="J125" t="inlineStr"/>
      <c r="K125" t="inlineStr">
        <is>
          <t>20210620</t>
        </is>
      </c>
      <c r="L125" t="inlineStr">
        <is>
          <t>20251031</t>
        </is>
      </c>
    </row>
    <row r="126">
      <c r="A126" t="inlineStr">
        <is>
          <t>900006597</t>
        </is>
      </c>
      <c r="B126" t="inlineStr">
        <is>
          <t>DW83</t>
        </is>
      </c>
      <c r="C126" t="inlineStr">
        <is>
          <t>D035</t>
        </is>
      </c>
      <c r="D126" t="inlineStr">
        <is>
          <t>10000320</t>
        </is>
      </c>
      <c r="E126" t="inlineStr"/>
      <c r="F126" s="11" t="n">
        <v>99.20999999999999</v>
      </c>
      <c r="G126" t="inlineStr"/>
      <c r="I126" t="inlineStr">
        <is>
          <t>TN</t>
        </is>
      </c>
      <c r="J126" t="inlineStr"/>
      <c r="K126" t="inlineStr">
        <is>
          <t>20210620</t>
        </is>
      </c>
      <c r="L126" t="inlineStr">
        <is>
          <t>20251031</t>
        </is>
      </c>
    </row>
    <row r="127">
      <c r="A127" t="inlineStr">
        <is>
          <t>900006597</t>
        </is>
      </c>
      <c r="B127" t="inlineStr">
        <is>
          <t>DW83</t>
        </is>
      </c>
      <c r="C127" t="inlineStr">
        <is>
          <t>D035</t>
        </is>
      </c>
      <c r="D127" t="inlineStr">
        <is>
          <t>10000386</t>
        </is>
      </c>
      <c r="E127" t="inlineStr"/>
      <c r="F127" s="11" t="n">
        <v>115.38</v>
      </c>
      <c r="G127" t="inlineStr"/>
      <c r="I127" t="inlineStr">
        <is>
          <t>TN</t>
        </is>
      </c>
      <c r="J127" t="inlineStr"/>
      <c r="K127" t="inlineStr">
        <is>
          <t>20210620</t>
        </is>
      </c>
      <c r="L127" t="inlineStr">
        <is>
          <t>20251031</t>
        </is>
      </c>
    </row>
    <row r="128">
      <c r="A128" t="inlineStr">
        <is>
          <t>900006597</t>
        </is>
      </c>
      <c r="B128" t="inlineStr">
        <is>
          <t>DW83</t>
        </is>
      </c>
      <c r="C128" t="inlineStr">
        <is>
          <t>D035</t>
        </is>
      </c>
      <c r="D128" t="inlineStr">
        <is>
          <t>10000730</t>
        </is>
      </c>
      <c r="E128" t="inlineStr"/>
      <c r="F128" s="11" t="n">
        <v>116.9</v>
      </c>
      <c r="G128" t="inlineStr"/>
      <c r="I128" t="inlineStr">
        <is>
          <t>TN</t>
        </is>
      </c>
      <c r="J128" t="inlineStr"/>
      <c r="K128" t="inlineStr">
        <is>
          <t>20210620</t>
        </is>
      </c>
      <c r="L128" t="inlineStr">
        <is>
          <t>20251031</t>
        </is>
      </c>
    </row>
    <row r="129">
      <c r="A129" t="inlineStr">
        <is>
          <t>900007347</t>
        </is>
      </c>
      <c r="B129" t="inlineStr">
        <is>
          <t>DW83</t>
        </is>
      </c>
      <c r="C129" t="inlineStr">
        <is>
          <t>D216</t>
        </is>
      </c>
      <c r="D129" t="inlineStr">
        <is>
          <t>10000318</t>
        </is>
      </c>
      <c r="E129" t="inlineStr"/>
      <c r="F129" s="11" t="n">
        <v>177.13</v>
      </c>
      <c r="G129" t="inlineStr"/>
      <c r="I129" t="inlineStr">
        <is>
          <t>TN</t>
        </is>
      </c>
      <c r="J129" t="inlineStr"/>
      <c r="K129" t="inlineStr">
        <is>
          <t>20220516</t>
        </is>
      </c>
      <c r="L129" t="inlineStr">
        <is>
          <t>20251031</t>
        </is>
      </c>
    </row>
    <row r="130">
      <c r="A130" t="inlineStr">
        <is>
          <t>900007347</t>
        </is>
      </c>
      <c r="B130" t="inlineStr">
        <is>
          <t>DW83</t>
        </is>
      </c>
      <c r="C130" t="inlineStr">
        <is>
          <t>D216</t>
        </is>
      </c>
      <c r="D130" t="inlineStr">
        <is>
          <t>10000320</t>
        </is>
      </c>
      <c r="E130" t="inlineStr"/>
      <c r="F130" s="11" t="n">
        <v>158.15</v>
      </c>
      <c r="G130" t="inlineStr"/>
      <c r="I130" t="inlineStr">
        <is>
          <t>TN</t>
        </is>
      </c>
      <c r="J130" t="inlineStr"/>
      <c r="K130" t="inlineStr">
        <is>
          <t>20220516</t>
        </is>
      </c>
      <c r="L130" t="inlineStr">
        <is>
          <t>20251031</t>
        </is>
      </c>
    </row>
    <row r="131">
      <c r="A131" t="inlineStr">
        <is>
          <t>900007347</t>
        </is>
      </c>
      <c r="B131" t="inlineStr">
        <is>
          <t>DW83</t>
        </is>
      </c>
      <c r="C131" t="inlineStr">
        <is>
          <t>D216</t>
        </is>
      </c>
      <c r="D131" t="inlineStr">
        <is>
          <t>10000554</t>
        </is>
      </c>
      <c r="E131" t="inlineStr"/>
      <c r="F131" s="11" t="n">
        <v>174.55</v>
      </c>
      <c r="G131" t="inlineStr"/>
      <c r="I131" t="inlineStr">
        <is>
          <t>TN</t>
        </is>
      </c>
      <c r="J131" t="inlineStr"/>
      <c r="K131" t="inlineStr">
        <is>
          <t>20220516</t>
        </is>
      </c>
      <c r="L131" t="inlineStr">
        <is>
          <t>20251031</t>
        </is>
      </c>
    </row>
    <row r="132">
      <c r="A132" t="inlineStr">
        <is>
          <t>900007615</t>
        </is>
      </c>
      <c r="B132" t="inlineStr">
        <is>
          <t>DW83</t>
        </is>
      </c>
      <c r="C132" t="inlineStr">
        <is>
          <t>D216</t>
        </is>
      </c>
      <c r="D132" t="inlineStr">
        <is>
          <t>10000320</t>
        </is>
      </c>
      <c r="E132" t="inlineStr"/>
      <c r="F132" s="11" t="n">
        <v>255.29</v>
      </c>
      <c r="G132" t="inlineStr"/>
      <c r="I132" t="inlineStr">
        <is>
          <t>TN</t>
        </is>
      </c>
      <c r="J132" t="inlineStr"/>
      <c r="K132" t="inlineStr">
        <is>
          <t>20230714</t>
        </is>
      </c>
      <c r="L132" t="inlineStr">
        <is>
          <t>20251031</t>
        </is>
      </c>
    </row>
    <row r="133">
      <c r="A133" t="inlineStr">
        <is>
          <t>900007615</t>
        </is>
      </c>
      <c r="B133" t="inlineStr">
        <is>
          <t>DW83</t>
        </is>
      </c>
      <c r="C133" t="inlineStr">
        <is>
          <t>D216</t>
        </is>
      </c>
      <c r="D133" t="inlineStr">
        <is>
          <t>10000379</t>
        </is>
      </c>
      <c r="E133" t="inlineStr"/>
      <c r="F133" s="11" t="n">
        <v>153.85</v>
      </c>
      <c r="G133" t="inlineStr"/>
      <c r="I133" t="inlineStr">
        <is>
          <t>TN</t>
        </is>
      </c>
      <c r="J133" t="inlineStr"/>
      <c r="K133" t="inlineStr">
        <is>
          <t>20230714</t>
        </is>
      </c>
      <c r="L133" t="inlineStr">
        <is>
          <t>20251031</t>
        </is>
      </c>
    </row>
    <row r="134">
      <c r="A134" t="inlineStr">
        <is>
          <t>900007615</t>
        </is>
      </c>
      <c r="B134" t="inlineStr">
        <is>
          <t>DW83</t>
        </is>
      </c>
      <c r="C134" t="inlineStr">
        <is>
          <t>D216</t>
        </is>
      </c>
      <c r="D134" t="inlineStr">
        <is>
          <t>10000383</t>
        </is>
      </c>
      <c r="E134" t="inlineStr"/>
      <c r="F134" s="11" t="n">
        <v>161.88</v>
      </c>
      <c r="G134" t="inlineStr"/>
      <c r="I134" t="inlineStr">
        <is>
          <t>TN</t>
        </is>
      </c>
      <c r="J134" t="inlineStr"/>
      <c r="K134" t="inlineStr">
        <is>
          <t>20230714</t>
        </is>
      </c>
      <c r="L134" t="inlineStr">
        <is>
          <t>20251031</t>
        </is>
      </c>
    </row>
    <row r="135">
      <c r="A135" t="inlineStr">
        <is>
          <t>900007615</t>
        </is>
      </c>
      <c r="B135" t="inlineStr">
        <is>
          <t>DW83</t>
        </is>
      </c>
      <c r="C135" t="inlineStr">
        <is>
          <t>D216</t>
        </is>
      </c>
      <c r="D135" t="inlineStr">
        <is>
          <t>10049556</t>
        </is>
      </c>
      <c r="E135" t="inlineStr"/>
      <c r="F135" s="11" t="n">
        <v>165.66</v>
      </c>
      <c r="G135" t="inlineStr"/>
      <c r="I135" t="inlineStr">
        <is>
          <t>TN</t>
        </is>
      </c>
      <c r="J135" t="inlineStr"/>
      <c r="K135" t="inlineStr">
        <is>
          <t>20230714</t>
        </is>
      </c>
      <c r="L135" t="inlineStr">
        <is>
          <t>20251031</t>
        </is>
      </c>
    </row>
    <row r="136">
      <c r="A136" t="inlineStr">
        <is>
          <t>900007615</t>
        </is>
      </c>
      <c r="B136" t="inlineStr">
        <is>
          <t>DW83</t>
        </is>
      </c>
      <c r="C136" t="inlineStr">
        <is>
          <t>D243</t>
        </is>
      </c>
      <c r="D136" t="inlineStr">
        <is>
          <t>10000320</t>
        </is>
      </c>
      <c r="E136" t="inlineStr"/>
      <c r="F136" s="11" t="n">
        <v>255.29</v>
      </c>
      <c r="G136" t="inlineStr"/>
      <c r="I136" t="inlineStr">
        <is>
          <t>TN</t>
        </is>
      </c>
      <c r="J136" t="inlineStr"/>
      <c r="K136" t="inlineStr">
        <is>
          <t>20230301</t>
        </is>
      </c>
      <c r="L136" t="inlineStr">
        <is>
          <t>20250129</t>
        </is>
      </c>
    </row>
    <row r="137">
      <c r="A137" t="inlineStr">
        <is>
          <t>900007615</t>
        </is>
      </c>
      <c r="B137" t="inlineStr">
        <is>
          <t>DW83</t>
        </is>
      </c>
      <c r="C137" t="inlineStr">
        <is>
          <t>D243</t>
        </is>
      </c>
      <c r="D137" t="inlineStr">
        <is>
          <t>10000379</t>
        </is>
      </c>
      <c r="E137" t="inlineStr"/>
      <c r="F137" s="11" t="n">
        <v>153.85</v>
      </c>
      <c r="G137" t="inlineStr"/>
      <c r="I137" t="inlineStr">
        <is>
          <t>TN</t>
        </is>
      </c>
      <c r="J137" t="inlineStr"/>
      <c r="K137" t="inlineStr">
        <is>
          <t>20230301</t>
        </is>
      </c>
      <c r="L137" t="inlineStr">
        <is>
          <t>20250129</t>
        </is>
      </c>
    </row>
    <row r="138">
      <c r="A138" t="inlineStr">
        <is>
          <t>900007615</t>
        </is>
      </c>
      <c r="B138" t="inlineStr">
        <is>
          <t>DW83</t>
        </is>
      </c>
      <c r="C138" t="inlineStr">
        <is>
          <t>D243</t>
        </is>
      </c>
      <c r="D138" t="inlineStr">
        <is>
          <t>10000383</t>
        </is>
      </c>
      <c r="E138" t="inlineStr"/>
      <c r="F138" s="11" t="n">
        <v>161.88</v>
      </c>
      <c r="G138" t="inlineStr"/>
      <c r="I138" t="inlineStr">
        <is>
          <t>TN</t>
        </is>
      </c>
      <c r="J138" t="inlineStr"/>
      <c r="K138" t="inlineStr">
        <is>
          <t>20230301</t>
        </is>
      </c>
      <c r="L138" t="inlineStr">
        <is>
          <t>20250129</t>
        </is>
      </c>
    </row>
    <row r="139">
      <c r="A139" t="inlineStr">
        <is>
          <t>900007615</t>
        </is>
      </c>
      <c r="B139" t="inlineStr">
        <is>
          <t>DW83</t>
        </is>
      </c>
      <c r="C139" t="inlineStr">
        <is>
          <t>D243</t>
        </is>
      </c>
      <c r="D139" t="inlineStr">
        <is>
          <t>10049556</t>
        </is>
      </c>
      <c r="E139" t="inlineStr"/>
      <c r="F139" s="11" t="n">
        <v>165.66</v>
      </c>
      <c r="G139" t="inlineStr"/>
      <c r="I139" t="inlineStr">
        <is>
          <t>TN</t>
        </is>
      </c>
      <c r="J139" t="inlineStr"/>
      <c r="K139" t="inlineStr">
        <is>
          <t>20230301</t>
        </is>
      </c>
      <c r="L139" t="inlineStr">
        <is>
          <t>20250129</t>
        </is>
      </c>
    </row>
    <row r="140">
      <c r="A140" t="inlineStr">
        <is>
          <t>900007616</t>
        </is>
      </c>
      <c r="B140" t="inlineStr">
        <is>
          <t>DW83</t>
        </is>
      </c>
      <c r="C140" t="inlineStr">
        <is>
          <t>D216</t>
        </is>
      </c>
      <c r="D140" t="inlineStr">
        <is>
          <t>10000320</t>
        </is>
      </c>
      <c r="E140" t="inlineStr"/>
      <c r="F140" s="11" t="n">
        <v>255.29</v>
      </c>
      <c r="G140" t="inlineStr"/>
      <c r="I140" t="inlineStr">
        <is>
          <t>TN</t>
        </is>
      </c>
      <c r="J140" t="inlineStr"/>
      <c r="K140" t="inlineStr">
        <is>
          <t>20230322</t>
        </is>
      </c>
      <c r="L140" t="inlineStr">
        <is>
          <t>20251031</t>
        </is>
      </c>
    </row>
    <row r="141">
      <c r="A141" t="inlineStr">
        <is>
          <t>900007616</t>
        </is>
      </c>
      <c r="B141" t="inlineStr">
        <is>
          <t>DW83</t>
        </is>
      </c>
      <c r="C141" t="inlineStr">
        <is>
          <t>D216</t>
        </is>
      </c>
      <c r="D141" t="inlineStr">
        <is>
          <t>10000379</t>
        </is>
      </c>
      <c r="E141" t="inlineStr"/>
      <c r="F141" s="11" t="n">
        <v>153.85</v>
      </c>
      <c r="G141" t="inlineStr"/>
      <c r="I141" t="inlineStr">
        <is>
          <t>TN</t>
        </is>
      </c>
      <c r="J141" t="inlineStr"/>
      <c r="K141" t="inlineStr">
        <is>
          <t>20230322</t>
        </is>
      </c>
      <c r="L141" t="inlineStr">
        <is>
          <t>20251031</t>
        </is>
      </c>
    </row>
    <row r="142">
      <c r="A142" t="inlineStr">
        <is>
          <t>900007616</t>
        </is>
      </c>
      <c r="B142" t="inlineStr">
        <is>
          <t>DW83</t>
        </is>
      </c>
      <c r="C142" t="inlineStr">
        <is>
          <t>D216</t>
        </is>
      </c>
      <c r="D142" t="inlineStr">
        <is>
          <t>10000383</t>
        </is>
      </c>
      <c r="E142" t="inlineStr"/>
      <c r="F142" s="11" t="n">
        <v>161.88</v>
      </c>
      <c r="G142" t="inlineStr"/>
      <c r="I142" t="inlineStr">
        <is>
          <t>TN</t>
        </is>
      </c>
      <c r="J142" t="inlineStr"/>
      <c r="K142" t="inlineStr">
        <is>
          <t>20230322</t>
        </is>
      </c>
      <c r="L142" t="inlineStr">
        <is>
          <t>20251031</t>
        </is>
      </c>
    </row>
    <row r="143">
      <c r="A143" t="inlineStr">
        <is>
          <t>900007616</t>
        </is>
      </c>
      <c r="B143" t="inlineStr">
        <is>
          <t>DW83</t>
        </is>
      </c>
      <c r="C143" t="inlineStr">
        <is>
          <t>D216</t>
        </is>
      </c>
      <c r="D143" t="inlineStr">
        <is>
          <t>10049556</t>
        </is>
      </c>
      <c r="E143" t="inlineStr"/>
      <c r="F143" s="11" t="n">
        <v>165.66</v>
      </c>
      <c r="G143" t="inlineStr"/>
      <c r="I143" t="inlineStr">
        <is>
          <t>TN</t>
        </is>
      </c>
      <c r="J143" t="inlineStr"/>
      <c r="K143" t="inlineStr">
        <is>
          <t>20230322</t>
        </is>
      </c>
      <c r="L143" t="inlineStr">
        <is>
          <t>20251031</t>
        </is>
      </c>
    </row>
    <row r="144">
      <c r="A144" t="inlineStr">
        <is>
          <t>900007616</t>
        </is>
      </c>
      <c r="B144" t="inlineStr">
        <is>
          <t>DW83</t>
        </is>
      </c>
      <c r="C144" t="inlineStr">
        <is>
          <t>D243</t>
        </is>
      </c>
      <c r="D144" t="inlineStr">
        <is>
          <t>10000320</t>
        </is>
      </c>
      <c r="E144" t="inlineStr"/>
      <c r="F144" s="11" t="n">
        <v>255.29</v>
      </c>
      <c r="G144" t="inlineStr"/>
      <c r="I144" t="inlineStr">
        <is>
          <t>TN</t>
        </is>
      </c>
      <c r="J144" t="inlineStr"/>
      <c r="K144" t="inlineStr">
        <is>
          <t>20230301</t>
        </is>
      </c>
      <c r="L144" t="inlineStr">
        <is>
          <t>20250129</t>
        </is>
      </c>
    </row>
    <row r="145">
      <c r="A145" t="inlineStr">
        <is>
          <t>900007616</t>
        </is>
      </c>
      <c r="B145" t="inlineStr">
        <is>
          <t>DW83</t>
        </is>
      </c>
      <c r="C145" t="inlineStr">
        <is>
          <t>D243</t>
        </is>
      </c>
      <c r="D145" t="inlineStr">
        <is>
          <t>10000379</t>
        </is>
      </c>
      <c r="E145" t="inlineStr"/>
      <c r="F145" s="11" t="n">
        <v>153.85</v>
      </c>
      <c r="G145" t="inlineStr"/>
      <c r="I145" t="inlineStr">
        <is>
          <t>TN</t>
        </is>
      </c>
      <c r="J145" t="inlineStr"/>
      <c r="K145" t="inlineStr">
        <is>
          <t>20230301</t>
        </is>
      </c>
      <c r="L145" t="inlineStr">
        <is>
          <t>20250129</t>
        </is>
      </c>
    </row>
    <row r="146">
      <c r="A146" t="inlineStr">
        <is>
          <t>900007616</t>
        </is>
      </c>
      <c r="B146" t="inlineStr">
        <is>
          <t>DW83</t>
        </is>
      </c>
      <c r="C146" t="inlineStr">
        <is>
          <t>D243</t>
        </is>
      </c>
      <c r="D146" t="inlineStr">
        <is>
          <t>10000383</t>
        </is>
      </c>
      <c r="E146" t="inlineStr"/>
      <c r="F146" s="11" t="n">
        <v>161.88</v>
      </c>
      <c r="G146" t="inlineStr"/>
      <c r="I146" t="inlineStr">
        <is>
          <t>TN</t>
        </is>
      </c>
      <c r="J146" t="inlineStr"/>
      <c r="K146" t="inlineStr">
        <is>
          <t>20230301</t>
        </is>
      </c>
      <c r="L146" t="inlineStr">
        <is>
          <t>20250129</t>
        </is>
      </c>
    </row>
    <row r="147">
      <c r="A147" t="inlineStr">
        <is>
          <t>900007616</t>
        </is>
      </c>
      <c r="B147" t="inlineStr">
        <is>
          <t>DW83</t>
        </is>
      </c>
      <c r="C147" t="inlineStr">
        <is>
          <t>D243</t>
        </is>
      </c>
      <c r="D147" t="inlineStr">
        <is>
          <t>10049556</t>
        </is>
      </c>
      <c r="E147" t="inlineStr"/>
      <c r="F147" s="11" t="n">
        <v>165.66</v>
      </c>
      <c r="G147" t="inlineStr"/>
      <c r="I147" t="inlineStr">
        <is>
          <t>TN</t>
        </is>
      </c>
      <c r="J147" t="inlineStr"/>
      <c r="K147" t="inlineStr">
        <is>
          <t>20230301</t>
        </is>
      </c>
      <c r="L147" t="inlineStr">
        <is>
          <t>20250129</t>
        </is>
      </c>
    </row>
    <row r="148">
      <c r="A148" t="inlineStr">
        <is>
          <t>900007631</t>
        </is>
      </c>
      <c r="B148" t="inlineStr">
        <is>
          <t>DW83</t>
        </is>
      </c>
      <c r="C148" t="inlineStr">
        <is>
          <t>D216</t>
        </is>
      </c>
      <c r="D148" t="inlineStr">
        <is>
          <t>10000237</t>
        </is>
      </c>
      <c r="E148" t="inlineStr"/>
      <c r="F148" s="11" t="n">
        <v>224.07</v>
      </c>
      <c r="G148" t="inlineStr"/>
      <c r="I148" t="inlineStr">
        <is>
          <t>TN</t>
        </is>
      </c>
      <c r="J148" t="inlineStr"/>
      <c r="K148" t="inlineStr">
        <is>
          <t>20220526</t>
        </is>
      </c>
      <c r="L148" t="inlineStr">
        <is>
          <t>20251031</t>
        </is>
      </c>
    </row>
    <row r="149">
      <c r="A149" t="inlineStr">
        <is>
          <t>900007631</t>
        </is>
      </c>
      <c r="B149" t="inlineStr">
        <is>
          <t>DW83</t>
        </is>
      </c>
      <c r="C149" t="inlineStr">
        <is>
          <t>D216</t>
        </is>
      </c>
      <c r="D149" t="inlineStr">
        <is>
          <t>10000318</t>
        </is>
      </c>
      <c r="E149" t="inlineStr"/>
      <c r="F149" s="11" t="n">
        <v>222.22</v>
      </c>
      <c r="G149" t="inlineStr"/>
      <c r="I149" t="inlineStr">
        <is>
          <t>TN</t>
        </is>
      </c>
      <c r="J149" t="inlineStr"/>
      <c r="K149" t="inlineStr">
        <is>
          <t>20220526</t>
        </is>
      </c>
      <c r="L149" t="inlineStr">
        <is>
          <t>20251031</t>
        </is>
      </c>
    </row>
    <row r="150">
      <c r="A150" t="inlineStr">
        <is>
          <t>900007631</t>
        </is>
      </c>
      <c r="B150" t="inlineStr">
        <is>
          <t>DW83</t>
        </is>
      </c>
      <c r="C150" t="inlineStr">
        <is>
          <t>D216</t>
        </is>
      </c>
      <c r="D150" t="inlineStr">
        <is>
          <t>10000320</t>
        </is>
      </c>
      <c r="E150" t="inlineStr"/>
      <c r="F150" s="11" t="n">
        <v>211.64</v>
      </c>
      <c r="G150" t="inlineStr"/>
      <c r="I150" t="inlineStr">
        <is>
          <t>TN</t>
        </is>
      </c>
      <c r="J150" t="inlineStr"/>
      <c r="K150" t="inlineStr">
        <is>
          <t>20220526</t>
        </is>
      </c>
      <c r="L150" t="inlineStr">
        <is>
          <t>20251031</t>
        </is>
      </c>
    </row>
    <row r="151">
      <c r="A151" t="inlineStr">
        <is>
          <t>900007631</t>
        </is>
      </c>
      <c r="B151" t="inlineStr">
        <is>
          <t>DW83</t>
        </is>
      </c>
      <c r="C151" t="inlineStr">
        <is>
          <t>D216</t>
        </is>
      </c>
      <c r="D151" t="inlineStr">
        <is>
          <t>10000554</t>
        </is>
      </c>
      <c r="E151" t="inlineStr"/>
      <c r="F151" s="11" t="n">
        <v>218.98</v>
      </c>
      <c r="G151" t="inlineStr"/>
      <c r="I151" t="inlineStr">
        <is>
          <t>TN</t>
        </is>
      </c>
      <c r="J151" t="inlineStr"/>
      <c r="K151" t="inlineStr">
        <is>
          <t>20220526</t>
        </is>
      </c>
      <c r="L151" t="inlineStr">
        <is>
          <t>20251031</t>
        </is>
      </c>
    </row>
    <row r="152">
      <c r="A152" t="inlineStr">
        <is>
          <t>900007661</t>
        </is>
      </c>
      <c r="B152" t="inlineStr">
        <is>
          <t>DW83</t>
        </is>
      </c>
      <c r="C152" t="inlineStr">
        <is>
          <t>D216</t>
        </is>
      </c>
      <c r="D152" t="inlineStr">
        <is>
          <t>10000379</t>
        </is>
      </c>
      <c r="E152" t="inlineStr"/>
      <c r="F152" s="11" t="n">
        <v>265.73</v>
      </c>
      <c r="G152" t="inlineStr"/>
      <c r="I152" t="inlineStr">
        <is>
          <t>TN</t>
        </is>
      </c>
      <c r="J152" t="inlineStr"/>
      <c r="K152" t="inlineStr">
        <is>
          <t>20230602</t>
        </is>
      </c>
      <c r="L152" t="inlineStr">
        <is>
          <t>20251031</t>
        </is>
      </c>
    </row>
    <row r="153">
      <c r="A153" t="inlineStr">
        <is>
          <t>900007661</t>
        </is>
      </c>
      <c r="B153" t="inlineStr">
        <is>
          <t>DW83</t>
        </is>
      </c>
      <c r="C153" t="inlineStr">
        <is>
          <t>D216</t>
        </is>
      </c>
      <c r="D153" t="inlineStr">
        <is>
          <t>10000383</t>
        </is>
      </c>
      <c r="E153" t="inlineStr"/>
      <c r="F153" s="11" t="n">
        <v>279.62</v>
      </c>
      <c r="G153" t="inlineStr"/>
      <c r="I153" t="inlineStr">
        <is>
          <t>TN</t>
        </is>
      </c>
      <c r="J153" t="inlineStr"/>
      <c r="K153" t="inlineStr">
        <is>
          <t>20230602</t>
        </is>
      </c>
      <c r="L153" t="inlineStr">
        <is>
          <t>20251031</t>
        </is>
      </c>
    </row>
    <row r="154">
      <c r="A154" t="inlineStr">
        <is>
          <t>900007661</t>
        </is>
      </c>
      <c r="B154" t="inlineStr">
        <is>
          <t>DW83</t>
        </is>
      </c>
      <c r="C154" t="inlineStr">
        <is>
          <t>D216</t>
        </is>
      </c>
      <c r="D154" t="inlineStr">
        <is>
          <t>10000726</t>
        </is>
      </c>
      <c r="E154" t="inlineStr"/>
      <c r="F154" s="11" t="n">
        <v>255.06</v>
      </c>
      <c r="G154" t="inlineStr"/>
      <c r="I154" t="inlineStr">
        <is>
          <t>TN</t>
        </is>
      </c>
      <c r="J154" t="inlineStr"/>
      <c r="K154" t="inlineStr">
        <is>
          <t>20230602</t>
        </is>
      </c>
      <c r="L154" t="inlineStr">
        <is>
          <t>20251031</t>
        </is>
      </c>
    </row>
    <row r="155">
      <c r="A155" t="inlineStr">
        <is>
          <t>900007661</t>
        </is>
      </c>
      <c r="B155" t="inlineStr">
        <is>
          <t>DW83</t>
        </is>
      </c>
      <c r="C155" t="inlineStr">
        <is>
          <t>D216</t>
        </is>
      </c>
      <c r="D155" t="inlineStr">
        <is>
          <t>10000857</t>
        </is>
      </c>
      <c r="E155" t="inlineStr"/>
      <c r="F155" s="11" t="n">
        <v>258.28</v>
      </c>
      <c r="G155" t="inlineStr"/>
      <c r="I155" t="inlineStr">
        <is>
          <t>TN</t>
        </is>
      </c>
      <c r="J155" t="inlineStr"/>
      <c r="K155" t="inlineStr">
        <is>
          <t>20230602</t>
        </is>
      </c>
      <c r="L155" t="inlineStr">
        <is>
          <t>20251031</t>
        </is>
      </c>
    </row>
    <row r="156">
      <c r="A156" t="inlineStr">
        <is>
          <t>900007661</t>
        </is>
      </c>
      <c r="B156" t="inlineStr">
        <is>
          <t>DW83</t>
        </is>
      </c>
      <c r="C156" t="inlineStr">
        <is>
          <t>D216</t>
        </is>
      </c>
      <c r="D156" t="inlineStr">
        <is>
          <t>10049556</t>
        </is>
      </c>
      <c r="E156" t="inlineStr"/>
      <c r="F156" s="11" t="n">
        <v>286.14</v>
      </c>
      <c r="G156" t="inlineStr"/>
      <c r="I156" t="inlineStr">
        <is>
          <t>TN</t>
        </is>
      </c>
      <c r="J156" t="inlineStr"/>
      <c r="K156" t="inlineStr">
        <is>
          <t>20230602</t>
        </is>
      </c>
      <c r="L156" t="inlineStr">
        <is>
          <t>20251031</t>
        </is>
      </c>
    </row>
    <row r="157">
      <c r="A157" t="inlineStr">
        <is>
          <t>900007706</t>
        </is>
      </c>
      <c r="B157" t="inlineStr">
        <is>
          <t>DW83</t>
        </is>
      </c>
      <c r="C157" t="inlineStr">
        <is>
          <t>D216</t>
        </is>
      </c>
      <c r="D157" t="inlineStr">
        <is>
          <t>10000237</t>
        </is>
      </c>
      <c r="E157" t="inlineStr"/>
      <c r="F157" s="11" t="n">
        <v>269.49</v>
      </c>
      <c r="G157" t="inlineStr"/>
      <c r="I157" t="inlineStr">
        <is>
          <t>TN</t>
        </is>
      </c>
      <c r="J157" t="inlineStr"/>
      <c r="K157" t="inlineStr">
        <is>
          <t>20220701</t>
        </is>
      </c>
      <c r="L157" t="inlineStr">
        <is>
          <t>20251031</t>
        </is>
      </c>
    </row>
    <row r="158">
      <c r="A158" t="inlineStr">
        <is>
          <t>900007706</t>
        </is>
      </c>
      <c r="B158" t="inlineStr">
        <is>
          <t>DW83</t>
        </is>
      </c>
      <c r="C158" t="inlineStr">
        <is>
          <t>D216</t>
        </is>
      </c>
      <c r="D158" t="inlineStr">
        <is>
          <t>10000318</t>
        </is>
      </c>
      <c r="E158" t="inlineStr"/>
      <c r="F158" s="11" t="n">
        <v>209.3</v>
      </c>
      <c r="G158" t="inlineStr"/>
      <c r="I158" t="inlineStr">
        <is>
          <t>TN</t>
        </is>
      </c>
      <c r="J158" t="inlineStr"/>
      <c r="K158" t="inlineStr">
        <is>
          <t>20220701</t>
        </is>
      </c>
      <c r="L158" t="inlineStr">
        <is>
          <t>20251031</t>
        </is>
      </c>
    </row>
    <row r="159">
      <c r="A159" t="inlineStr">
        <is>
          <t>900007706</t>
        </is>
      </c>
      <c r="B159" t="inlineStr">
        <is>
          <t>DW83</t>
        </is>
      </c>
      <c r="C159" t="inlineStr">
        <is>
          <t>D216</t>
        </is>
      </c>
      <c r="D159" t="inlineStr">
        <is>
          <t>10000320</t>
        </is>
      </c>
      <c r="E159" t="inlineStr"/>
      <c r="F159" s="11" t="n">
        <v>199.33</v>
      </c>
      <c r="G159" t="inlineStr"/>
      <c r="I159" t="inlineStr">
        <is>
          <t>TN</t>
        </is>
      </c>
      <c r="J159" t="inlineStr"/>
      <c r="K159" t="inlineStr">
        <is>
          <t>20220701</t>
        </is>
      </c>
      <c r="L159" t="inlineStr">
        <is>
          <t>20251031</t>
        </is>
      </c>
    </row>
    <row r="160">
      <c r="A160" t="inlineStr">
        <is>
          <t>900007706</t>
        </is>
      </c>
      <c r="B160" t="inlineStr">
        <is>
          <t>DW83</t>
        </is>
      </c>
      <c r="C160" t="inlineStr">
        <is>
          <t>D216</t>
        </is>
      </c>
      <c r="D160" t="inlineStr">
        <is>
          <t>10000332</t>
        </is>
      </c>
      <c r="E160" t="inlineStr"/>
      <c r="F160" s="11" t="n">
        <v>136.16</v>
      </c>
      <c r="G160" t="inlineStr"/>
      <c r="I160" t="inlineStr">
        <is>
          <t>TN</t>
        </is>
      </c>
      <c r="J160" t="inlineStr"/>
      <c r="K160" t="inlineStr">
        <is>
          <t>20220701</t>
        </is>
      </c>
      <c r="L160" t="inlineStr">
        <is>
          <t>20251031</t>
        </is>
      </c>
    </row>
    <row r="161">
      <c r="A161" t="inlineStr">
        <is>
          <t>900007706</t>
        </is>
      </c>
      <c r="B161" t="inlineStr">
        <is>
          <t>DW83</t>
        </is>
      </c>
      <c r="C161" t="inlineStr">
        <is>
          <t>D216</t>
        </is>
      </c>
      <c r="D161" t="inlineStr">
        <is>
          <t>10000554</t>
        </is>
      </c>
      <c r="E161" t="inlineStr"/>
      <c r="F161" s="11" t="n">
        <v>206.24</v>
      </c>
      <c r="G161" t="inlineStr"/>
      <c r="I161" t="inlineStr">
        <is>
          <t>TN</t>
        </is>
      </c>
      <c r="J161" t="inlineStr"/>
      <c r="K161" t="inlineStr">
        <is>
          <t>20220701</t>
        </is>
      </c>
      <c r="L161" t="inlineStr">
        <is>
          <t>20251031</t>
        </is>
      </c>
    </row>
    <row r="162">
      <c r="A162" t="inlineStr">
        <is>
          <t>900007706</t>
        </is>
      </c>
      <c r="B162" t="inlineStr">
        <is>
          <t>DW83</t>
        </is>
      </c>
      <c r="C162" t="inlineStr">
        <is>
          <t>D216</t>
        </is>
      </c>
      <c r="D162" t="inlineStr">
        <is>
          <t>10045015</t>
        </is>
      </c>
      <c r="E162" t="inlineStr"/>
      <c r="F162" s="11" t="n">
        <v>294.37</v>
      </c>
      <c r="G162" t="inlineStr"/>
      <c r="I162" t="inlineStr">
        <is>
          <t>TN</t>
        </is>
      </c>
      <c r="J162" t="inlineStr"/>
      <c r="K162" t="inlineStr">
        <is>
          <t>20220701</t>
        </is>
      </c>
      <c r="L162" t="inlineStr">
        <is>
          <t>20251031</t>
        </is>
      </c>
    </row>
    <row r="163">
      <c r="A163" t="inlineStr">
        <is>
          <t>900007706</t>
        </is>
      </c>
      <c r="B163" t="inlineStr">
        <is>
          <t>DW83</t>
        </is>
      </c>
      <c r="C163" t="inlineStr">
        <is>
          <t>D243</t>
        </is>
      </c>
      <c r="D163" t="inlineStr">
        <is>
          <t>10000237</t>
        </is>
      </c>
      <c r="E163" t="inlineStr"/>
      <c r="F163" s="11" t="n">
        <v>269.49</v>
      </c>
      <c r="G163" t="inlineStr"/>
      <c r="I163" t="inlineStr">
        <is>
          <t>TN</t>
        </is>
      </c>
      <c r="J163" t="inlineStr"/>
      <c r="K163" t="inlineStr">
        <is>
          <t>20230301</t>
        </is>
      </c>
      <c r="L163" t="inlineStr">
        <is>
          <t>20250129</t>
        </is>
      </c>
    </row>
    <row r="164">
      <c r="A164" t="inlineStr">
        <is>
          <t>900007706</t>
        </is>
      </c>
      <c r="B164" t="inlineStr">
        <is>
          <t>DW83</t>
        </is>
      </c>
      <c r="C164" t="inlineStr">
        <is>
          <t>D243</t>
        </is>
      </c>
      <c r="D164" t="inlineStr">
        <is>
          <t>10000318</t>
        </is>
      </c>
      <c r="E164" t="inlineStr"/>
      <c r="F164" s="11" t="n">
        <v>209.3</v>
      </c>
      <c r="G164" t="inlineStr"/>
      <c r="I164" t="inlineStr">
        <is>
          <t>TN</t>
        </is>
      </c>
      <c r="J164" t="inlineStr"/>
      <c r="K164" t="inlineStr">
        <is>
          <t>20230301</t>
        </is>
      </c>
      <c r="L164" t="inlineStr">
        <is>
          <t>20250129</t>
        </is>
      </c>
    </row>
    <row r="165">
      <c r="A165" t="inlineStr">
        <is>
          <t>900007706</t>
        </is>
      </c>
      <c r="B165" t="inlineStr">
        <is>
          <t>DW83</t>
        </is>
      </c>
      <c r="C165" t="inlineStr">
        <is>
          <t>D243</t>
        </is>
      </c>
      <c r="D165" t="inlineStr">
        <is>
          <t>10000320</t>
        </is>
      </c>
      <c r="E165" t="inlineStr"/>
      <c r="F165" s="11" t="n">
        <v>199.33</v>
      </c>
      <c r="G165" t="inlineStr"/>
      <c r="I165" t="inlineStr">
        <is>
          <t>TN</t>
        </is>
      </c>
      <c r="J165" t="inlineStr"/>
      <c r="K165" t="inlineStr">
        <is>
          <t>20230301</t>
        </is>
      </c>
      <c r="L165" t="inlineStr">
        <is>
          <t>20250129</t>
        </is>
      </c>
    </row>
    <row r="166">
      <c r="A166" t="inlineStr">
        <is>
          <t>900007706</t>
        </is>
      </c>
      <c r="B166" t="inlineStr">
        <is>
          <t>DW83</t>
        </is>
      </c>
      <c r="C166" t="inlineStr">
        <is>
          <t>D243</t>
        </is>
      </c>
      <c r="D166" t="inlineStr">
        <is>
          <t>10000332</t>
        </is>
      </c>
      <c r="E166" t="inlineStr"/>
      <c r="F166" s="11" t="n">
        <v>136.16</v>
      </c>
      <c r="G166" t="inlineStr"/>
      <c r="I166" t="inlineStr">
        <is>
          <t>TN</t>
        </is>
      </c>
      <c r="J166" t="inlineStr"/>
      <c r="K166" t="inlineStr">
        <is>
          <t>20230301</t>
        </is>
      </c>
      <c r="L166" t="inlineStr">
        <is>
          <t>20250129</t>
        </is>
      </c>
    </row>
    <row r="167">
      <c r="A167" t="inlineStr">
        <is>
          <t>900007706</t>
        </is>
      </c>
      <c r="B167" t="inlineStr">
        <is>
          <t>DW83</t>
        </is>
      </c>
      <c r="C167" t="inlineStr">
        <is>
          <t>D243</t>
        </is>
      </c>
      <c r="D167" t="inlineStr">
        <is>
          <t>10000554</t>
        </is>
      </c>
      <c r="E167" t="inlineStr"/>
      <c r="F167" s="11" t="n">
        <v>206.24</v>
      </c>
      <c r="G167" t="inlineStr"/>
      <c r="I167" t="inlineStr">
        <is>
          <t>TN</t>
        </is>
      </c>
      <c r="J167" t="inlineStr"/>
      <c r="K167" t="inlineStr">
        <is>
          <t>20230301</t>
        </is>
      </c>
      <c r="L167" t="inlineStr">
        <is>
          <t>20250129</t>
        </is>
      </c>
    </row>
    <row r="168">
      <c r="A168" t="inlineStr">
        <is>
          <t>900007706</t>
        </is>
      </c>
      <c r="B168" t="inlineStr">
        <is>
          <t>DW83</t>
        </is>
      </c>
      <c r="C168" t="inlineStr">
        <is>
          <t>D243</t>
        </is>
      </c>
      <c r="D168" t="inlineStr">
        <is>
          <t>10045015</t>
        </is>
      </c>
      <c r="E168" t="inlineStr"/>
      <c r="F168" s="11" t="n">
        <v>294.37</v>
      </c>
      <c r="G168" t="inlineStr"/>
      <c r="I168" t="inlineStr">
        <is>
          <t>TN</t>
        </is>
      </c>
      <c r="J168" t="inlineStr"/>
      <c r="K168" t="inlineStr">
        <is>
          <t>20230301</t>
        </is>
      </c>
      <c r="L168" t="inlineStr">
        <is>
          <t>20250129</t>
        </is>
      </c>
    </row>
    <row r="169">
      <c r="A169" t="inlineStr">
        <is>
          <t>900007868</t>
        </is>
      </c>
      <c r="B169" t="inlineStr">
        <is>
          <t>DW83</t>
        </is>
      </c>
      <c r="C169" t="inlineStr">
        <is>
          <t>D216</t>
        </is>
      </c>
      <c r="D169" t="inlineStr">
        <is>
          <t>10000191</t>
        </is>
      </c>
      <c r="E169" t="inlineStr"/>
      <c r="F169" s="11" t="n">
        <v>178.65</v>
      </c>
      <c r="G169" t="inlineStr"/>
      <c r="I169" t="inlineStr">
        <is>
          <t>TN</t>
        </is>
      </c>
      <c r="J169" t="inlineStr"/>
      <c r="K169" t="inlineStr">
        <is>
          <t>20250224</t>
        </is>
      </c>
      <c r="L169" t="inlineStr">
        <is>
          <t>99991231</t>
        </is>
      </c>
    </row>
    <row r="170">
      <c r="A170" t="inlineStr">
        <is>
          <t>900007868</t>
        </is>
      </c>
      <c r="B170" t="inlineStr">
        <is>
          <t>DW83</t>
        </is>
      </c>
      <c r="C170" t="inlineStr">
        <is>
          <t>D216</t>
        </is>
      </c>
      <c r="D170" t="inlineStr">
        <is>
          <t>10000388</t>
        </is>
      </c>
      <c r="E170" t="inlineStr"/>
      <c r="F170" s="11" t="n">
        <v>180.58</v>
      </c>
      <c r="G170" t="inlineStr"/>
      <c r="I170" t="inlineStr">
        <is>
          <t>TN</t>
        </is>
      </c>
      <c r="J170" t="inlineStr"/>
      <c r="K170" t="inlineStr">
        <is>
          <t>20250224</t>
        </is>
      </c>
      <c r="L170" t="inlineStr">
        <is>
          <t>99991231</t>
        </is>
      </c>
    </row>
    <row r="171">
      <c r="A171" t="inlineStr">
        <is>
          <t>900007907</t>
        </is>
      </c>
      <c r="B171" t="inlineStr">
        <is>
          <t>DW83</t>
        </is>
      </c>
      <c r="C171" t="inlineStr">
        <is>
          <t>D216</t>
        </is>
      </c>
      <c r="D171" t="inlineStr">
        <is>
          <t>10000437</t>
        </is>
      </c>
      <c r="E171" t="inlineStr"/>
      <c r="F171" s="11" t="n">
        <v>275.75</v>
      </c>
      <c r="G171" t="inlineStr"/>
      <c r="I171" t="inlineStr">
        <is>
          <t>TN</t>
        </is>
      </c>
      <c r="J171" t="inlineStr"/>
      <c r="K171" t="inlineStr">
        <is>
          <t>20250301</t>
        </is>
      </c>
      <c r="L171" t="inlineStr">
        <is>
          <t>20250701</t>
        </is>
      </c>
    </row>
    <row r="172">
      <c r="A172" t="inlineStr">
        <is>
          <t>900007907</t>
        </is>
      </c>
      <c r="B172" t="inlineStr">
        <is>
          <t>DW83</t>
        </is>
      </c>
      <c r="C172" t="inlineStr">
        <is>
          <t>D216</t>
        </is>
      </c>
      <c r="D172" t="inlineStr">
        <is>
          <t>10000829</t>
        </is>
      </c>
      <c r="E172" t="inlineStr"/>
      <c r="F172" s="11" t="n">
        <v>262.24</v>
      </c>
      <c r="G172" t="inlineStr"/>
      <c r="I172" t="inlineStr">
        <is>
          <t>TN</t>
        </is>
      </c>
      <c r="J172" t="inlineStr"/>
      <c r="K172" t="inlineStr">
        <is>
          <t>20240705</t>
        </is>
      </c>
      <c r="L172" t="inlineStr">
        <is>
          <t>20240705</t>
        </is>
      </c>
    </row>
    <row r="173">
      <c r="A173" t="inlineStr">
        <is>
          <t>900007907</t>
        </is>
      </c>
      <c r="B173" t="inlineStr">
        <is>
          <t>DW83</t>
        </is>
      </c>
      <c r="C173" t="inlineStr">
        <is>
          <t>D216</t>
        </is>
      </c>
      <c r="D173" t="inlineStr">
        <is>
          <t>10258539</t>
        </is>
      </c>
      <c r="E173" t="inlineStr"/>
      <c r="F173" s="11" t="n">
        <v>260.84</v>
      </c>
      <c r="G173" t="inlineStr"/>
      <c r="I173" t="inlineStr">
        <is>
          <t>TN</t>
        </is>
      </c>
      <c r="J173" t="inlineStr"/>
      <c r="K173" t="inlineStr">
        <is>
          <t>20250301</t>
        </is>
      </c>
      <c r="L173" t="inlineStr">
        <is>
          <t>20250701</t>
        </is>
      </c>
    </row>
    <row r="174">
      <c r="A174" t="inlineStr">
        <is>
          <t>900008104</t>
        </is>
      </c>
      <c r="B174" t="inlineStr">
        <is>
          <t>DW83</t>
        </is>
      </c>
      <c r="C174" t="inlineStr">
        <is>
          <t>D216</t>
        </is>
      </c>
      <c r="D174" t="inlineStr">
        <is>
          <t>10000191</t>
        </is>
      </c>
      <c r="E174" t="inlineStr"/>
      <c r="F174" s="11" t="n">
        <v>226.95</v>
      </c>
      <c r="G174" t="inlineStr"/>
      <c r="I174" t="inlineStr">
        <is>
          <t>TN</t>
        </is>
      </c>
      <c r="J174" t="inlineStr"/>
      <c r="K174" t="inlineStr">
        <is>
          <t>20230401</t>
        </is>
      </c>
      <c r="L174" t="inlineStr">
        <is>
          <t>99991231</t>
        </is>
      </c>
    </row>
    <row r="175">
      <c r="A175" t="inlineStr">
        <is>
          <t>900008104</t>
        </is>
      </c>
      <c r="B175" t="inlineStr">
        <is>
          <t>DW83</t>
        </is>
      </c>
      <c r="C175" t="inlineStr">
        <is>
          <t>D216</t>
        </is>
      </c>
      <c r="D175" t="inlineStr">
        <is>
          <t>10000384</t>
        </is>
      </c>
      <c r="E175" t="inlineStr"/>
      <c r="F175" s="11" t="n">
        <v>198.76</v>
      </c>
      <c r="G175" t="inlineStr"/>
      <c r="I175" t="inlineStr">
        <is>
          <t>TN</t>
        </is>
      </c>
      <c r="J175" t="inlineStr"/>
      <c r="K175" t="inlineStr">
        <is>
          <t>20230401</t>
        </is>
      </c>
      <c r="L175" t="inlineStr">
        <is>
          <t>99991231</t>
        </is>
      </c>
    </row>
    <row r="176">
      <c r="A176" t="inlineStr">
        <is>
          <t>900008104</t>
        </is>
      </c>
      <c r="B176" t="inlineStr">
        <is>
          <t>DW83</t>
        </is>
      </c>
      <c r="C176" t="inlineStr">
        <is>
          <t>D216</t>
        </is>
      </c>
      <c r="D176" t="inlineStr">
        <is>
          <t>10000388</t>
        </is>
      </c>
      <c r="E176" t="inlineStr"/>
      <c r="F176" s="11" t="n">
        <v>229.39</v>
      </c>
      <c r="G176" t="inlineStr"/>
      <c r="I176" t="inlineStr">
        <is>
          <t>TN</t>
        </is>
      </c>
      <c r="J176" t="inlineStr"/>
      <c r="K176" t="inlineStr">
        <is>
          <t>20230401</t>
        </is>
      </c>
      <c r="L176" t="inlineStr">
        <is>
          <t>99991231</t>
        </is>
      </c>
    </row>
    <row r="177">
      <c r="A177" t="inlineStr">
        <is>
          <t>900008104</t>
        </is>
      </c>
      <c r="B177" t="inlineStr">
        <is>
          <t>DW83</t>
        </is>
      </c>
      <c r="C177" t="inlineStr">
        <is>
          <t>D216</t>
        </is>
      </c>
      <c r="D177" t="inlineStr">
        <is>
          <t>10004258</t>
        </is>
      </c>
      <c r="E177" t="inlineStr"/>
      <c r="F177" s="11" t="n">
        <v>209.15</v>
      </c>
      <c r="G177" t="inlineStr"/>
      <c r="I177" t="inlineStr">
        <is>
          <t>TN</t>
        </is>
      </c>
      <c r="J177" t="inlineStr"/>
      <c r="K177" t="inlineStr">
        <is>
          <t>20230401</t>
        </is>
      </c>
      <c r="L177" t="inlineStr">
        <is>
          <t>99991231</t>
        </is>
      </c>
    </row>
    <row r="178">
      <c r="A178" t="inlineStr">
        <is>
          <t>900008104</t>
        </is>
      </c>
      <c r="B178" t="inlineStr">
        <is>
          <t>DW83</t>
        </is>
      </c>
      <c r="C178" t="inlineStr">
        <is>
          <t>D216</t>
        </is>
      </c>
      <c r="D178" t="inlineStr">
        <is>
          <t>10154410</t>
        </is>
      </c>
      <c r="E178" t="inlineStr"/>
      <c r="F178" s="11" t="n">
        <v>207.14</v>
      </c>
      <c r="G178" t="inlineStr"/>
      <c r="I178" t="inlineStr">
        <is>
          <t>TN</t>
        </is>
      </c>
      <c r="J178" t="inlineStr"/>
      <c r="K178" t="inlineStr">
        <is>
          <t>20230502</t>
        </is>
      </c>
      <c r="L178" t="inlineStr">
        <is>
          <t>99991231</t>
        </is>
      </c>
    </row>
    <row r="179">
      <c r="A179" t="inlineStr">
        <is>
          <t>900008104</t>
        </is>
      </c>
      <c r="B179" t="inlineStr">
        <is>
          <t>DW83</t>
        </is>
      </c>
      <c r="C179" t="inlineStr">
        <is>
          <t>D243</t>
        </is>
      </c>
      <c r="D179" t="inlineStr">
        <is>
          <t>10000191</t>
        </is>
      </c>
      <c r="E179" t="inlineStr"/>
      <c r="F179" s="11" t="n">
        <v>226.95</v>
      </c>
      <c r="G179" t="inlineStr"/>
      <c r="I179" t="inlineStr">
        <is>
          <t>TN</t>
        </is>
      </c>
      <c r="J179" t="inlineStr"/>
      <c r="K179" t="inlineStr">
        <is>
          <t>20230301</t>
        </is>
      </c>
      <c r="L179" t="inlineStr">
        <is>
          <t>20250129</t>
        </is>
      </c>
    </row>
    <row r="180">
      <c r="A180" t="inlineStr">
        <is>
          <t>900008104</t>
        </is>
      </c>
      <c r="B180" t="inlineStr">
        <is>
          <t>DW83</t>
        </is>
      </c>
      <c r="C180" t="inlineStr">
        <is>
          <t>D243</t>
        </is>
      </c>
      <c r="D180" t="inlineStr">
        <is>
          <t>10000384</t>
        </is>
      </c>
      <c r="E180" t="inlineStr"/>
      <c r="F180" s="11" t="n">
        <v>198.76</v>
      </c>
      <c r="G180" t="inlineStr"/>
      <c r="I180" t="inlineStr">
        <is>
          <t>TN</t>
        </is>
      </c>
      <c r="J180" t="inlineStr"/>
      <c r="K180" t="inlineStr">
        <is>
          <t>20230301</t>
        </is>
      </c>
      <c r="L180" t="inlineStr">
        <is>
          <t>20250129</t>
        </is>
      </c>
    </row>
    <row r="181">
      <c r="A181" t="inlineStr">
        <is>
          <t>900008104</t>
        </is>
      </c>
      <c r="B181" t="inlineStr">
        <is>
          <t>DW83</t>
        </is>
      </c>
      <c r="C181" t="inlineStr">
        <is>
          <t>D243</t>
        </is>
      </c>
      <c r="D181" t="inlineStr">
        <is>
          <t>10000388</t>
        </is>
      </c>
      <c r="E181" t="inlineStr"/>
      <c r="F181" s="11" t="n">
        <v>229.39</v>
      </c>
      <c r="G181" t="inlineStr"/>
      <c r="I181" t="inlineStr">
        <is>
          <t>TN</t>
        </is>
      </c>
      <c r="J181" t="inlineStr"/>
      <c r="K181" t="inlineStr">
        <is>
          <t>20230301</t>
        </is>
      </c>
      <c r="L181" t="inlineStr">
        <is>
          <t>20250129</t>
        </is>
      </c>
    </row>
    <row r="182">
      <c r="A182" t="inlineStr">
        <is>
          <t>900008104</t>
        </is>
      </c>
      <c r="B182" t="inlineStr">
        <is>
          <t>DW83</t>
        </is>
      </c>
      <c r="C182" t="inlineStr">
        <is>
          <t>D243</t>
        </is>
      </c>
      <c r="D182" t="inlineStr">
        <is>
          <t>10004258</t>
        </is>
      </c>
      <c r="E182" t="inlineStr"/>
      <c r="F182" s="11" t="n">
        <v>209.15</v>
      </c>
      <c r="G182" t="inlineStr"/>
      <c r="I182" t="inlineStr">
        <is>
          <t>TN</t>
        </is>
      </c>
      <c r="J182" t="inlineStr"/>
      <c r="K182" t="inlineStr">
        <is>
          <t>20230301</t>
        </is>
      </c>
      <c r="L182" t="inlineStr">
        <is>
          <t>20250129</t>
        </is>
      </c>
    </row>
    <row r="183">
      <c r="A183" t="inlineStr">
        <is>
          <t>900008104</t>
        </is>
      </c>
      <c r="B183" t="inlineStr">
        <is>
          <t>DW83</t>
        </is>
      </c>
      <c r="C183" t="inlineStr">
        <is>
          <t>D243</t>
        </is>
      </c>
      <c r="D183" t="inlineStr">
        <is>
          <t>10154410</t>
        </is>
      </c>
      <c r="E183" t="inlineStr"/>
      <c r="F183" s="11" t="n">
        <v>207.14</v>
      </c>
      <c r="G183" t="inlineStr"/>
      <c r="I183" t="inlineStr">
        <is>
          <t>TN</t>
        </is>
      </c>
      <c r="J183" t="inlineStr"/>
      <c r="K183" t="inlineStr">
        <is>
          <t>20230301</t>
        </is>
      </c>
      <c r="L183" t="inlineStr">
        <is>
          <t>20250129</t>
        </is>
      </c>
    </row>
    <row r="184">
      <c r="A184" t="inlineStr">
        <is>
          <t>900008104</t>
        </is>
      </c>
      <c r="B184" t="inlineStr">
        <is>
          <t>DW83</t>
        </is>
      </c>
      <c r="C184" t="inlineStr">
        <is>
          <t>DD66</t>
        </is>
      </c>
      <c r="D184" t="inlineStr">
        <is>
          <t>10000191</t>
        </is>
      </c>
      <c r="E184" t="inlineStr"/>
      <c r="F184" s="11" t="n">
        <v>226.95</v>
      </c>
      <c r="G184" t="inlineStr"/>
      <c r="I184" t="inlineStr">
        <is>
          <t>TN</t>
        </is>
      </c>
      <c r="J184" t="inlineStr"/>
      <c r="K184" t="inlineStr">
        <is>
          <t>20230402</t>
        </is>
      </c>
      <c r="L184" t="inlineStr">
        <is>
          <t>99991231</t>
        </is>
      </c>
    </row>
    <row r="185">
      <c r="A185" t="inlineStr">
        <is>
          <t>900008104</t>
        </is>
      </c>
      <c r="B185" t="inlineStr">
        <is>
          <t>DW83</t>
        </is>
      </c>
      <c r="C185" t="inlineStr">
        <is>
          <t>DD66</t>
        </is>
      </c>
      <c r="D185" t="inlineStr">
        <is>
          <t>10000384</t>
        </is>
      </c>
      <c r="E185" t="inlineStr"/>
      <c r="F185" s="11" t="n">
        <v>198.76</v>
      </c>
      <c r="G185" t="inlineStr"/>
      <c r="I185" t="inlineStr">
        <is>
          <t>TN</t>
        </is>
      </c>
      <c r="J185" t="inlineStr"/>
      <c r="K185" t="inlineStr">
        <is>
          <t>20230402</t>
        </is>
      </c>
      <c r="L185" t="inlineStr">
        <is>
          <t>99991231</t>
        </is>
      </c>
    </row>
    <row r="186">
      <c r="A186" t="inlineStr">
        <is>
          <t>900008104</t>
        </is>
      </c>
      <c r="B186" t="inlineStr">
        <is>
          <t>DW83</t>
        </is>
      </c>
      <c r="C186" t="inlineStr">
        <is>
          <t>DD66</t>
        </is>
      </c>
      <c r="D186" t="inlineStr">
        <is>
          <t>10000388</t>
        </is>
      </c>
      <c r="E186" t="inlineStr"/>
      <c r="F186" s="11" t="n">
        <v>229.39</v>
      </c>
      <c r="G186" t="inlineStr"/>
      <c r="I186" t="inlineStr">
        <is>
          <t>TN</t>
        </is>
      </c>
      <c r="J186" t="inlineStr"/>
      <c r="K186" t="inlineStr">
        <is>
          <t>20230402</t>
        </is>
      </c>
      <c r="L186" t="inlineStr">
        <is>
          <t>99991231</t>
        </is>
      </c>
    </row>
    <row r="187">
      <c r="A187" t="inlineStr">
        <is>
          <t>900008104</t>
        </is>
      </c>
      <c r="B187" t="inlineStr">
        <is>
          <t>DW83</t>
        </is>
      </c>
      <c r="C187" t="inlineStr">
        <is>
          <t>DD66</t>
        </is>
      </c>
      <c r="D187" t="inlineStr">
        <is>
          <t>10004258</t>
        </is>
      </c>
      <c r="E187" t="inlineStr"/>
      <c r="F187" s="11" t="n">
        <v>209.15</v>
      </c>
      <c r="G187" t="inlineStr"/>
      <c r="I187" t="inlineStr">
        <is>
          <t>TN</t>
        </is>
      </c>
      <c r="J187" t="inlineStr"/>
      <c r="K187" t="inlineStr">
        <is>
          <t>20230402</t>
        </is>
      </c>
      <c r="L187" t="inlineStr">
        <is>
          <t>99991231</t>
        </is>
      </c>
    </row>
    <row r="188">
      <c r="A188" t="inlineStr">
        <is>
          <t>900008104</t>
        </is>
      </c>
      <c r="B188" t="inlineStr">
        <is>
          <t>DW83</t>
        </is>
      </c>
      <c r="C188" t="inlineStr">
        <is>
          <t>DE03</t>
        </is>
      </c>
      <c r="D188" t="inlineStr">
        <is>
          <t>10000191</t>
        </is>
      </c>
      <c r="E188" t="inlineStr"/>
      <c r="F188" s="11" t="n">
        <v>226.95</v>
      </c>
      <c r="G188" t="inlineStr"/>
      <c r="I188" t="inlineStr">
        <is>
          <t>TN</t>
        </is>
      </c>
      <c r="J188" t="inlineStr"/>
      <c r="K188" t="inlineStr">
        <is>
          <t>20230301</t>
        </is>
      </c>
      <c r="L188" t="inlineStr">
        <is>
          <t>20250129</t>
        </is>
      </c>
    </row>
    <row r="189">
      <c r="A189" t="inlineStr">
        <is>
          <t>900008104</t>
        </is>
      </c>
      <c r="B189" t="inlineStr">
        <is>
          <t>DW83</t>
        </is>
      </c>
      <c r="C189" t="inlineStr">
        <is>
          <t>DE03</t>
        </is>
      </c>
      <c r="D189" t="inlineStr">
        <is>
          <t>10000384</t>
        </is>
      </c>
      <c r="E189" t="inlineStr"/>
      <c r="F189" s="11" t="n">
        <v>198.76</v>
      </c>
      <c r="G189" t="inlineStr"/>
      <c r="I189" t="inlineStr">
        <is>
          <t>TN</t>
        </is>
      </c>
      <c r="J189" t="inlineStr"/>
      <c r="K189" t="inlineStr">
        <is>
          <t>20230301</t>
        </is>
      </c>
      <c r="L189" t="inlineStr">
        <is>
          <t>20250129</t>
        </is>
      </c>
    </row>
    <row r="190">
      <c r="A190" t="inlineStr">
        <is>
          <t>900008104</t>
        </is>
      </c>
      <c r="B190" t="inlineStr">
        <is>
          <t>DW83</t>
        </is>
      </c>
      <c r="C190" t="inlineStr">
        <is>
          <t>DE03</t>
        </is>
      </c>
      <c r="D190" t="inlineStr">
        <is>
          <t>10000388</t>
        </is>
      </c>
      <c r="E190" t="inlineStr"/>
      <c r="F190" s="11" t="n">
        <v>229.39</v>
      </c>
      <c r="G190" t="inlineStr"/>
      <c r="I190" t="inlineStr">
        <is>
          <t>TN</t>
        </is>
      </c>
      <c r="J190" t="inlineStr"/>
      <c r="K190" t="inlineStr">
        <is>
          <t>20230301</t>
        </is>
      </c>
      <c r="L190" t="inlineStr">
        <is>
          <t>20250129</t>
        </is>
      </c>
    </row>
    <row r="191">
      <c r="A191" t="inlineStr">
        <is>
          <t>900008104</t>
        </is>
      </c>
      <c r="B191" t="inlineStr">
        <is>
          <t>DW83</t>
        </is>
      </c>
      <c r="C191" t="inlineStr">
        <is>
          <t>DE03</t>
        </is>
      </c>
      <c r="D191" t="inlineStr">
        <is>
          <t>10004258</t>
        </is>
      </c>
      <c r="E191" t="inlineStr"/>
      <c r="F191" s="11" t="n">
        <v>209.15</v>
      </c>
      <c r="G191" t="inlineStr"/>
      <c r="I191" t="inlineStr">
        <is>
          <t>TN</t>
        </is>
      </c>
      <c r="J191" t="inlineStr"/>
      <c r="K191" t="inlineStr">
        <is>
          <t>20230301</t>
        </is>
      </c>
      <c r="L191" t="inlineStr">
        <is>
          <t>20250129</t>
        </is>
      </c>
    </row>
    <row r="192">
      <c r="A192" t="inlineStr">
        <is>
          <t>900008141</t>
        </is>
      </c>
      <c r="B192" t="inlineStr">
        <is>
          <t>DW83</t>
        </is>
      </c>
      <c r="C192" t="inlineStr">
        <is>
          <t>D033</t>
        </is>
      </c>
      <c r="D192" t="inlineStr">
        <is>
          <t>10000332</t>
        </is>
      </c>
      <c r="E192" t="inlineStr"/>
      <c r="F192" s="11" t="n">
        <v>312.5</v>
      </c>
      <c r="G192" t="inlineStr"/>
      <c r="I192" t="inlineStr">
        <is>
          <t>TN</t>
        </is>
      </c>
      <c r="J192" t="inlineStr"/>
      <c r="K192" t="inlineStr">
        <is>
          <t>20240307</t>
        </is>
      </c>
      <c r="L192" t="inlineStr">
        <is>
          <t>99991231</t>
        </is>
      </c>
    </row>
    <row r="193">
      <c r="A193" t="inlineStr">
        <is>
          <t>900008141</t>
        </is>
      </c>
      <c r="B193" t="inlineStr">
        <is>
          <t>DW83</t>
        </is>
      </c>
      <c r="C193" t="inlineStr">
        <is>
          <t>D215</t>
        </is>
      </c>
      <c r="D193" t="inlineStr">
        <is>
          <t>10000332</t>
        </is>
      </c>
      <c r="E193" t="inlineStr"/>
      <c r="F193" s="11" t="n">
        <v>312.5</v>
      </c>
      <c r="G193" t="inlineStr"/>
      <c r="I193" t="inlineStr">
        <is>
          <t>TN</t>
        </is>
      </c>
      <c r="J193" t="inlineStr"/>
      <c r="K193" t="inlineStr">
        <is>
          <t>20240307</t>
        </is>
      </c>
      <c r="L193" t="inlineStr">
        <is>
          <t>99991231</t>
        </is>
      </c>
    </row>
    <row r="194">
      <c r="A194" t="inlineStr">
        <is>
          <t>900008141</t>
        </is>
      </c>
      <c r="B194" t="inlineStr">
        <is>
          <t>DW83</t>
        </is>
      </c>
      <c r="C194" t="inlineStr">
        <is>
          <t>D216</t>
        </is>
      </c>
      <c r="D194" t="inlineStr">
        <is>
          <t>10000320</t>
        </is>
      </c>
      <c r="E194" t="inlineStr"/>
      <c r="F194" s="11" t="n">
        <v>87.3</v>
      </c>
      <c r="G194" t="inlineStr"/>
      <c r="I194" t="inlineStr">
        <is>
          <t>TN</t>
        </is>
      </c>
      <c r="J194" t="inlineStr"/>
      <c r="K194" t="inlineStr">
        <is>
          <t>20230417</t>
        </is>
      </c>
      <c r="L194" t="inlineStr">
        <is>
          <t>20230705</t>
        </is>
      </c>
    </row>
    <row r="195">
      <c r="A195" t="inlineStr">
        <is>
          <t>900008141</t>
        </is>
      </c>
      <c r="B195" t="inlineStr">
        <is>
          <t>DW83</t>
        </is>
      </c>
      <c r="C195" t="inlineStr">
        <is>
          <t>D216</t>
        </is>
      </c>
      <c r="D195" t="inlineStr">
        <is>
          <t>10000332</t>
        </is>
      </c>
      <c r="E195" t="inlineStr"/>
      <c r="F195" s="11" t="n">
        <v>343.75</v>
      </c>
      <c r="G195" t="inlineStr"/>
      <c r="I195" t="inlineStr">
        <is>
          <t>TN</t>
        </is>
      </c>
      <c r="J195" t="inlineStr"/>
      <c r="K195" t="inlineStr">
        <is>
          <t>20240118</t>
        </is>
      </c>
      <c r="L195" t="inlineStr">
        <is>
          <t>99991231</t>
        </is>
      </c>
    </row>
    <row r="196">
      <c r="A196" t="inlineStr">
        <is>
          <t>900008141</t>
        </is>
      </c>
      <c r="B196" t="inlineStr">
        <is>
          <t>DW83</t>
        </is>
      </c>
      <c r="C196" t="inlineStr">
        <is>
          <t>D216</t>
        </is>
      </c>
      <c r="D196" t="inlineStr">
        <is>
          <t>10000377</t>
        </is>
      </c>
      <c r="E196" t="inlineStr"/>
      <c r="F196" s="11" t="n">
        <v>75.45</v>
      </c>
      <c r="G196" t="inlineStr"/>
      <c r="I196" t="inlineStr">
        <is>
          <t>TN</t>
        </is>
      </c>
      <c r="J196" t="inlineStr"/>
      <c r="K196" t="inlineStr">
        <is>
          <t>20230602</t>
        </is>
      </c>
      <c r="L196" t="inlineStr">
        <is>
          <t>99991231</t>
        </is>
      </c>
    </row>
    <row r="197">
      <c r="A197" t="inlineStr">
        <is>
          <t>900008141</t>
        </is>
      </c>
      <c r="B197" t="inlineStr">
        <is>
          <t>DW83</t>
        </is>
      </c>
      <c r="C197" t="inlineStr">
        <is>
          <t>D216</t>
        </is>
      </c>
      <c r="D197" t="inlineStr">
        <is>
          <t>10000379</t>
        </is>
      </c>
      <c r="E197" t="inlineStr"/>
      <c r="F197" s="11" t="n">
        <v>119.23</v>
      </c>
      <c r="G197" t="inlineStr"/>
      <c r="I197" t="inlineStr">
        <is>
          <t>TN</t>
        </is>
      </c>
      <c r="J197" t="inlineStr"/>
      <c r="K197" t="inlineStr">
        <is>
          <t>20230417</t>
        </is>
      </c>
      <c r="L197" t="inlineStr">
        <is>
          <t>99991231</t>
        </is>
      </c>
    </row>
    <row r="198">
      <c r="A198" t="inlineStr">
        <is>
          <t>900008141</t>
        </is>
      </c>
      <c r="B198" t="inlineStr">
        <is>
          <t>DW83</t>
        </is>
      </c>
      <c r="C198" t="inlineStr">
        <is>
          <t>D216</t>
        </is>
      </c>
      <c r="D198" t="inlineStr">
        <is>
          <t>10000383</t>
        </is>
      </c>
      <c r="E198" t="inlineStr"/>
      <c r="F198" s="11" t="n">
        <v>125.46</v>
      </c>
      <c r="G198" t="inlineStr"/>
      <c r="I198" t="inlineStr">
        <is>
          <t>TN</t>
        </is>
      </c>
      <c r="J198" t="inlineStr"/>
      <c r="K198" t="inlineStr">
        <is>
          <t>20230417</t>
        </is>
      </c>
      <c r="L198" t="inlineStr">
        <is>
          <t>99991231</t>
        </is>
      </c>
    </row>
    <row r="199">
      <c r="A199" t="inlineStr">
        <is>
          <t>900008141</t>
        </is>
      </c>
      <c r="B199" t="inlineStr">
        <is>
          <t>DW83</t>
        </is>
      </c>
      <c r="C199" t="inlineStr">
        <is>
          <t>D216</t>
        </is>
      </c>
      <c r="D199" t="inlineStr">
        <is>
          <t>10000719</t>
        </is>
      </c>
      <c r="E199" t="inlineStr"/>
      <c r="F199" s="11" t="n">
        <v>110.96</v>
      </c>
      <c r="G199" t="inlineStr"/>
      <c r="I199" t="inlineStr">
        <is>
          <t>TN</t>
        </is>
      </c>
      <c r="J199" t="inlineStr"/>
      <c r="K199" t="inlineStr">
        <is>
          <t>20230602</t>
        </is>
      </c>
      <c r="L199" t="inlineStr">
        <is>
          <t>99991231</t>
        </is>
      </c>
    </row>
    <row r="200">
      <c r="A200" t="inlineStr">
        <is>
          <t>900008141</t>
        </is>
      </c>
      <c r="B200" t="inlineStr">
        <is>
          <t>DW83</t>
        </is>
      </c>
      <c r="C200" t="inlineStr">
        <is>
          <t>D216</t>
        </is>
      </c>
      <c r="D200" t="inlineStr">
        <is>
          <t>10192197</t>
        </is>
      </c>
      <c r="E200" t="inlineStr"/>
      <c r="F200" s="11" t="n">
        <v>91.48</v>
      </c>
      <c r="G200" t="inlineStr"/>
      <c r="I200" t="inlineStr">
        <is>
          <t>TN</t>
        </is>
      </c>
      <c r="J200" t="inlineStr"/>
      <c r="K200" t="inlineStr">
        <is>
          <t>20230705</t>
        </is>
      </c>
      <c r="L200" t="inlineStr">
        <is>
          <t>99991231</t>
        </is>
      </c>
    </row>
    <row r="201">
      <c r="A201" t="inlineStr">
        <is>
          <t>900008141</t>
        </is>
      </c>
      <c r="B201" t="inlineStr">
        <is>
          <t>DW83</t>
        </is>
      </c>
      <c r="C201" t="inlineStr">
        <is>
          <t>D243</t>
        </is>
      </c>
      <c r="D201" t="inlineStr">
        <is>
          <t>10000320</t>
        </is>
      </c>
      <c r="E201" t="inlineStr"/>
      <c r="F201" s="11" t="n">
        <v>87.3</v>
      </c>
      <c r="G201" t="inlineStr"/>
      <c r="I201" t="inlineStr">
        <is>
          <t>TN</t>
        </is>
      </c>
      <c r="J201" t="inlineStr"/>
      <c r="K201" t="inlineStr">
        <is>
          <t>20230417</t>
        </is>
      </c>
      <c r="L201" t="inlineStr">
        <is>
          <t>20230705</t>
        </is>
      </c>
    </row>
    <row r="202">
      <c r="A202" t="inlineStr">
        <is>
          <t>900008141</t>
        </is>
      </c>
      <c r="B202" t="inlineStr">
        <is>
          <t>DW83</t>
        </is>
      </c>
      <c r="C202" t="inlineStr">
        <is>
          <t>D243</t>
        </is>
      </c>
      <c r="D202" t="inlineStr">
        <is>
          <t>10000332</t>
        </is>
      </c>
      <c r="E202" t="inlineStr"/>
      <c r="F202" s="11" t="n">
        <v>267.86</v>
      </c>
      <c r="G202" t="inlineStr"/>
      <c r="I202" t="inlineStr">
        <is>
          <t>TN</t>
        </is>
      </c>
      <c r="J202" t="inlineStr"/>
      <c r="K202" t="inlineStr">
        <is>
          <t>20230301</t>
        </is>
      </c>
      <c r="L202" t="inlineStr">
        <is>
          <t>20250129</t>
        </is>
      </c>
    </row>
    <row r="203">
      <c r="A203" t="inlineStr">
        <is>
          <t>900008141</t>
        </is>
      </c>
      <c r="B203" t="inlineStr">
        <is>
          <t>DW83</t>
        </is>
      </c>
      <c r="C203" t="inlineStr">
        <is>
          <t>D243</t>
        </is>
      </c>
      <c r="D203" t="inlineStr">
        <is>
          <t>10000377</t>
        </is>
      </c>
      <c r="E203" t="inlineStr"/>
      <c r="F203" s="11" t="n">
        <v>123.46</v>
      </c>
      <c r="G203" t="inlineStr"/>
      <c r="I203" t="inlineStr">
        <is>
          <t>TN</t>
        </is>
      </c>
      <c r="J203" t="inlineStr"/>
      <c r="K203" t="inlineStr">
        <is>
          <t>20250214</t>
        </is>
      </c>
      <c r="L203" t="inlineStr">
        <is>
          <t>99991231</t>
        </is>
      </c>
    </row>
    <row r="204">
      <c r="A204" t="inlineStr">
        <is>
          <t>900008141</t>
        </is>
      </c>
      <c r="B204" t="inlineStr">
        <is>
          <t>DW83</t>
        </is>
      </c>
      <c r="C204" t="inlineStr">
        <is>
          <t>D243</t>
        </is>
      </c>
      <c r="D204" t="inlineStr">
        <is>
          <t>10000379</t>
        </is>
      </c>
      <c r="E204" t="inlineStr"/>
      <c r="F204" s="11" t="n">
        <v>125.87</v>
      </c>
      <c r="G204" t="inlineStr"/>
      <c r="I204" t="inlineStr">
        <is>
          <t>TN</t>
        </is>
      </c>
      <c r="J204" t="inlineStr"/>
      <c r="K204" t="inlineStr">
        <is>
          <t>20250214</t>
        </is>
      </c>
      <c r="L204" t="inlineStr">
        <is>
          <t>99991231</t>
        </is>
      </c>
    </row>
    <row r="205">
      <c r="A205" t="inlineStr">
        <is>
          <t>900008141</t>
        </is>
      </c>
      <c r="B205" t="inlineStr">
        <is>
          <t>DW83</t>
        </is>
      </c>
      <c r="C205" t="inlineStr">
        <is>
          <t>D243</t>
        </is>
      </c>
      <c r="D205" t="inlineStr">
        <is>
          <t>10000383</t>
        </is>
      </c>
      <c r="E205" t="inlineStr"/>
      <c r="F205" s="11" t="n">
        <v>132.45</v>
      </c>
      <c r="G205" t="inlineStr"/>
      <c r="I205" t="inlineStr">
        <is>
          <t>TN</t>
        </is>
      </c>
      <c r="J205" t="inlineStr"/>
      <c r="K205" t="inlineStr">
        <is>
          <t>20250214</t>
        </is>
      </c>
      <c r="L205" t="inlineStr">
        <is>
          <t>99991231</t>
        </is>
      </c>
    </row>
    <row r="206">
      <c r="A206" t="inlineStr">
        <is>
          <t>900008141</t>
        </is>
      </c>
      <c r="B206" t="inlineStr">
        <is>
          <t>DW83</t>
        </is>
      </c>
      <c r="C206" t="inlineStr">
        <is>
          <t>D243</t>
        </is>
      </c>
      <c r="D206" t="inlineStr">
        <is>
          <t>10000719</t>
        </is>
      </c>
      <c r="E206" t="inlineStr"/>
      <c r="F206" s="11" t="n">
        <v>117.89</v>
      </c>
      <c r="G206" t="inlineStr"/>
      <c r="I206" t="inlineStr">
        <is>
          <t>TN</t>
        </is>
      </c>
      <c r="J206" t="inlineStr"/>
      <c r="K206" t="inlineStr">
        <is>
          <t>20250214</t>
        </is>
      </c>
      <c r="L206" t="inlineStr">
        <is>
          <t>99991231</t>
        </is>
      </c>
    </row>
    <row r="207">
      <c r="A207" t="inlineStr">
        <is>
          <t>900008141</t>
        </is>
      </c>
      <c r="B207" t="inlineStr">
        <is>
          <t>DW83</t>
        </is>
      </c>
      <c r="C207" t="inlineStr">
        <is>
          <t>D243</t>
        </is>
      </c>
      <c r="D207" t="inlineStr">
        <is>
          <t>10192197</t>
        </is>
      </c>
      <c r="E207" t="inlineStr"/>
      <c r="F207" s="11" t="n">
        <v>117.81</v>
      </c>
      <c r="G207" t="inlineStr"/>
      <c r="I207" t="inlineStr">
        <is>
          <t>TN</t>
        </is>
      </c>
      <c r="J207" t="inlineStr"/>
      <c r="K207" t="inlineStr">
        <is>
          <t>20250214</t>
        </is>
      </c>
      <c r="L207" t="inlineStr">
        <is>
          <t>99991231</t>
        </is>
      </c>
    </row>
    <row r="208">
      <c r="A208" t="inlineStr">
        <is>
          <t>900008141</t>
        </is>
      </c>
      <c r="B208" t="inlineStr">
        <is>
          <t>DW83</t>
        </is>
      </c>
      <c r="C208" t="inlineStr">
        <is>
          <t>D386</t>
        </is>
      </c>
      <c r="D208" t="inlineStr">
        <is>
          <t>10000332</t>
        </is>
      </c>
      <c r="E208" t="inlineStr"/>
      <c r="F208" s="11" t="n">
        <v>312.5</v>
      </c>
      <c r="G208" t="inlineStr"/>
      <c r="I208" t="inlineStr">
        <is>
          <t>TN</t>
        </is>
      </c>
      <c r="J208" t="inlineStr"/>
      <c r="K208" t="inlineStr">
        <is>
          <t>20240307</t>
        </is>
      </c>
      <c r="L208" t="inlineStr">
        <is>
          <t>99991231</t>
        </is>
      </c>
    </row>
    <row r="209">
      <c r="A209" t="inlineStr">
        <is>
          <t>900008141</t>
        </is>
      </c>
      <c r="B209" t="inlineStr">
        <is>
          <t>DW83</t>
        </is>
      </c>
      <c r="C209" t="inlineStr">
        <is>
          <t>D557</t>
        </is>
      </c>
      <c r="D209" t="inlineStr">
        <is>
          <t>10000332</t>
        </is>
      </c>
      <c r="E209" t="inlineStr"/>
      <c r="F209" s="11" t="n">
        <v>312.5</v>
      </c>
      <c r="G209" t="inlineStr"/>
      <c r="I209" t="inlineStr">
        <is>
          <t>TN</t>
        </is>
      </c>
      <c r="J209" t="inlineStr"/>
      <c r="K209" t="inlineStr">
        <is>
          <t>20240307</t>
        </is>
      </c>
      <c r="L209" t="inlineStr">
        <is>
          <t>99991231</t>
        </is>
      </c>
    </row>
    <row r="210">
      <c r="A210" t="inlineStr">
        <is>
          <t>900008907</t>
        </is>
      </c>
      <c r="B210" t="inlineStr">
        <is>
          <t>DW83</t>
        </is>
      </c>
      <c r="C210" t="inlineStr">
        <is>
          <t>D216</t>
        </is>
      </c>
      <c r="D210" t="inlineStr">
        <is>
          <t>10000191</t>
        </is>
      </c>
      <c r="E210" t="inlineStr"/>
      <c r="F210" s="11" t="n">
        <v>238.3</v>
      </c>
      <c r="G210" t="inlineStr"/>
      <c r="I210" t="inlineStr">
        <is>
          <t>TN</t>
        </is>
      </c>
      <c r="J210" t="inlineStr"/>
      <c r="K210" t="inlineStr">
        <is>
          <t>20260215</t>
        </is>
      </c>
      <c r="L210" t="inlineStr">
        <is>
          <t>99991231</t>
        </is>
      </c>
    </row>
    <row r="211">
      <c r="A211" t="inlineStr">
        <is>
          <t>900008907</t>
        </is>
      </c>
      <c r="B211" t="inlineStr">
        <is>
          <t>DW83</t>
        </is>
      </c>
      <c r="C211" t="inlineStr">
        <is>
          <t>D216</t>
        </is>
      </c>
      <c r="D211" t="inlineStr">
        <is>
          <t>10069534</t>
        </is>
      </c>
      <c r="E211" t="inlineStr"/>
      <c r="F211" s="11" t="n">
        <v>203.27</v>
      </c>
      <c r="G211" t="inlineStr"/>
      <c r="I211" t="inlineStr">
        <is>
          <t>TN</t>
        </is>
      </c>
      <c r="J211" t="inlineStr"/>
      <c r="K211" t="inlineStr">
        <is>
          <t>20260215</t>
        </is>
      </c>
      <c r="L211" t="inlineStr">
        <is>
          <t>99991231</t>
        </is>
      </c>
    </row>
    <row r="212">
      <c r="A212" t="inlineStr">
        <is>
          <t>900008907</t>
        </is>
      </c>
      <c r="B212" t="inlineStr">
        <is>
          <t>DW83</t>
        </is>
      </c>
      <c r="C212" t="inlineStr">
        <is>
          <t>D243</t>
        </is>
      </c>
      <c r="D212" t="inlineStr">
        <is>
          <t>10000191</t>
        </is>
      </c>
      <c r="E212" t="inlineStr"/>
      <c r="F212" s="11" t="n">
        <v>238.3</v>
      </c>
      <c r="G212" t="inlineStr"/>
      <c r="I212" t="inlineStr">
        <is>
          <t>TN</t>
        </is>
      </c>
      <c r="J212" t="inlineStr"/>
      <c r="K212" t="inlineStr">
        <is>
          <t>20260215</t>
        </is>
      </c>
      <c r="L212" t="inlineStr">
        <is>
          <t>99991231</t>
        </is>
      </c>
    </row>
    <row r="213">
      <c r="A213" t="inlineStr">
        <is>
          <t>900008907</t>
        </is>
      </c>
      <c r="B213" t="inlineStr">
        <is>
          <t>DW83</t>
        </is>
      </c>
      <c r="C213" t="inlineStr">
        <is>
          <t>D243</t>
        </is>
      </c>
      <c r="D213" t="inlineStr">
        <is>
          <t>10069534</t>
        </is>
      </c>
      <c r="E213" t="inlineStr"/>
      <c r="F213" s="11" t="n">
        <v>203.27</v>
      </c>
      <c r="G213" t="inlineStr"/>
      <c r="I213" t="inlineStr">
        <is>
          <t>TN</t>
        </is>
      </c>
      <c r="J213" t="inlineStr"/>
      <c r="K213" t="inlineStr">
        <is>
          <t>20260215</t>
        </is>
      </c>
      <c r="L213" t="inlineStr">
        <is>
          <t>99991231</t>
        </is>
      </c>
    </row>
    <row r="214">
      <c r="A214" t="inlineStr">
        <is>
          <t>900009274</t>
        </is>
      </c>
      <c r="B214" t="inlineStr">
        <is>
          <t>DW83</t>
        </is>
      </c>
      <c r="C214" t="inlineStr">
        <is>
          <t>D216</t>
        </is>
      </c>
      <c r="D214" t="inlineStr">
        <is>
          <t>10000437</t>
        </is>
      </c>
      <c r="E214" t="inlineStr"/>
      <c r="F214" s="11" t="n">
        <v>232.56</v>
      </c>
      <c r="G214" t="inlineStr"/>
      <c r="I214" t="inlineStr">
        <is>
          <t>TN</t>
        </is>
      </c>
      <c r="J214" t="inlineStr"/>
      <c r="K214" t="inlineStr">
        <is>
          <t>20250701</t>
        </is>
      </c>
      <c r="L214" t="inlineStr">
        <is>
          <t>99991231</t>
        </is>
      </c>
    </row>
    <row r="215">
      <c r="A215" t="inlineStr">
        <is>
          <t>900009274</t>
        </is>
      </c>
      <c r="B215" t="inlineStr">
        <is>
          <t>DW83</t>
        </is>
      </c>
      <c r="C215" t="inlineStr">
        <is>
          <t>D216</t>
        </is>
      </c>
      <c r="D215" t="inlineStr">
        <is>
          <t>10258539</t>
        </is>
      </c>
      <c r="E215" t="inlineStr"/>
      <c r="F215" s="11" t="n">
        <v>219.99</v>
      </c>
      <c r="G215" t="inlineStr"/>
      <c r="I215" t="inlineStr">
        <is>
          <t>TN</t>
        </is>
      </c>
      <c r="J215" t="inlineStr"/>
      <c r="K215" t="inlineStr">
        <is>
          <t>20250701</t>
        </is>
      </c>
      <c r="L215" t="inlineStr">
        <is>
          <t>99991231</t>
        </is>
      </c>
    </row>
    <row r="216">
      <c r="A216" t="inlineStr">
        <is>
          <t>900009275</t>
        </is>
      </c>
      <c r="B216" t="inlineStr">
        <is>
          <t>DW83</t>
        </is>
      </c>
      <c r="C216" t="inlineStr">
        <is>
          <t>D216</t>
        </is>
      </c>
      <c r="D216" t="inlineStr">
        <is>
          <t>10000437</t>
        </is>
      </c>
      <c r="E216" t="inlineStr"/>
      <c r="F216" s="11" t="n">
        <v>293.67</v>
      </c>
      <c r="G216" t="inlineStr"/>
      <c r="I216" t="inlineStr">
        <is>
          <t>TN</t>
        </is>
      </c>
      <c r="J216" t="inlineStr"/>
      <c r="K216" t="inlineStr">
        <is>
          <t>20260605</t>
        </is>
      </c>
      <c r="L216" t="inlineStr">
        <is>
          <t>99991231</t>
        </is>
      </c>
    </row>
    <row r="217">
      <c r="A217" t="inlineStr">
        <is>
          <t>900009275</t>
        </is>
      </c>
      <c r="B217" t="inlineStr">
        <is>
          <t>DW83</t>
        </is>
      </c>
      <c r="C217" t="inlineStr">
        <is>
          <t>D216</t>
        </is>
      </c>
      <c r="D217" t="inlineStr">
        <is>
          <t>10258539</t>
        </is>
      </c>
      <c r="E217" t="inlineStr"/>
      <c r="F217" s="11" t="n">
        <v>277.8</v>
      </c>
      <c r="G217" t="inlineStr"/>
      <c r="I217" t="inlineStr">
        <is>
          <t>TN</t>
        </is>
      </c>
      <c r="J217" t="inlineStr"/>
      <c r="K217" t="inlineStr">
        <is>
          <t>20260605</t>
        </is>
      </c>
      <c r="L217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900000045DW83D21610000377</t>
        </is>
      </c>
      <c r="B2" t="inlineStr">
        <is>
          <t>900000045</t>
        </is>
      </c>
      <c r="C2" t="inlineStr">
        <is>
          <t>DW83</t>
        </is>
      </c>
      <c r="D2" t="inlineStr">
        <is>
          <t>D216</t>
        </is>
      </c>
      <c r="E2" t="inlineStr">
        <is>
          <t>4</t>
        </is>
      </c>
      <c r="F2" t="inlineStr">
        <is>
          <t>10000377</t>
        </is>
      </c>
      <c r="H2" t="inlineStr"/>
      <c r="J2" t="n">
        <v>86.01000000000001</v>
      </c>
      <c r="K2" t="inlineStr"/>
      <c r="M2" t="inlineStr">
        <is>
          <t>TN</t>
        </is>
      </c>
      <c r="N2" t="inlineStr"/>
      <c r="P2" t="inlineStr">
        <is>
          <t>20210620</t>
        </is>
      </c>
      <c r="Q2" t="inlineStr">
        <is>
          <t>20251031</t>
        </is>
      </c>
    </row>
    <row r="3">
      <c r="A3" t="inlineStr">
        <is>
          <t>900000045DW83D21610000379</t>
        </is>
      </c>
      <c r="B3" t="inlineStr">
        <is>
          <t>900000045</t>
        </is>
      </c>
      <c r="C3" t="inlineStr">
        <is>
          <t>DW83</t>
        </is>
      </c>
      <c r="D3" t="inlineStr">
        <is>
          <t>D216</t>
        </is>
      </c>
      <c r="E3" t="inlineStr">
        <is>
          <t>4</t>
        </is>
      </c>
      <c r="F3" t="inlineStr">
        <is>
          <t>10000379</t>
        </is>
      </c>
      <c r="H3" t="inlineStr"/>
      <c r="J3" t="n">
        <v>246.5</v>
      </c>
      <c r="K3" t="inlineStr"/>
      <c r="M3" t="inlineStr">
        <is>
          <t>TN</t>
        </is>
      </c>
      <c r="N3" t="inlineStr"/>
      <c r="P3" t="inlineStr">
        <is>
          <t>20210620</t>
        </is>
      </c>
      <c r="Q3" t="inlineStr">
        <is>
          <t>20251031</t>
        </is>
      </c>
    </row>
    <row r="4">
      <c r="A4" t="inlineStr">
        <is>
          <t>900000045DW83D21610000381</t>
        </is>
      </c>
      <c r="B4" t="inlineStr">
        <is>
          <t>900000045</t>
        </is>
      </c>
      <c r="C4" t="inlineStr">
        <is>
          <t>DW83</t>
        </is>
      </c>
      <c r="D4" t="inlineStr">
        <is>
          <t>D216</t>
        </is>
      </c>
      <c r="E4" t="inlineStr">
        <is>
          <t>4</t>
        </is>
      </c>
      <c r="F4" t="inlineStr">
        <is>
          <t>10000381</t>
        </is>
      </c>
      <c r="H4" t="inlineStr"/>
      <c r="J4" t="n">
        <v>73.34</v>
      </c>
      <c r="K4" t="inlineStr"/>
      <c r="M4" t="inlineStr">
        <is>
          <t>TN</t>
        </is>
      </c>
      <c r="N4" t="inlineStr"/>
      <c r="P4" t="inlineStr">
        <is>
          <t>20210620</t>
        </is>
      </c>
      <c r="Q4" t="inlineStr">
        <is>
          <t>20251031</t>
        </is>
      </c>
    </row>
    <row r="5">
      <c r="A5" t="inlineStr">
        <is>
          <t>900000045DW83D21610000719</t>
        </is>
      </c>
      <c r="B5" t="inlineStr">
        <is>
          <t>900000045</t>
        </is>
      </c>
      <c r="C5" t="inlineStr">
        <is>
          <t>DW83</t>
        </is>
      </c>
      <c r="D5" t="inlineStr">
        <is>
          <t>D216</t>
        </is>
      </c>
      <c r="E5" t="inlineStr">
        <is>
          <t>4</t>
        </is>
      </c>
      <c r="F5" t="inlineStr">
        <is>
          <t>10000719</t>
        </is>
      </c>
      <c r="H5" t="inlineStr"/>
      <c r="J5" t="n">
        <v>83.22</v>
      </c>
      <c r="K5" t="inlineStr"/>
      <c r="M5" t="inlineStr">
        <is>
          <t>TN</t>
        </is>
      </c>
      <c r="N5" t="inlineStr"/>
      <c r="P5" t="inlineStr">
        <is>
          <t>20210620</t>
        </is>
      </c>
      <c r="Q5" t="inlineStr">
        <is>
          <t>20251031</t>
        </is>
      </c>
    </row>
    <row r="6">
      <c r="A6" t="inlineStr">
        <is>
          <t>900000045DW83D21610192197</t>
        </is>
      </c>
      <c r="B6" t="inlineStr">
        <is>
          <t>900000045</t>
        </is>
      </c>
      <c r="C6" t="inlineStr">
        <is>
          <t>DW83</t>
        </is>
      </c>
      <c r="D6" t="inlineStr">
        <is>
          <t>D216</t>
        </is>
      </c>
      <c r="E6" t="inlineStr">
        <is>
          <t>4</t>
        </is>
      </c>
      <c r="F6" t="inlineStr">
        <is>
          <t>10192197</t>
        </is>
      </c>
      <c r="H6" t="inlineStr"/>
      <c r="J6" t="n">
        <v>277.73</v>
      </c>
      <c r="K6" t="inlineStr"/>
      <c r="M6" t="inlineStr">
        <is>
          <t>TN</t>
        </is>
      </c>
      <c r="N6" t="inlineStr"/>
      <c r="P6" t="inlineStr">
        <is>
          <t>20210620</t>
        </is>
      </c>
      <c r="Q6" t="inlineStr">
        <is>
          <t>20251031</t>
        </is>
      </c>
    </row>
    <row r="7">
      <c r="A7" t="inlineStr">
        <is>
          <t>900000045DW83D24310000379</t>
        </is>
      </c>
      <c r="B7" t="inlineStr">
        <is>
          <t>900000045</t>
        </is>
      </c>
      <c r="C7" t="inlineStr">
        <is>
          <t>DW83</t>
        </is>
      </c>
      <c r="D7" t="inlineStr">
        <is>
          <t>D243</t>
        </is>
      </c>
      <c r="E7" t="inlineStr">
        <is>
          <t>4</t>
        </is>
      </c>
      <c r="F7" t="inlineStr">
        <is>
          <t>10000379</t>
        </is>
      </c>
      <c r="H7" t="inlineStr"/>
      <c r="J7" t="n">
        <v>218.53</v>
      </c>
      <c r="K7" t="inlineStr"/>
      <c r="M7" t="inlineStr">
        <is>
          <t>TN</t>
        </is>
      </c>
      <c r="N7" t="inlineStr"/>
      <c r="P7" t="inlineStr">
        <is>
          <t>20230301</t>
        </is>
      </c>
      <c r="Q7" t="inlineStr">
        <is>
          <t>20250129</t>
        </is>
      </c>
    </row>
    <row r="8">
      <c r="A8" t="inlineStr">
        <is>
          <t>900000045DW83D24310000719</t>
        </is>
      </c>
      <c r="B8" t="inlineStr">
        <is>
          <t>900000045</t>
        </is>
      </c>
      <c r="C8" t="inlineStr">
        <is>
          <t>DW83</t>
        </is>
      </c>
      <c r="D8" t="inlineStr">
        <is>
          <t>D243</t>
        </is>
      </c>
      <c r="E8" t="inlineStr">
        <is>
          <t>4</t>
        </is>
      </c>
      <c r="F8" t="inlineStr">
        <is>
          <t>10000719</t>
        </is>
      </c>
      <c r="H8" t="inlineStr"/>
      <c r="J8" t="n">
        <v>224.41</v>
      </c>
      <c r="K8" t="inlineStr"/>
      <c r="M8" t="inlineStr">
        <is>
          <t>TN</t>
        </is>
      </c>
      <c r="N8" t="inlineStr"/>
      <c r="P8" t="inlineStr">
        <is>
          <t>20230301</t>
        </is>
      </c>
      <c r="Q8" t="inlineStr">
        <is>
          <t>20250129</t>
        </is>
      </c>
    </row>
    <row r="9">
      <c r="A9" t="inlineStr">
        <is>
          <t>900000045DW83D24310192197</t>
        </is>
      </c>
      <c r="B9" t="inlineStr">
        <is>
          <t>900000045</t>
        </is>
      </c>
      <c r="C9" t="inlineStr">
        <is>
          <t>DW83</t>
        </is>
      </c>
      <c r="D9" t="inlineStr">
        <is>
          <t>D243</t>
        </is>
      </c>
      <c r="E9" t="inlineStr">
        <is>
          <t>4</t>
        </is>
      </c>
      <c r="F9" t="inlineStr">
        <is>
          <t>10192197</t>
        </is>
      </c>
      <c r="H9" t="inlineStr"/>
      <c r="J9" t="n">
        <v>268.73</v>
      </c>
      <c r="K9" t="inlineStr"/>
      <c r="M9" t="inlineStr">
        <is>
          <t>TN</t>
        </is>
      </c>
      <c r="N9" t="inlineStr"/>
      <c r="P9" t="inlineStr">
        <is>
          <t>20230301</t>
        </is>
      </c>
      <c r="Q9" t="inlineStr">
        <is>
          <t>20250129</t>
        </is>
      </c>
    </row>
    <row r="10">
      <c r="A10" t="inlineStr">
        <is>
          <t>900000045DW83D26910000332</t>
        </is>
      </c>
      <c r="B10" t="inlineStr">
        <is>
          <t>900000045</t>
        </is>
      </c>
      <c r="C10" t="inlineStr">
        <is>
          <t>DW83</t>
        </is>
      </c>
      <c r="D10" t="inlineStr">
        <is>
          <t>D269</t>
        </is>
      </c>
      <c r="E10" t="inlineStr">
        <is>
          <t>4</t>
        </is>
      </c>
      <c r="F10" t="inlineStr">
        <is>
          <t>10000332</t>
        </is>
      </c>
      <c r="H10" t="inlineStr"/>
      <c r="J10" t="n">
        <v>62.5</v>
      </c>
      <c r="K10" t="inlineStr"/>
      <c r="M10" t="inlineStr">
        <is>
          <t>TN</t>
        </is>
      </c>
      <c r="N10" t="inlineStr"/>
      <c r="P10" t="inlineStr">
        <is>
          <t>20230203</t>
        </is>
      </c>
      <c r="Q10" t="inlineStr">
        <is>
          <t>20240201</t>
        </is>
      </c>
    </row>
    <row r="11">
      <c r="A11" t="inlineStr">
        <is>
          <t>900000045DW83D26910000377</t>
        </is>
      </c>
      <c r="B11" t="inlineStr">
        <is>
          <t>900000045</t>
        </is>
      </c>
      <c r="C11" t="inlineStr">
        <is>
          <t>DW83</t>
        </is>
      </c>
      <c r="D11" t="inlineStr">
        <is>
          <t>D269</t>
        </is>
      </c>
      <c r="E11" t="inlineStr">
        <is>
          <t>4</t>
        </is>
      </c>
      <c r="F11" t="inlineStr">
        <is>
          <t>10000377</t>
        </is>
      </c>
      <c r="H11" t="inlineStr"/>
      <c r="J11" t="n">
        <v>32.92</v>
      </c>
      <c r="K11" t="inlineStr"/>
      <c r="M11" t="inlineStr">
        <is>
          <t>TN</t>
        </is>
      </c>
      <c r="N11" t="inlineStr"/>
      <c r="P11" t="inlineStr">
        <is>
          <t>20260601</t>
        </is>
      </c>
      <c r="Q11" t="inlineStr">
        <is>
          <t>99991231</t>
        </is>
      </c>
    </row>
    <row r="12">
      <c r="A12" t="inlineStr">
        <is>
          <t>900000045DW83D26910000379</t>
        </is>
      </c>
      <c r="B12" t="inlineStr">
        <is>
          <t>900000045</t>
        </is>
      </c>
      <c r="C12" t="inlineStr">
        <is>
          <t>DW83</t>
        </is>
      </c>
      <c r="D12" t="inlineStr">
        <is>
          <t>D269</t>
        </is>
      </c>
      <c r="E12" t="inlineStr">
        <is>
          <t>4</t>
        </is>
      </c>
      <c r="F12" t="inlineStr">
        <is>
          <t>10000379</t>
        </is>
      </c>
      <c r="H12" t="inlineStr"/>
      <c r="J12" t="n">
        <v>33.45</v>
      </c>
      <c r="K12" t="inlineStr"/>
      <c r="M12" t="inlineStr">
        <is>
          <t>TN</t>
        </is>
      </c>
      <c r="N12" t="inlineStr"/>
      <c r="P12" t="inlineStr">
        <is>
          <t>20260601</t>
        </is>
      </c>
      <c r="Q12" t="inlineStr">
        <is>
          <t>99991231</t>
        </is>
      </c>
    </row>
    <row r="13">
      <c r="A13" t="inlineStr">
        <is>
          <t>900000045DW83D26910000381</t>
        </is>
      </c>
      <c r="B13" t="inlineStr">
        <is>
          <t>900000045</t>
        </is>
      </c>
      <c r="C13" t="inlineStr">
        <is>
          <t>DW83</t>
        </is>
      </c>
      <c r="D13" t="inlineStr">
        <is>
          <t>D269</t>
        </is>
      </c>
      <c r="E13" t="inlineStr">
        <is>
          <t>4</t>
        </is>
      </c>
      <c r="F13" t="inlineStr">
        <is>
          <t>10000381</t>
        </is>
      </c>
      <c r="H13" t="inlineStr"/>
      <c r="J13" t="n">
        <v>32.89</v>
      </c>
      <c r="K13" t="inlineStr"/>
      <c r="M13" t="inlineStr">
        <is>
          <t>TN</t>
        </is>
      </c>
      <c r="N13" t="inlineStr"/>
      <c r="P13" t="inlineStr">
        <is>
          <t>20230203</t>
        </is>
      </c>
      <c r="Q13" t="inlineStr">
        <is>
          <t>20240201</t>
        </is>
      </c>
    </row>
    <row r="14">
      <c r="A14" t="inlineStr">
        <is>
          <t>900000045DW83D26910000383</t>
        </is>
      </c>
      <c r="B14" t="inlineStr">
        <is>
          <t>900000045</t>
        </is>
      </c>
      <c r="C14" t="inlineStr">
        <is>
          <t>DW83</t>
        </is>
      </c>
      <c r="D14" t="inlineStr">
        <is>
          <t>D269</t>
        </is>
      </c>
      <c r="E14" t="inlineStr">
        <is>
          <t>4</t>
        </is>
      </c>
      <c r="F14" t="inlineStr">
        <is>
          <t>10000383</t>
        </is>
      </c>
      <c r="H14" t="inlineStr"/>
      <c r="J14" t="n">
        <v>35.2</v>
      </c>
      <c r="K14" t="inlineStr"/>
      <c r="M14" t="inlineStr">
        <is>
          <t>TN</t>
        </is>
      </c>
      <c r="N14" t="inlineStr"/>
      <c r="P14" t="inlineStr">
        <is>
          <t>20260601</t>
        </is>
      </c>
      <c r="Q14" t="inlineStr">
        <is>
          <t>99991231</t>
        </is>
      </c>
    </row>
    <row r="15">
      <c r="A15" t="inlineStr">
        <is>
          <t>900000045DW83D26910000719</t>
        </is>
      </c>
      <c r="B15" t="inlineStr">
        <is>
          <t>900000045</t>
        </is>
      </c>
      <c r="C15" t="inlineStr">
        <is>
          <t>DW83</t>
        </is>
      </c>
      <c r="D15" t="inlineStr">
        <is>
          <t>D269</t>
        </is>
      </c>
      <c r="E15" t="inlineStr">
        <is>
          <t>4</t>
        </is>
      </c>
      <c r="F15" t="inlineStr">
        <is>
          <t>10000719</t>
        </is>
      </c>
      <c r="H15" t="inlineStr"/>
      <c r="J15" t="n">
        <v>15.91</v>
      </c>
      <c r="K15" t="inlineStr"/>
      <c r="M15" t="inlineStr">
        <is>
          <t>TN</t>
        </is>
      </c>
      <c r="N15" t="inlineStr"/>
      <c r="P15" t="inlineStr">
        <is>
          <t>20260601</t>
        </is>
      </c>
      <c r="Q15" t="inlineStr">
        <is>
          <t>99991231</t>
        </is>
      </c>
    </row>
    <row r="16">
      <c r="A16" t="inlineStr">
        <is>
          <t>900000045DW83D26910192197</t>
        </is>
      </c>
      <c r="B16" t="inlineStr">
        <is>
          <t>900000045</t>
        </is>
      </c>
      <c r="C16" t="inlineStr">
        <is>
          <t>DW83</t>
        </is>
      </c>
      <c r="D16" t="inlineStr">
        <is>
          <t>D269</t>
        </is>
      </c>
      <c r="E16" t="inlineStr">
        <is>
          <t>4</t>
        </is>
      </c>
      <c r="F16" t="inlineStr">
        <is>
          <t>10192197</t>
        </is>
      </c>
      <c r="H16" t="inlineStr"/>
      <c r="J16" t="n">
        <v>24.96</v>
      </c>
      <c r="K16" t="inlineStr"/>
      <c r="M16" t="inlineStr">
        <is>
          <t>TN</t>
        </is>
      </c>
      <c r="N16" t="inlineStr"/>
      <c r="P16" t="inlineStr">
        <is>
          <t>20260601</t>
        </is>
      </c>
      <c r="Q16" t="inlineStr">
        <is>
          <t>99991231</t>
        </is>
      </c>
    </row>
    <row r="17">
      <c r="A17" t="inlineStr">
        <is>
          <t>900000050DW83D21510000332</t>
        </is>
      </c>
      <c r="B17" t="inlineStr">
        <is>
          <t>900000050</t>
        </is>
      </c>
      <c r="C17" t="inlineStr">
        <is>
          <t>DW83</t>
        </is>
      </c>
      <c r="D17" t="inlineStr">
        <is>
          <t>D215</t>
        </is>
      </c>
      <c r="E17" t="inlineStr">
        <is>
          <t>4</t>
        </is>
      </c>
      <c r="F17" t="inlineStr">
        <is>
          <t>10000332</t>
        </is>
      </c>
      <c r="H17" t="inlineStr"/>
      <c r="J17" t="n">
        <v>466.58</v>
      </c>
      <c r="K17" t="inlineStr"/>
      <c r="M17" t="inlineStr">
        <is>
          <t>TN</t>
        </is>
      </c>
      <c r="N17" t="inlineStr"/>
      <c r="P17" t="inlineStr">
        <is>
          <t>20220812</t>
        </is>
      </c>
      <c r="Q17" t="inlineStr">
        <is>
          <t>20251031</t>
        </is>
      </c>
    </row>
    <row r="18">
      <c r="A18" t="inlineStr">
        <is>
          <t>900000050DW83D21610000237</t>
        </is>
      </c>
      <c r="B18" t="inlineStr">
        <is>
          <t>900000050</t>
        </is>
      </c>
      <c r="C18" t="inlineStr">
        <is>
          <t>DW83</t>
        </is>
      </c>
      <c r="D18" t="inlineStr">
        <is>
          <t>D216</t>
        </is>
      </c>
      <c r="E18" t="inlineStr">
        <is>
          <t>4</t>
        </is>
      </c>
      <c r="F18" t="inlineStr">
        <is>
          <t>10000237</t>
        </is>
      </c>
      <c r="H18" t="inlineStr"/>
      <c r="J18" t="n">
        <v>38.23</v>
      </c>
      <c r="K18" t="inlineStr"/>
      <c r="M18" t="inlineStr">
        <is>
          <t>TN</t>
        </is>
      </c>
      <c r="N18" t="inlineStr"/>
      <c r="P18" t="inlineStr">
        <is>
          <t>20220812</t>
        </is>
      </c>
      <c r="Q18" t="inlineStr">
        <is>
          <t>20251031</t>
        </is>
      </c>
    </row>
    <row r="19">
      <c r="A19" t="inlineStr">
        <is>
          <t>900000050DW83D21610000318</t>
        </is>
      </c>
      <c r="B19" t="inlineStr">
        <is>
          <t>900000050</t>
        </is>
      </c>
      <c r="C19" t="inlineStr">
        <is>
          <t>DW83</t>
        </is>
      </c>
      <c r="D19" t="inlineStr">
        <is>
          <t>D216</t>
        </is>
      </c>
      <c r="E19" t="inlineStr">
        <is>
          <t>4</t>
        </is>
      </c>
      <c r="F19" t="inlineStr">
        <is>
          <t>10000318</t>
        </is>
      </c>
      <c r="H19" t="inlineStr"/>
      <c r="J19" t="n">
        <v>44.23</v>
      </c>
      <c r="K19" t="inlineStr"/>
      <c r="M19" t="inlineStr">
        <is>
          <t>TN</t>
        </is>
      </c>
      <c r="N19" t="inlineStr"/>
      <c r="P19" t="inlineStr">
        <is>
          <t>20220812</t>
        </is>
      </c>
      <c r="Q19" t="inlineStr">
        <is>
          <t>20251031</t>
        </is>
      </c>
    </row>
    <row r="20">
      <c r="A20" t="inlineStr">
        <is>
          <t>900000050DW83D21610000320</t>
        </is>
      </c>
      <c r="B20" t="inlineStr">
        <is>
          <t>900000050</t>
        </is>
      </c>
      <c r="C20" t="inlineStr">
        <is>
          <t>DW83</t>
        </is>
      </c>
      <c r="D20" t="inlineStr">
        <is>
          <t>D216</t>
        </is>
      </c>
      <c r="E20" t="inlineStr">
        <is>
          <t>4</t>
        </is>
      </c>
      <c r="F20" t="inlineStr">
        <is>
          <t>10000320</t>
        </is>
      </c>
      <c r="H20" t="inlineStr"/>
      <c r="J20" t="n">
        <v>39.49</v>
      </c>
      <c r="K20" t="inlineStr"/>
      <c r="M20" t="inlineStr">
        <is>
          <t>TN</t>
        </is>
      </c>
      <c r="N20" t="inlineStr"/>
      <c r="P20" t="inlineStr">
        <is>
          <t>20220812</t>
        </is>
      </c>
      <c r="Q20" t="inlineStr">
        <is>
          <t>20251031</t>
        </is>
      </c>
    </row>
    <row r="21">
      <c r="A21" t="inlineStr">
        <is>
          <t>900000050DW83D21610000332</t>
        </is>
      </c>
      <c r="B21" t="inlineStr">
        <is>
          <t>900000050</t>
        </is>
      </c>
      <c r="C21" t="inlineStr">
        <is>
          <t>DW83</t>
        </is>
      </c>
      <c r="D21" t="inlineStr">
        <is>
          <t>D216</t>
        </is>
      </c>
      <c r="E21" t="inlineStr">
        <is>
          <t>4</t>
        </is>
      </c>
      <c r="F21" t="inlineStr">
        <is>
          <t>10000332</t>
        </is>
      </c>
      <c r="H21" t="inlineStr"/>
      <c r="J21" t="n">
        <v>60.65</v>
      </c>
      <c r="K21" t="inlineStr"/>
      <c r="M21" t="inlineStr">
        <is>
          <t>TN</t>
        </is>
      </c>
      <c r="N21" t="inlineStr"/>
      <c r="P21" t="inlineStr">
        <is>
          <t>20220812</t>
        </is>
      </c>
      <c r="Q21" t="inlineStr">
        <is>
          <t>20251031</t>
        </is>
      </c>
    </row>
    <row r="22">
      <c r="A22" t="inlineStr">
        <is>
          <t>900000050DW83D21610000554</t>
        </is>
      </c>
      <c r="B22" t="inlineStr">
        <is>
          <t>900000050</t>
        </is>
      </c>
      <c r="C22" t="inlineStr">
        <is>
          <t>DW83</t>
        </is>
      </c>
      <c r="D22" t="inlineStr">
        <is>
          <t>D216</t>
        </is>
      </c>
      <c r="E22" t="inlineStr">
        <is>
          <t>4</t>
        </is>
      </c>
      <c r="F22" t="inlineStr">
        <is>
          <t>10000554</t>
        </is>
      </c>
      <c r="H22" t="inlineStr"/>
      <c r="J22" t="n">
        <v>43.58</v>
      </c>
      <c r="K22" t="inlineStr"/>
      <c r="M22" t="inlineStr">
        <is>
          <t>TN</t>
        </is>
      </c>
      <c r="N22" t="inlineStr"/>
      <c r="P22" t="inlineStr">
        <is>
          <t>20220812</t>
        </is>
      </c>
      <c r="Q22" t="inlineStr">
        <is>
          <t>20251031</t>
        </is>
      </c>
    </row>
    <row r="23">
      <c r="A23" t="inlineStr">
        <is>
          <t>900000050DW83D21610045015</t>
        </is>
      </c>
      <c r="B23" t="inlineStr">
        <is>
          <t>900000050</t>
        </is>
      </c>
      <c r="C23" t="inlineStr">
        <is>
          <t>DW83</t>
        </is>
      </c>
      <c r="D23" t="inlineStr">
        <is>
          <t>D216</t>
        </is>
      </c>
      <c r="E23" t="inlineStr">
        <is>
          <t>4</t>
        </is>
      </c>
      <c r="F23" t="inlineStr">
        <is>
          <t>10045015</t>
        </is>
      </c>
      <c r="H23" t="inlineStr"/>
      <c r="J23" t="n">
        <v>33.93</v>
      </c>
      <c r="K23" t="inlineStr"/>
      <c r="M23" t="inlineStr">
        <is>
          <t>TN</t>
        </is>
      </c>
      <c r="N23" t="inlineStr"/>
      <c r="P23" t="inlineStr">
        <is>
          <t>20220812</t>
        </is>
      </c>
      <c r="Q23" t="inlineStr">
        <is>
          <t>20251031</t>
        </is>
      </c>
    </row>
    <row r="24">
      <c r="A24" t="inlineStr">
        <is>
          <t>900000050DW83D24310000237</t>
        </is>
      </c>
      <c r="B24" t="inlineStr">
        <is>
          <t>900000050</t>
        </is>
      </c>
      <c r="C24" t="inlineStr">
        <is>
          <t>DW83</t>
        </is>
      </c>
      <c r="D24" t="inlineStr">
        <is>
          <t>D243</t>
        </is>
      </c>
      <c r="E24" t="inlineStr">
        <is>
          <t>4</t>
        </is>
      </c>
      <c r="F24" t="inlineStr">
        <is>
          <t>10000237</t>
        </is>
      </c>
      <c r="H24" t="inlineStr"/>
      <c r="J24" t="n">
        <v>136.62</v>
      </c>
      <c r="K24" t="inlineStr"/>
      <c r="M24" t="inlineStr">
        <is>
          <t>TN</t>
        </is>
      </c>
      <c r="N24" t="inlineStr"/>
      <c r="P24" t="inlineStr">
        <is>
          <t>20230301</t>
        </is>
      </c>
      <c r="Q24" t="inlineStr">
        <is>
          <t>20250129</t>
        </is>
      </c>
    </row>
    <row r="25">
      <c r="A25" t="inlineStr">
        <is>
          <t>900000050DW83D24310000318</t>
        </is>
      </c>
      <c r="B25" t="inlineStr">
        <is>
          <t>900000050</t>
        </is>
      </c>
      <c r="C25" t="inlineStr">
        <is>
          <t>DW83</t>
        </is>
      </c>
      <c r="D25" t="inlineStr">
        <is>
          <t>D243</t>
        </is>
      </c>
      <c r="E25" t="inlineStr">
        <is>
          <t>4</t>
        </is>
      </c>
      <c r="F25" t="inlineStr">
        <is>
          <t>10000318</t>
        </is>
      </c>
      <c r="H25" t="inlineStr"/>
      <c r="J25" t="n">
        <v>158.07</v>
      </c>
      <c r="K25" t="inlineStr"/>
      <c r="M25" t="inlineStr">
        <is>
          <t>TN</t>
        </is>
      </c>
      <c r="N25" t="inlineStr"/>
      <c r="P25" t="inlineStr">
        <is>
          <t>20230301</t>
        </is>
      </c>
      <c r="Q25" t="inlineStr">
        <is>
          <t>20250129</t>
        </is>
      </c>
    </row>
    <row r="26">
      <c r="A26" t="inlineStr">
        <is>
          <t>900000050DW83D24310000320</t>
        </is>
      </c>
      <c r="B26" t="inlineStr">
        <is>
          <t>900000050</t>
        </is>
      </c>
      <c r="C26" t="inlineStr">
        <is>
          <t>DW83</t>
        </is>
      </c>
      <c r="D26" t="inlineStr">
        <is>
          <t>D243</t>
        </is>
      </c>
      <c r="E26" t="inlineStr">
        <is>
          <t>4</t>
        </is>
      </c>
      <c r="F26" t="inlineStr">
        <is>
          <t>10000320</t>
        </is>
      </c>
      <c r="H26" t="inlineStr"/>
      <c r="J26" t="n">
        <v>141.14</v>
      </c>
      <c r="K26" t="inlineStr"/>
      <c r="M26" t="inlineStr">
        <is>
          <t>TN</t>
        </is>
      </c>
      <c r="N26" t="inlineStr"/>
      <c r="P26" t="inlineStr">
        <is>
          <t>20230301</t>
        </is>
      </c>
      <c r="Q26" t="inlineStr">
        <is>
          <t>20250129</t>
        </is>
      </c>
    </row>
    <row r="27">
      <c r="A27" t="inlineStr">
        <is>
          <t>900000050DW83D38610000332</t>
        </is>
      </c>
      <c r="B27" t="inlineStr">
        <is>
          <t>900000050</t>
        </is>
      </c>
      <c r="C27" t="inlineStr">
        <is>
          <t>DW83</t>
        </is>
      </c>
      <c r="D27" t="inlineStr">
        <is>
          <t>D386</t>
        </is>
      </c>
      <c r="E27" t="inlineStr">
        <is>
          <t>4</t>
        </is>
      </c>
      <c r="F27" t="inlineStr">
        <is>
          <t>10000332</t>
        </is>
      </c>
      <c r="H27" t="inlineStr"/>
      <c r="J27" t="n">
        <v>477.5</v>
      </c>
      <c r="K27" t="inlineStr"/>
      <c r="M27" t="inlineStr">
        <is>
          <t>TN</t>
        </is>
      </c>
      <c r="N27" t="inlineStr"/>
      <c r="P27" t="inlineStr">
        <is>
          <t>20220812</t>
        </is>
      </c>
      <c r="Q27" t="inlineStr">
        <is>
          <t>20251031</t>
        </is>
      </c>
    </row>
    <row r="28">
      <c r="A28" t="inlineStr">
        <is>
          <t>900000050DW83DE0310000320</t>
        </is>
      </c>
      <c r="B28" t="inlineStr">
        <is>
          <t>900000050</t>
        </is>
      </c>
      <c r="C28" t="inlineStr">
        <is>
          <t>DW83</t>
        </is>
      </c>
      <c r="D28" t="inlineStr">
        <is>
          <t>DE03</t>
        </is>
      </c>
      <c r="E28" t="inlineStr">
        <is>
          <t>4</t>
        </is>
      </c>
      <c r="F28" t="inlineStr">
        <is>
          <t>10000320</t>
        </is>
      </c>
      <c r="H28" t="inlineStr"/>
      <c r="J28" t="n">
        <v>123.48</v>
      </c>
      <c r="K28" t="inlineStr"/>
      <c r="M28" t="inlineStr">
        <is>
          <t>TN</t>
        </is>
      </c>
      <c r="N28" t="inlineStr"/>
      <c r="P28" t="inlineStr">
        <is>
          <t>20230301</t>
        </is>
      </c>
      <c r="Q28" t="inlineStr">
        <is>
          <t>20250129</t>
        </is>
      </c>
    </row>
    <row r="29">
      <c r="A29" t="inlineStr">
        <is>
          <t>900000434DW83D03310000377</t>
        </is>
      </c>
      <c r="B29" t="inlineStr">
        <is>
          <t>900000434</t>
        </is>
      </c>
      <c r="C29" t="inlineStr">
        <is>
          <t>DW83</t>
        </is>
      </c>
      <c r="D29" t="inlineStr">
        <is>
          <t>D033</t>
        </is>
      </c>
      <c r="E29" t="inlineStr">
        <is>
          <t>1</t>
        </is>
      </c>
      <c r="F29" t="inlineStr">
        <is>
          <t>10000377</t>
        </is>
      </c>
      <c r="H29" t="inlineStr"/>
      <c r="J29" t="n">
        <v>97.61</v>
      </c>
      <c r="K29" t="inlineStr"/>
      <c r="M29" t="inlineStr">
        <is>
          <t>TN</t>
        </is>
      </c>
      <c r="N29" t="inlineStr"/>
      <c r="P29" t="inlineStr">
        <is>
          <t>20210620</t>
        </is>
      </c>
      <c r="Q29" t="inlineStr">
        <is>
          <t>20251031</t>
        </is>
      </c>
    </row>
    <row r="30">
      <c r="A30" t="inlineStr">
        <is>
          <t>900000434DW83D03310000379</t>
        </is>
      </c>
      <c r="B30" t="inlineStr">
        <is>
          <t>900000434</t>
        </is>
      </c>
      <c r="C30" t="inlineStr">
        <is>
          <t>DW83</t>
        </is>
      </c>
      <c r="D30" t="inlineStr">
        <is>
          <t>D033</t>
        </is>
      </c>
      <c r="E30" t="inlineStr">
        <is>
          <t>1</t>
        </is>
      </c>
      <c r="F30" t="inlineStr">
        <is>
          <t>10000379</t>
        </is>
      </c>
      <c r="H30" t="inlineStr"/>
      <c r="J30" t="n">
        <v>111.29</v>
      </c>
      <c r="K30" t="inlineStr"/>
      <c r="M30" t="inlineStr">
        <is>
          <t>TN</t>
        </is>
      </c>
      <c r="N30" t="inlineStr"/>
      <c r="P30" t="inlineStr">
        <is>
          <t>20260601</t>
        </is>
      </c>
      <c r="Q30" t="inlineStr">
        <is>
          <t>99991231</t>
        </is>
      </c>
    </row>
    <row r="31">
      <c r="A31" t="inlineStr">
        <is>
          <t>900000434DW83D03310000383</t>
        </is>
      </c>
      <c r="B31" t="inlineStr">
        <is>
          <t>900000434</t>
        </is>
      </c>
      <c r="C31" t="inlineStr">
        <is>
          <t>DW83</t>
        </is>
      </c>
      <c r="D31" t="inlineStr">
        <is>
          <t>D033</t>
        </is>
      </c>
      <c r="E31" t="inlineStr">
        <is>
          <t>1</t>
        </is>
      </c>
      <c r="F31" t="inlineStr">
        <is>
          <t>10000383</t>
        </is>
      </c>
      <c r="H31" t="inlineStr"/>
      <c r="J31" t="n">
        <v>117.11</v>
      </c>
      <c r="K31" t="inlineStr"/>
      <c r="M31" t="inlineStr">
        <is>
          <t>TN</t>
        </is>
      </c>
      <c r="N31" t="inlineStr"/>
      <c r="P31" t="inlineStr">
        <is>
          <t>20260601</t>
        </is>
      </c>
      <c r="Q31" t="inlineStr">
        <is>
          <t>99991231</t>
        </is>
      </c>
    </row>
    <row r="32">
      <c r="A32" t="inlineStr">
        <is>
          <t>900000434DW83D21510000377</t>
        </is>
      </c>
      <c r="B32" t="inlineStr">
        <is>
          <t>900000434</t>
        </is>
      </c>
      <c r="C32" t="inlineStr">
        <is>
          <t>DW83</t>
        </is>
      </c>
      <c r="D32" t="inlineStr">
        <is>
          <t>D215</t>
        </is>
      </c>
      <c r="E32" t="inlineStr">
        <is>
          <t>1</t>
        </is>
      </c>
      <c r="F32" t="inlineStr">
        <is>
          <t>10000377</t>
        </is>
      </c>
      <c r="H32" t="inlineStr"/>
      <c r="J32" t="n">
        <v>67.22</v>
      </c>
      <c r="K32" t="inlineStr"/>
      <c r="M32" t="inlineStr">
        <is>
          <t>TN</t>
        </is>
      </c>
      <c r="N32" t="inlineStr"/>
      <c r="P32" t="inlineStr">
        <is>
          <t>20221024</t>
        </is>
      </c>
      <c r="Q32" t="inlineStr">
        <is>
          <t>99991231</t>
        </is>
      </c>
    </row>
    <row r="33">
      <c r="A33" t="inlineStr">
        <is>
          <t>900000434DW83D21510000379</t>
        </is>
      </c>
      <c r="B33" t="inlineStr">
        <is>
          <t>900000434</t>
        </is>
      </c>
      <c r="C33" t="inlineStr">
        <is>
          <t>DW83</t>
        </is>
      </c>
      <c r="D33" t="inlineStr">
        <is>
          <t>D215</t>
        </is>
      </c>
      <c r="E33" t="inlineStr">
        <is>
          <t>1</t>
        </is>
      </c>
      <c r="F33" t="inlineStr">
        <is>
          <t>10000379</t>
        </is>
      </c>
      <c r="H33" t="inlineStr"/>
      <c r="J33" t="n">
        <v>76.64</v>
      </c>
      <c r="K33" t="inlineStr"/>
      <c r="M33" t="inlineStr">
        <is>
          <t>TN</t>
        </is>
      </c>
      <c r="N33" t="inlineStr"/>
      <c r="P33" t="inlineStr">
        <is>
          <t>20260601</t>
        </is>
      </c>
      <c r="Q33" t="inlineStr">
        <is>
          <t>99991231</t>
        </is>
      </c>
    </row>
    <row r="34">
      <c r="A34" t="inlineStr">
        <is>
          <t>900000434DW83D21510000383</t>
        </is>
      </c>
      <c r="B34" t="inlineStr">
        <is>
          <t>900000434</t>
        </is>
      </c>
      <c r="C34" t="inlineStr">
        <is>
          <t>DW83</t>
        </is>
      </c>
      <c r="D34" t="inlineStr">
        <is>
          <t>D215</t>
        </is>
      </c>
      <c r="E34" t="inlineStr">
        <is>
          <t>1</t>
        </is>
      </c>
      <c r="F34" t="inlineStr">
        <is>
          <t>10000383</t>
        </is>
      </c>
      <c r="H34" t="inlineStr"/>
      <c r="J34" t="n">
        <v>80.64</v>
      </c>
      <c r="K34" t="inlineStr"/>
      <c r="M34" t="inlineStr">
        <is>
          <t>TN</t>
        </is>
      </c>
      <c r="N34" t="inlineStr"/>
      <c r="P34" t="inlineStr">
        <is>
          <t>20260601</t>
        </is>
      </c>
      <c r="Q34" t="inlineStr">
        <is>
          <t>99991231</t>
        </is>
      </c>
    </row>
    <row r="35">
      <c r="A35" t="inlineStr">
        <is>
          <t>900000434DW83D21510192197</t>
        </is>
      </c>
      <c r="B35" t="inlineStr">
        <is>
          <t>900000434</t>
        </is>
      </c>
      <c r="C35" t="inlineStr">
        <is>
          <t>DW83</t>
        </is>
      </c>
      <c r="D35" t="inlineStr">
        <is>
          <t>D215</t>
        </is>
      </c>
      <c r="E35" t="inlineStr">
        <is>
          <t>1</t>
        </is>
      </c>
      <c r="F35" t="inlineStr">
        <is>
          <t>10192197</t>
        </is>
      </c>
      <c r="H35" t="inlineStr"/>
      <c r="J35" t="n">
        <v>75.94</v>
      </c>
      <c r="K35" t="inlineStr"/>
      <c r="M35" t="inlineStr">
        <is>
          <t>TN</t>
        </is>
      </c>
      <c r="N35" t="inlineStr"/>
      <c r="P35" t="inlineStr">
        <is>
          <t>20260601</t>
        </is>
      </c>
      <c r="Q35" t="inlineStr">
        <is>
          <t>99991231</t>
        </is>
      </c>
    </row>
    <row r="36">
      <c r="A36" t="inlineStr">
        <is>
          <t>900000434DW83D21610000320</t>
        </is>
      </c>
      <c r="B36" t="inlineStr">
        <is>
          <t>900000434</t>
        </is>
      </c>
      <c r="C36" t="inlineStr">
        <is>
          <t>DW83</t>
        </is>
      </c>
      <c r="D36" t="inlineStr">
        <is>
          <t>D216</t>
        </is>
      </c>
      <c r="E36" t="inlineStr">
        <is>
          <t>1</t>
        </is>
      </c>
      <c r="F36" t="inlineStr">
        <is>
          <t>10000320</t>
        </is>
      </c>
      <c r="H36" t="inlineStr"/>
      <c r="J36" t="n">
        <v>320.64</v>
      </c>
      <c r="K36" t="inlineStr"/>
      <c r="M36" t="inlineStr">
        <is>
          <t>TN</t>
        </is>
      </c>
      <c r="N36" t="inlineStr"/>
      <c r="P36" t="inlineStr">
        <is>
          <t>20210620</t>
        </is>
      </c>
      <c r="Q36" t="inlineStr">
        <is>
          <t>20251031</t>
        </is>
      </c>
    </row>
    <row r="37">
      <c r="A37" t="inlineStr">
        <is>
          <t>900000434DW83D21610000379</t>
        </is>
      </c>
      <c r="B37" t="inlineStr">
        <is>
          <t>900000434</t>
        </is>
      </c>
      <c r="C37" t="inlineStr">
        <is>
          <t>DW83</t>
        </is>
      </c>
      <c r="D37" t="inlineStr">
        <is>
          <t>D216</t>
        </is>
      </c>
      <c r="E37" t="inlineStr">
        <is>
          <t>1</t>
        </is>
      </c>
      <c r="F37" t="inlineStr">
        <is>
          <t>10000379</t>
        </is>
      </c>
      <c r="H37" t="inlineStr"/>
      <c r="J37" t="n">
        <v>319.58</v>
      </c>
      <c r="K37" t="inlineStr"/>
      <c r="M37" t="inlineStr">
        <is>
          <t>TN</t>
        </is>
      </c>
      <c r="N37" t="inlineStr"/>
      <c r="P37" t="inlineStr">
        <is>
          <t>20210620</t>
        </is>
      </c>
      <c r="Q37" t="inlineStr">
        <is>
          <t>20251031</t>
        </is>
      </c>
    </row>
    <row r="38">
      <c r="A38" t="inlineStr">
        <is>
          <t>900000434DW83D21610000383</t>
        </is>
      </c>
      <c r="B38" t="inlineStr">
        <is>
          <t>900000434</t>
        </is>
      </c>
      <c r="C38" t="inlineStr">
        <is>
          <t>DW83</t>
        </is>
      </c>
      <c r="D38" t="inlineStr">
        <is>
          <t>D216</t>
        </is>
      </c>
      <c r="E38" t="inlineStr">
        <is>
          <t>1</t>
        </is>
      </c>
      <c r="F38" t="inlineStr">
        <is>
          <t>10000383</t>
        </is>
      </c>
      <c r="H38" t="inlineStr"/>
      <c r="J38" t="n">
        <v>336.28</v>
      </c>
      <c r="K38" t="inlineStr"/>
      <c r="M38" t="inlineStr">
        <is>
          <t>TN</t>
        </is>
      </c>
      <c r="N38" t="inlineStr"/>
      <c r="P38" t="inlineStr">
        <is>
          <t>20210620</t>
        </is>
      </c>
      <c r="Q38" t="inlineStr">
        <is>
          <t>20251031</t>
        </is>
      </c>
    </row>
    <row r="39">
      <c r="A39" t="inlineStr">
        <is>
          <t>900000434DW83D21610000719</t>
        </is>
      </c>
      <c r="B39" t="inlineStr">
        <is>
          <t>900000434</t>
        </is>
      </c>
      <c r="C39" t="inlineStr">
        <is>
          <t>DW83</t>
        </is>
      </c>
      <c r="D39" t="inlineStr">
        <is>
          <t>D216</t>
        </is>
      </c>
      <c r="E39" t="inlineStr">
        <is>
          <t>1</t>
        </is>
      </c>
      <c r="F39" t="inlineStr">
        <is>
          <t>10000719</t>
        </is>
      </c>
      <c r="H39" t="inlineStr"/>
      <c r="J39" t="n">
        <v>714.15</v>
      </c>
      <c r="K39" t="inlineStr"/>
      <c r="M39" t="inlineStr">
        <is>
          <t>TN</t>
        </is>
      </c>
      <c r="N39" t="inlineStr"/>
      <c r="P39" t="inlineStr">
        <is>
          <t>20210620</t>
        </is>
      </c>
      <c r="Q39" t="inlineStr">
        <is>
          <t>20251031</t>
        </is>
      </c>
    </row>
    <row r="40">
      <c r="A40" t="inlineStr">
        <is>
          <t>900000434DW83D21610192197</t>
        </is>
      </c>
      <c r="B40" t="inlineStr">
        <is>
          <t>900000434</t>
        </is>
      </c>
      <c r="C40" t="inlineStr">
        <is>
          <t>DW83</t>
        </is>
      </c>
      <c r="D40" t="inlineStr">
        <is>
          <t>D216</t>
        </is>
      </c>
      <c r="E40" t="inlineStr">
        <is>
          <t>1</t>
        </is>
      </c>
      <c r="F40" t="inlineStr">
        <is>
          <t>10192197</t>
        </is>
      </c>
      <c r="H40" t="inlineStr"/>
      <c r="J40" t="n">
        <v>617.67</v>
      </c>
      <c r="K40" t="inlineStr"/>
      <c r="M40" t="inlineStr">
        <is>
          <t>TN</t>
        </is>
      </c>
      <c r="N40" t="inlineStr"/>
      <c r="P40" t="inlineStr">
        <is>
          <t>20210620</t>
        </is>
      </c>
      <c r="Q40" t="inlineStr">
        <is>
          <t>20251031</t>
        </is>
      </c>
    </row>
    <row r="41">
      <c r="A41" t="inlineStr">
        <is>
          <t>900000434DW83D24310000320</t>
        </is>
      </c>
      <c r="B41" t="inlineStr">
        <is>
          <t>900000434</t>
        </is>
      </c>
      <c r="C41" t="inlineStr">
        <is>
          <t>DW83</t>
        </is>
      </c>
      <c r="D41" t="inlineStr">
        <is>
          <t>D243</t>
        </is>
      </c>
      <c r="E41" t="inlineStr">
        <is>
          <t>1</t>
        </is>
      </c>
      <c r="F41" t="inlineStr">
        <is>
          <t>10000320</t>
        </is>
      </c>
      <c r="H41" t="inlineStr"/>
      <c r="J41" t="n">
        <v>458.8</v>
      </c>
      <c r="K41" t="inlineStr"/>
      <c r="M41" t="inlineStr">
        <is>
          <t>TN</t>
        </is>
      </c>
      <c r="N41" t="inlineStr"/>
      <c r="P41" t="inlineStr">
        <is>
          <t>20230301</t>
        </is>
      </c>
      <c r="Q41" t="inlineStr">
        <is>
          <t>20250129</t>
        </is>
      </c>
    </row>
    <row r="42">
      <c r="A42" t="inlineStr">
        <is>
          <t>900000434DW83D24310000377</t>
        </is>
      </c>
      <c r="B42" t="inlineStr">
        <is>
          <t>900000434</t>
        </is>
      </c>
      <c r="C42" t="inlineStr">
        <is>
          <t>DW83</t>
        </is>
      </c>
      <c r="D42" t="inlineStr">
        <is>
          <t>D243</t>
        </is>
      </c>
      <c r="E42" t="inlineStr">
        <is>
          <t>1</t>
        </is>
      </c>
      <c r="F42" t="inlineStr">
        <is>
          <t>10000377</t>
        </is>
      </c>
      <c r="H42" t="inlineStr"/>
      <c r="J42" t="n">
        <v>475.8</v>
      </c>
      <c r="K42" t="inlineStr"/>
      <c r="M42" t="inlineStr">
        <is>
          <t>TN</t>
        </is>
      </c>
      <c r="N42" t="inlineStr"/>
      <c r="P42" t="inlineStr">
        <is>
          <t>20230301</t>
        </is>
      </c>
      <c r="Q42" t="inlineStr">
        <is>
          <t>20250129</t>
        </is>
      </c>
    </row>
    <row r="43">
      <c r="A43" t="inlineStr">
        <is>
          <t>900000434DW83D24310000379</t>
        </is>
      </c>
      <c r="B43" t="inlineStr">
        <is>
          <t>900000434</t>
        </is>
      </c>
      <c r="C43" t="inlineStr">
        <is>
          <t>DW83</t>
        </is>
      </c>
      <c r="D43" t="inlineStr">
        <is>
          <t>D243</t>
        </is>
      </c>
      <c r="E43" t="inlineStr">
        <is>
          <t>1</t>
        </is>
      </c>
      <c r="F43" t="inlineStr">
        <is>
          <t>10000379</t>
        </is>
      </c>
      <c r="H43" t="inlineStr"/>
      <c r="J43" t="n">
        <v>485.11</v>
      </c>
      <c r="K43" t="inlineStr"/>
      <c r="M43" t="inlineStr">
        <is>
          <t>TN</t>
        </is>
      </c>
      <c r="N43" t="inlineStr"/>
      <c r="P43" t="inlineStr">
        <is>
          <t>20230301</t>
        </is>
      </c>
      <c r="Q43" t="inlineStr">
        <is>
          <t>20250129</t>
        </is>
      </c>
    </row>
    <row r="44">
      <c r="A44" t="inlineStr">
        <is>
          <t>900000434DW83D24310000383</t>
        </is>
      </c>
      <c r="B44" t="inlineStr">
        <is>
          <t>900000434</t>
        </is>
      </c>
      <c r="C44" t="inlineStr">
        <is>
          <t>DW83</t>
        </is>
      </c>
      <c r="D44" t="inlineStr">
        <is>
          <t>D243</t>
        </is>
      </c>
      <c r="E44" t="inlineStr">
        <is>
          <t>1</t>
        </is>
      </c>
      <c r="F44" t="inlineStr">
        <is>
          <t>10000383</t>
        </is>
      </c>
      <c r="H44" t="inlineStr"/>
      <c r="J44" t="n">
        <v>510.46</v>
      </c>
      <c r="K44" t="inlineStr"/>
      <c r="M44" t="inlineStr">
        <is>
          <t>TN</t>
        </is>
      </c>
      <c r="N44" t="inlineStr"/>
      <c r="P44" t="inlineStr">
        <is>
          <t>20230301</t>
        </is>
      </c>
      <c r="Q44" t="inlineStr">
        <is>
          <t>20250129</t>
        </is>
      </c>
    </row>
    <row r="45">
      <c r="A45" t="inlineStr">
        <is>
          <t>900000434DW83D24310000719</t>
        </is>
      </c>
      <c r="B45" t="inlineStr">
        <is>
          <t>900000434</t>
        </is>
      </c>
      <c r="C45" t="inlineStr">
        <is>
          <t>DW83</t>
        </is>
      </c>
      <c r="D45" t="inlineStr">
        <is>
          <t>D243</t>
        </is>
      </c>
      <c r="E45" t="inlineStr">
        <is>
          <t>1</t>
        </is>
      </c>
      <c r="F45" t="inlineStr">
        <is>
          <t>10000719</t>
        </is>
      </c>
      <c r="H45" t="inlineStr"/>
      <c r="J45" t="n">
        <v>481.07</v>
      </c>
      <c r="K45" t="inlineStr"/>
      <c r="M45" t="inlineStr">
        <is>
          <t>TN</t>
        </is>
      </c>
      <c r="N45" t="inlineStr"/>
      <c r="P45" t="inlineStr">
        <is>
          <t>20230301</t>
        </is>
      </c>
      <c r="Q45" t="inlineStr">
        <is>
          <t>20250129</t>
        </is>
      </c>
    </row>
    <row r="46">
      <c r="A46" t="inlineStr">
        <is>
          <t>900000434DW83D24310192197</t>
        </is>
      </c>
      <c r="B46" t="inlineStr">
        <is>
          <t>900000434</t>
        </is>
      </c>
      <c r="C46" t="inlineStr">
        <is>
          <t>DW83</t>
        </is>
      </c>
      <c r="D46" t="inlineStr">
        <is>
          <t>D243</t>
        </is>
      </c>
      <c r="E46" t="inlineStr">
        <is>
          <t>1</t>
        </is>
      </c>
      <c r="F46" t="inlineStr">
        <is>
          <t>10192197</t>
        </is>
      </c>
      <c r="H46" t="inlineStr"/>
      <c r="J46" t="n">
        <v>480.74</v>
      </c>
      <c r="K46" t="inlineStr"/>
      <c r="M46" t="inlineStr">
        <is>
          <t>TN</t>
        </is>
      </c>
      <c r="N46" t="inlineStr"/>
      <c r="P46" t="inlineStr">
        <is>
          <t>20230301</t>
        </is>
      </c>
      <c r="Q46" t="inlineStr">
        <is>
          <t>20250129</t>
        </is>
      </c>
    </row>
    <row r="47">
      <c r="A47" t="inlineStr">
        <is>
          <t>900000472DW83D21510000643</t>
        </is>
      </c>
      <c r="B47" t="inlineStr">
        <is>
          <t>900000472</t>
        </is>
      </c>
      <c r="C47" t="inlineStr">
        <is>
          <t>DW83</t>
        </is>
      </c>
      <c r="D47" t="inlineStr">
        <is>
          <t>D215</t>
        </is>
      </c>
      <c r="E47" t="inlineStr">
        <is>
          <t>4</t>
        </is>
      </c>
      <c r="F47" t="inlineStr">
        <is>
          <t>10000643</t>
        </is>
      </c>
      <c r="H47" t="inlineStr"/>
      <c r="J47" t="n">
        <v>919.15</v>
      </c>
      <c r="K47" t="inlineStr"/>
      <c r="M47" t="inlineStr">
        <is>
          <t>TN</t>
        </is>
      </c>
      <c r="N47" t="inlineStr"/>
      <c r="P47" t="inlineStr">
        <is>
          <t>20240215</t>
        </is>
      </c>
      <c r="Q47" t="inlineStr">
        <is>
          <t>20251031</t>
        </is>
      </c>
    </row>
    <row r="48">
      <c r="A48" t="inlineStr">
        <is>
          <t>900000472DW83D21510000655</t>
        </is>
      </c>
      <c r="B48" t="inlineStr">
        <is>
          <t>900000472</t>
        </is>
      </c>
      <c r="C48" t="inlineStr">
        <is>
          <t>DW83</t>
        </is>
      </c>
      <c r="D48" t="inlineStr">
        <is>
          <t>D215</t>
        </is>
      </c>
      <c r="E48" t="inlineStr">
        <is>
          <t>4</t>
        </is>
      </c>
      <c r="F48" t="inlineStr">
        <is>
          <t>10000655</t>
        </is>
      </c>
      <c r="H48" t="inlineStr"/>
      <c r="J48" t="n">
        <v>919.15</v>
      </c>
      <c r="K48" t="inlineStr"/>
      <c r="M48" t="inlineStr">
        <is>
          <t>TN</t>
        </is>
      </c>
      <c r="N48" t="inlineStr"/>
      <c r="P48" t="inlineStr">
        <is>
          <t>20240215</t>
        </is>
      </c>
      <c r="Q48" t="inlineStr">
        <is>
          <t>20251031</t>
        </is>
      </c>
    </row>
    <row r="49">
      <c r="A49" t="inlineStr">
        <is>
          <t>900000472DW83D21510001456</t>
        </is>
      </c>
      <c r="B49" t="inlineStr">
        <is>
          <t>900000472</t>
        </is>
      </c>
      <c r="C49" t="inlineStr">
        <is>
          <t>DW83</t>
        </is>
      </c>
      <c r="D49" t="inlineStr">
        <is>
          <t>D215</t>
        </is>
      </c>
      <c r="E49" t="inlineStr">
        <is>
          <t>4</t>
        </is>
      </c>
      <c r="F49" t="inlineStr">
        <is>
          <t>10001456</t>
        </is>
      </c>
      <c r="H49" t="inlineStr"/>
      <c r="J49" t="n">
        <v>919.15</v>
      </c>
      <c r="K49" t="inlineStr"/>
      <c r="M49" t="inlineStr">
        <is>
          <t>TN</t>
        </is>
      </c>
      <c r="N49" t="inlineStr"/>
      <c r="P49" t="inlineStr">
        <is>
          <t>20240215</t>
        </is>
      </c>
      <c r="Q49" t="inlineStr">
        <is>
          <t>20251031</t>
        </is>
      </c>
    </row>
    <row r="50">
      <c r="A50" t="inlineStr">
        <is>
          <t>900000472DW83D21510210344</t>
        </is>
      </c>
      <c r="B50" t="inlineStr">
        <is>
          <t>900000472</t>
        </is>
      </c>
      <c r="C50" t="inlineStr">
        <is>
          <t>DW83</t>
        </is>
      </c>
      <c r="D50" t="inlineStr">
        <is>
          <t>D215</t>
        </is>
      </c>
      <c r="E50" t="inlineStr">
        <is>
          <t>4</t>
        </is>
      </c>
      <c r="F50" t="inlineStr">
        <is>
          <t>10210344</t>
        </is>
      </c>
      <c r="H50" t="inlineStr"/>
      <c r="J50" t="n">
        <v>919.15</v>
      </c>
      <c r="K50" t="inlineStr"/>
      <c r="M50" t="inlineStr">
        <is>
          <t>TN</t>
        </is>
      </c>
      <c r="N50" t="inlineStr"/>
      <c r="P50" t="inlineStr">
        <is>
          <t>20240215</t>
        </is>
      </c>
      <c r="Q50" t="inlineStr">
        <is>
          <t>20251031</t>
        </is>
      </c>
    </row>
    <row r="51">
      <c r="A51" t="inlineStr">
        <is>
          <t>900000560DW83D21610000437</t>
        </is>
      </c>
      <c r="B51" t="inlineStr">
        <is>
          <t>900000560</t>
        </is>
      </c>
      <c r="C51" t="inlineStr">
        <is>
          <t>DW83</t>
        </is>
      </c>
      <c r="D51" t="inlineStr">
        <is>
          <t>D216</t>
        </is>
      </c>
      <c r="E51" t="inlineStr">
        <is>
          <t>1</t>
        </is>
      </c>
      <c r="F51" t="inlineStr">
        <is>
          <t>10000437</t>
        </is>
      </c>
      <c r="H51" t="inlineStr"/>
      <c r="J51" t="n">
        <v>53.97</v>
      </c>
      <c r="K51" t="inlineStr"/>
      <c r="M51" t="inlineStr">
        <is>
          <t>TN</t>
        </is>
      </c>
      <c r="N51" t="inlineStr"/>
      <c r="P51" t="inlineStr">
        <is>
          <t>20230310</t>
        </is>
      </c>
      <c r="Q51" t="inlineStr">
        <is>
          <t>20250701</t>
        </is>
      </c>
    </row>
    <row r="52">
      <c r="A52" t="inlineStr">
        <is>
          <t>900000560DW83D21610000829</t>
        </is>
      </c>
      <c r="B52" t="inlineStr">
        <is>
          <t>900000560</t>
        </is>
      </c>
      <c r="C52" t="inlineStr">
        <is>
          <t>DW83</t>
        </is>
      </c>
      <c r="D52" t="inlineStr">
        <is>
          <t>D216</t>
        </is>
      </c>
      <c r="E52" t="inlineStr">
        <is>
          <t>1</t>
        </is>
      </c>
      <c r="F52" t="inlineStr">
        <is>
          <t>10000829</t>
        </is>
      </c>
      <c r="H52" t="inlineStr"/>
      <c r="J52" t="n">
        <v>53.97</v>
      </c>
      <c r="K52" t="inlineStr"/>
      <c r="M52" t="inlineStr">
        <is>
          <t>TN</t>
        </is>
      </c>
      <c r="N52" t="inlineStr"/>
      <c r="P52" t="inlineStr">
        <is>
          <t>20240705</t>
        </is>
      </c>
      <c r="Q52" t="inlineStr">
        <is>
          <t>20240705</t>
        </is>
      </c>
    </row>
    <row r="53">
      <c r="A53" t="inlineStr">
        <is>
          <t>900000560DW83D21610258539</t>
        </is>
      </c>
      <c r="B53" t="inlineStr">
        <is>
          <t>900000560</t>
        </is>
      </c>
      <c r="C53" t="inlineStr">
        <is>
          <t>DW83</t>
        </is>
      </c>
      <c r="D53" t="inlineStr">
        <is>
          <t>D216</t>
        </is>
      </c>
      <c r="E53" t="inlineStr">
        <is>
          <t>1</t>
        </is>
      </c>
      <c r="F53" t="inlineStr">
        <is>
          <t>10258539</t>
        </is>
      </c>
      <c r="H53" t="inlineStr"/>
      <c r="J53" t="n">
        <v>48.51</v>
      </c>
      <c r="K53" t="inlineStr"/>
      <c r="M53" t="inlineStr">
        <is>
          <t>TN</t>
        </is>
      </c>
      <c r="N53" t="inlineStr"/>
      <c r="P53" t="inlineStr">
        <is>
          <t>20240704</t>
        </is>
      </c>
      <c r="Q53" t="inlineStr">
        <is>
          <t>20250701</t>
        </is>
      </c>
    </row>
    <row r="54">
      <c r="A54" t="inlineStr">
        <is>
          <t>900001405DW83D21510000586</t>
        </is>
      </c>
      <c r="B54" t="inlineStr">
        <is>
          <t>900001405</t>
        </is>
      </c>
      <c r="C54" t="inlineStr">
        <is>
          <t>DW83</t>
        </is>
      </c>
      <c r="D54" t="inlineStr">
        <is>
          <t>D215</t>
        </is>
      </c>
      <c r="E54" t="inlineStr">
        <is>
          <t>4</t>
        </is>
      </c>
      <c r="F54" t="inlineStr">
        <is>
          <t>10000586</t>
        </is>
      </c>
      <c r="H54" t="inlineStr"/>
      <c r="J54" t="n">
        <v>1000</v>
      </c>
      <c r="K54" t="inlineStr"/>
      <c r="M54" t="inlineStr">
        <is>
          <t>TN</t>
        </is>
      </c>
      <c r="N54" t="inlineStr"/>
      <c r="P54" t="inlineStr">
        <is>
          <t>20220516</t>
        </is>
      </c>
      <c r="Q54" t="inlineStr">
        <is>
          <t>20251031</t>
        </is>
      </c>
    </row>
    <row r="55">
      <c r="A55" t="inlineStr">
        <is>
          <t>900001405DW83D21510001867</t>
        </is>
      </c>
      <c r="B55" t="inlineStr">
        <is>
          <t>900001405</t>
        </is>
      </c>
      <c r="C55" t="inlineStr">
        <is>
          <t>DW83</t>
        </is>
      </c>
      <c r="D55" t="inlineStr">
        <is>
          <t>D215</t>
        </is>
      </c>
      <c r="E55" t="inlineStr">
        <is>
          <t>4</t>
        </is>
      </c>
      <c r="F55" t="inlineStr">
        <is>
          <t>10001867</t>
        </is>
      </c>
      <c r="H55" t="inlineStr"/>
      <c r="J55" t="n">
        <v>1000</v>
      </c>
      <c r="K55" t="inlineStr"/>
      <c r="M55" t="inlineStr">
        <is>
          <t>TN</t>
        </is>
      </c>
      <c r="N55" t="inlineStr"/>
      <c r="P55" t="inlineStr">
        <is>
          <t>20220516</t>
        </is>
      </c>
      <c r="Q55" t="inlineStr">
        <is>
          <t>20251031</t>
        </is>
      </c>
    </row>
    <row r="56">
      <c r="A56" t="inlineStr">
        <is>
          <t>900003017DW83D21610049556</t>
        </is>
      </c>
      <c r="B56" t="inlineStr">
        <is>
          <t>900003017</t>
        </is>
      </c>
      <c r="C56" t="inlineStr">
        <is>
          <t>DW83</t>
        </is>
      </c>
      <c r="D56" t="inlineStr">
        <is>
          <t>D216</t>
        </is>
      </c>
      <c r="E56" t="inlineStr">
        <is>
          <t>4</t>
        </is>
      </c>
      <c r="F56" t="inlineStr">
        <is>
          <t>10049556</t>
        </is>
      </c>
      <c r="H56" t="inlineStr"/>
      <c r="J56" t="n">
        <v>143.07</v>
      </c>
      <c r="K56" t="inlineStr"/>
      <c r="M56" t="inlineStr">
        <is>
          <t>TN</t>
        </is>
      </c>
      <c r="N56" t="inlineStr"/>
      <c r="P56" t="inlineStr">
        <is>
          <t>20220516</t>
        </is>
      </c>
      <c r="Q56" t="inlineStr">
        <is>
          <t>20251031</t>
        </is>
      </c>
    </row>
    <row r="57">
      <c r="A57" t="inlineStr">
        <is>
          <t>900003017DW83D24310000383</t>
        </is>
      </c>
      <c r="B57" t="inlineStr">
        <is>
          <t>900003017</t>
        </is>
      </c>
      <c r="C57" t="inlineStr">
        <is>
          <t>DW83</t>
        </is>
      </c>
      <c r="D57" t="inlineStr">
        <is>
          <t>D243</t>
        </is>
      </c>
      <c r="E57" t="inlineStr">
        <is>
          <t>4</t>
        </is>
      </c>
      <c r="F57" t="inlineStr">
        <is>
          <t>10000383</t>
        </is>
      </c>
      <c r="H57" t="inlineStr"/>
      <c r="J57" t="n">
        <v>137.23</v>
      </c>
      <c r="K57" t="inlineStr"/>
      <c r="M57" t="inlineStr">
        <is>
          <t>TN</t>
        </is>
      </c>
      <c r="N57" t="inlineStr"/>
      <c r="P57" t="inlineStr">
        <is>
          <t>20230301</t>
        </is>
      </c>
      <c r="Q57" t="inlineStr">
        <is>
          <t>20250129</t>
        </is>
      </c>
    </row>
    <row r="58">
      <c r="A58" t="inlineStr">
        <is>
          <t>900003017DW83D24310049554</t>
        </is>
      </c>
      <c r="B58" t="inlineStr">
        <is>
          <t>900003017</t>
        </is>
      </c>
      <c r="C58" t="inlineStr">
        <is>
          <t>DW83</t>
        </is>
      </c>
      <c r="D58" t="inlineStr">
        <is>
          <t>D243</t>
        </is>
      </c>
      <c r="E58" t="inlineStr">
        <is>
          <t>4</t>
        </is>
      </c>
      <c r="F58" t="inlineStr">
        <is>
          <t>10049554</t>
        </is>
      </c>
      <c r="H58" t="inlineStr"/>
      <c r="J58" t="n">
        <v>145.93</v>
      </c>
      <c r="K58" t="inlineStr"/>
      <c r="M58" t="inlineStr">
        <is>
          <t>TN</t>
        </is>
      </c>
      <c r="N58" t="inlineStr"/>
      <c r="P58" t="inlineStr">
        <is>
          <t>20230301</t>
        </is>
      </c>
      <c r="Q58" t="inlineStr">
        <is>
          <t>20250129</t>
        </is>
      </c>
    </row>
    <row r="59">
      <c r="A59" t="inlineStr">
        <is>
          <t>900003017DW83D24310049556</t>
        </is>
      </c>
      <c r="B59" t="inlineStr">
        <is>
          <t>900003017</t>
        </is>
      </c>
      <c r="C59" t="inlineStr">
        <is>
          <t>DW83</t>
        </is>
      </c>
      <c r="D59" t="inlineStr">
        <is>
          <t>D243</t>
        </is>
      </c>
      <c r="E59" t="inlineStr">
        <is>
          <t>4</t>
        </is>
      </c>
      <c r="F59" t="inlineStr">
        <is>
          <t>10049556</t>
        </is>
      </c>
      <c r="H59" t="inlineStr"/>
      <c r="J59" t="n">
        <v>182.68</v>
      </c>
      <c r="K59" t="inlineStr"/>
      <c r="M59" t="inlineStr">
        <is>
          <t>TN</t>
        </is>
      </c>
      <c r="N59" t="inlineStr"/>
      <c r="P59" t="inlineStr">
        <is>
          <t>20230301</t>
        </is>
      </c>
      <c r="Q59" t="inlineStr">
        <is>
          <t>20250129</t>
        </is>
      </c>
    </row>
    <row r="60">
      <c r="A60" t="inlineStr">
        <is>
          <t>900003017DW83D24310052407</t>
        </is>
      </c>
      <c r="B60" t="inlineStr">
        <is>
          <t>900003017</t>
        </is>
      </c>
      <c r="C60" t="inlineStr">
        <is>
          <t>DW83</t>
        </is>
      </c>
      <c r="D60" t="inlineStr">
        <is>
          <t>D243</t>
        </is>
      </c>
      <c r="E60" t="inlineStr">
        <is>
          <t>4</t>
        </is>
      </c>
      <c r="F60" t="inlineStr">
        <is>
          <t>10052407</t>
        </is>
      </c>
      <c r="H60" t="inlineStr"/>
      <c r="J60" t="n">
        <v>139.07</v>
      </c>
      <c r="K60" t="inlineStr"/>
      <c r="M60" t="inlineStr">
        <is>
          <t>TN</t>
        </is>
      </c>
      <c r="N60" t="inlineStr"/>
      <c r="P60" t="inlineStr">
        <is>
          <t>20230301</t>
        </is>
      </c>
      <c r="Q60" t="inlineStr">
        <is>
          <t>20250129</t>
        </is>
      </c>
    </row>
    <row r="61">
      <c r="A61" t="inlineStr">
        <is>
          <t>900003017DW83D24310060689</t>
        </is>
      </c>
      <c r="B61" t="inlineStr">
        <is>
          <t>900003017</t>
        </is>
      </c>
      <c r="C61" t="inlineStr">
        <is>
          <t>DW83</t>
        </is>
      </c>
      <c r="D61" t="inlineStr">
        <is>
          <t>D243</t>
        </is>
      </c>
      <c r="E61" t="inlineStr">
        <is>
          <t>4</t>
        </is>
      </c>
      <c r="F61" t="inlineStr">
        <is>
          <t>10060689</t>
        </is>
      </c>
      <c r="H61" t="inlineStr"/>
      <c r="J61" t="n">
        <v>136.36</v>
      </c>
      <c r="K61" t="inlineStr"/>
      <c r="M61" t="inlineStr">
        <is>
          <t>TN</t>
        </is>
      </c>
      <c r="N61" t="inlineStr"/>
      <c r="P61" t="inlineStr">
        <is>
          <t>20230301</t>
        </is>
      </c>
      <c r="Q61" t="inlineStr">
        <is>
          <t>20250129</t>
        </is>
      </c>
    </row>
    <row r="62">
      <c r="A62" t="inlineStr">
        <is>
          <t>900003368DW83D21510000332</t>
        </is>
      </c>
      <c r="B62" t="inlineStr">
        <is>
          <t>900003368</t>
        </is>
      </c>
      <c r="C62" t="inlineStr">
        <is>
          <t>DW83</t>
        </is>
      </c>
      <c r="D62" t="inlineStr">
        <is>
          <t>D215</t>
        </is>
      </c>
      <c r="E62" t="inlineStr">
        <is>
          <t>4</t>
        </is>
      </c>
      <c r="F62" t="inlineStr">
        <is>
          <t>10000332</t>
        </is>
      </c>
      <c r="H62" t="inlineStr"/>
      <c r="J62" t="n">
        <v>162.5</v>
      </c>
      <c r="K62" t="inlineStr"/>
      <c r="M62" t="inlineStr">
        <is>
          <t>TN</t>
        </is>
      </c>
      <c r="N62" t="inlineStr"/>
      <c r="P62" t="inlineStr">
        <is>
          <t>20230203</t>
        </is>
      </c>
      <c r="Q62" t="inlineStr">
        <is>
          <t>20240201</t>
        </is>
      </c>
    </row>
    <row r="63">
      <c r="A63" t="inlineStr">
        <is>
          <t>900003368DW83D21510000377</t>
        </is>
      </c>
      <c r="B63" t="inlineStr">
        <is>
          <t>900003368</t>
        </is>
      </c>
      <c r="C63" t="inlineStr">
        <is>
          <t>DW83</t>
        </is>
      </c>
      <c r="D63" t="inlineStr">
        <is>
          <t>D215</t>
        </is>
      </c>
      <c r="E63" t="inlineStr">
        <is>
          <t>4</t>
        </is>
      </c>
      <c r="F63" t="inlineStr">
        <is>
          <t>10000377</t>
        </is>
      </c>
      <c r="H63" t="inlineStr"/>
      <c r="J63" t="n">
        <v>56.47</v>
      </c>
      <c r="K63" t="inlineStr"/>
      <c r="M63" t="inlineStr">
        <is>
          <t>TN</t>
        </is>
      </c>
      <c r="N63" t="inlineStr"/>
      <c r="P63" t="inlineStr">
        <is>
          <t>20260601</t>
        </is>
      </c>
      <c r="Q63" t="inlineStr">
        <is>
          <t>99991231</t>
        </is>
      </c>
    </row>
    <row r="64">
      <c r="A64" t="inlineStr">
        <is>
          <t>900003368DW83D21510000379</t>
        </is>
      </c>
      <c r="B64" t="inlineStr">
        <is>
          <t>900003368</t>
        </is>
      </c>
      <c r="C64" t="inlineStr">
        <is>
          <t>DW83</t>
        </is>
      </c>
      <c r="D64" t="inlineStr">
        <is>
          <t>D215</t>
        </is>
      </c>
      <c r="E64" t="inlineStr">
        <is>
          <t>4</t>
        </is>
      </c>
      <c r="F64" t="inlineStr">
        <is>
          <t>10000379</t>
        </is>
      </c>
      <c r="H64" t="inlineStr"/>
      <c r="J64" t="n">
        <v>52.64</v>
      </c>
      <c r="K64" t="inlineStr"/>
      <c r="M64" t="inlineStr">
        <is>
          <t>TN</t>
        </is>
      </c>
      <c r="N64" t="inlineStr"/>
      <c r="P64" t="inlineStr">
        <is>
          <t>20260601</t>
        </is>
      </c>
      <c r="Q64" t="inlineStr">
        <is>
          <t>99991231</t>
        </is>
      </c>
    </row>
    <row r="65">
      <c r="A65" t="inlineStr">
        <is>
          <t>900003368DW83D21510000381</t>
        </is>
      </c>
      <c r="B65" t="inlineStr">
        <is>
          <t>900003368</t>
        </is>
      </c>
      <c r="C65" t="inlineStr">
        <is>
          <t>DW83</t>
        </is>
      </c>
      <c r="D65" t="inlineStr">
        <is>
          <t>D215</t>
        </is>
      </c>
      <c r="E65" t="inlineStr">
        <is>
          <t>4</t>
        </is>
      </c>
      <c r="F65" t="inlineStr">
        <is>
          <t>10000381</t>
        </is>
      </c>
      <c r="H65" t="inlineStr"/>
      <c r="J65" t="n">
        <v>39.47</v>
      </c>
      <c r="K65" t="inlineStr"/>
      <c r="M65" t="inlineStr">
        <is>
          <t>TN</t>
        </is>
      </c>
      <c r="N65" t="inlineStr"/>
      <c r="P65" t="inlineStr">
        <is>
          <t>20230203</t>
        </is>
      </c>
      <c r="Q65" t="inlineStr">
        <is>
          <t>20240201</t>
        </is>
      </c>
    </row>
    <row r="66">
      <c r="A66" t="inlineStr">
        <is>
          <t>900003368DW83D21510000383</t>
        </is>
      </c>
      <c r="B66" t="inlineStr">
        <is>
          <t>900003368</t>
        </is>
      </c>
      <c r="C66" t="inlineStr">
        <is>
          <t>DW83</t>
        </is>
      </c>
      <c r="D66" t="inlineStr">
        <is>
          <t>D215</t>
        </is>
      </c>
      <c r="E66" t="inlineStr">
        <is>
          <t>4</t>
        </is>
      </c>
      <c r="F66" t="inlineStr">
        <is>
          <t>10000383</t>
        </is>
      </c>
      <c r="H66" t="inlineStr"/>
      <c r="J66" t="n">
        <v>55.39</v>
      </c>
      <c r="K66" t="inlineStr"/>
      <c r="M66" t="inlineStr">
        <is>
          <t>TN</t>
        </is>
      </c>
      <c r="N66" t="inlineStr"/>
      <c r="P66" t="inlineStr">
        <is>
          <t>20260601</t>
        </is>
      </c>
      <c r="Q66" t="inlineStr">
        <is>
          <t>99991231</t>
        </is>
      </c>
    </row>
    <row r="67">
      <c r="A67" t="inlineStr">
        <is>
          <t>900003368DW83D21510000719</t>
        </is>
      </c>
      <c r="B67" t="inlineStr">
        <is>
          <t>900003368</t>
        </is>
      </c>
      <c r="C67" t="inlineStr">
        <is>
          <t>DW83</t>
        </is>
      </c>
      <c r="D67" t="inlineStr">
        <is>
          <t>D215</t>
        </is>
      </c>
      <c r="E67" t="inlineStr">
        <is>
          <t>4</t>
        </is>
      </c>
      <c r="F67" t="inlineStr">
        <is>
          <t>10000719</t>
        </is>
      </c>
      <c r="H67" t="inlineStr"/>
      <c r="J67" t="n">
        <v>84.28</v>
      </c>
      <c r="K67" t="inlineStr"/>
      <c r="M67" t="inlineStr">
        <is>
          <t>TN</t>
        </is>
      </c>
      <c r="N67" t="inlineStr"/>
      <c r="P67" t="inlineStr">
        <is>
          <t>20260601</t>
        </is>
      </c>
      <c r="Q67" t="inlineStr">
        <is>
          <t>99991231</t>
        </is>
      </c>
    </row>
    <row r="68">
      <c r="A68" t="inlineStr">
        <is>
          <t>900003368DW83D21510192197</t>
        </is>
      </c>
      <c r="B68" t="inlineStr">
        <is>
          <t>900003368</t>
        </is>
      </c>
      <c r="C68" t="inlineStr">
        <is>
          <t>DW83</t>
        </is>
      </c>
      <c r="D68" t="inlineStr">
        <is>
          <t>D215</t>
        </is>
      </c>
      <c r="E68" t="inlineStr">
        <is>
          <t>4</t>
        </is>
      </c>
      <c r="F68" t="inlineStr">
        <is>
          <t>10192197</t>
        </is>
      </c>
      <c r="H68" t="inlineStr"/>
      <c r="J68" t="n">
        <v>30.52</v>
      </c>
      <c r="K68" t="inlineStr"/>
      <c r="M68" t="inlineStr">
        <is>
          <t>TN</t>
        </is>
      </c>
      <c r="N68" t="inlineStr"/>
      <c r="P68" t="inlineStr">
        <is>
          <t>20260601</t>
        </is>
      </c>
      <c r="Q68" t="inlineStr">
        <is>
          <t>99991231</t>
        </is>
      </c>
    </row>
    <row r="69">
      <c r="A69" t="inlineStr">
        <is>
          <t>900003368DW83D21610000719</t>
        </is>
      </c>
      <c r="B69" t="inlineStr">
        <is>
          <t>900003368</t>
        </is>
      </c>
      <c r="C69" t="inlineStr">
        <is>
          <t>DW83</t>
        </is>
      </c>
      <c r="D69" t="inlineStr">
        <is>
          <t>D216</t>
        </is>
      </c>
      <c r="E69" t="inlineStr">
        <is>
          <t>4</t>
        </is>
      </c>
      <c r="F69" t="inlineStr">
        <is>
          <t>10000719</t>
        </is>
      </c>
      <c r="H69" t="inlineStr"/>
      <c r="J69" t="n">
        <v>221.91</v>
      </c>
      <c r="K69" t="inlineStr"/>
      <c r="M69" t="inlineStr">
        <is>
          <t>TN</t>
        </is>
      </c>
      <c r="N69" t="inlineStr"/>
      <c r="P69" t="inlineStr">
        <is>
          <t>20230203</t>
        </is>
      </c>
      <c r="Q69" t="inlineStr">
        <is>
          <t>99991231</t>
        </is>
      </c>
    </row>
    <row r="70">
      <c r="A70" t="inlineStr">
        <is>
          <t>900003368DW83D38610000332</t>
        </is>
      </c>
      <c r="B70" t="inlineStr">
        <is>
          <t>900003368</t>
        </is>
      </c>
      <c r="C70" t="inlineStr">
        <is>
          <t>DW83</t>
        </is>
      </c>
      <c r="D70" t="inlineStr">
        <is>
          <t>D386</t>
        </is>
      </c>
      <c r="E70" t="inlineStr">
        <is>
          <t>4</t>
        </is>
      </c>
      <c r="F70" t="inlineStr">
        <is>
          <t>10000332</t>
        </is>
      </c>
      <c r="H70" t="inlineStr"/>
      <c r="J70" t="n">
        <v>248.75</v>
      </c>
      <c r="K70" t="inlineStr"/>
      <c r="M70" t="inlineStr">
        <is>
          <t>TN</t>
        </is>
      </c>
      <c r="N70" t="inlineStr"/>
      <c r="P70" t="inlineStr">
        <is>
          <t>20230203</t>
        </is>
      </c>
      <c r="Q70" t="inlineStr">
        <is>
          <t>20240201</t>
        </is>
      </c>
    </row>
    <row r="71">
      <c r="A71" t="inlineStr">
        <is>
          <t>900003368DW83D38610210656</t>
        </is>
      </c>
      <c r="B71" t="inlineStr">
        <is>
          <t>900003368</t>
        </is>
      </c>
      <c r="C71" t="inlineStr">
        <is>
          <t>DW83</t>
        </is>
      </c>
      <c r="D71" t="inlineStr">
        <is>
          <t>D386</t>
        </is>
      </c>
      <c r="E71" t="inlineStr">
        <is>
          <t>4</t>
        </is>
      </c>
      <c r="F71" t="inlineStr">
        <is>
          <t>10210656</t>
        </is>
      </c>
      <c r="H71" t="inlineStr"/>
      <c r="J71" t="n">
        <v>248.75</v>
      </c>
      <c r="K71" t="inlineStr"/>
      <c r="M71" t="inlineStr">
        <is>
          <t>TN</t>
        </is>
      </c>
      <c r="N71" t="inlineStr"/>
      <c r="P71" t="inlineStr">
        <is>
          <t>20230203</t>
        </is>
      </c>
      <c r="Q71" t="inlineStr">
        <is>
          <t>20240201</t>
        </is>
      </c>
    </row>
    <row r="72">
      <c r="A72" t="inlineStr">
        <is>
          <t>900003368DW83D55710000332</t>
        </is>
      </c>
      <c r="B72" t="inlineStr">
        <is>
          <t>900003368</t>
        </is>
      </c>
      <c r="C72" t="inlineStr">
        <is>
          <t>DW83</t>
        </is>
      </c>
      <c r="D72" t="inlineStr">
        <is>
          <t>D557</t>
        </is>
      </c>
      <c r="E72" t="inlineStr">
        <is>
          <t>4</t>
        </is>
      </c>
      <c r="F72" t="inlineStr">
        <is>
          <t>10000332</t>
        </is>
      </c>
      <c r="H72" t="inlineStr"/>
      <c r="J72" t="n">
        <v>147.5</v>
      </c>
      <c r="K72" t="inlineStr"/>
      <c r="M72" t="inlineStr">
        <is>
          <t>TN</t>
        </is>
      </c>
      <c r="N72" t="inlineStr"/>
      <c r="P72" t="inlineStr">
        <is>
          <t>20230203</t>
        </is>
      </c>
      <c r="Q72" t="inlineStr">
        <is>
          <t>20240201</t>
        </is>
      </c>
    </row>
    <row r="73">
      <c r="A73" t="inlineStr">
        <is>
          <t>900003368DW83D55710000377</t>
        </is>
      </c>
      <c r="B73" t="inlineStr">
        <is>
          <t>900003368</t>
        </is>
      </c>
      <c r="C73" t="inlineStr">
        <is>
          <t>DW83</t>
        </is>
      </c>
      <c r="D73" t="inlineStr">
        <is>
          <t>D557</t>
        </is>
      </c>
      <c r="E73" t="inlineStr">
        <is>
          <t>4</t>
        </is>
      </c>
      <c r="F73" t="inlineStr">
        <is>
          <t>10000377</t>
        </is>
      </c>
      <c r="H73" t="inlineStr"/>
      <c r="J73" t="n">
        <v>184.48</v>
      </c>
      <c r="K73" t="inlineStr"/>
      <c r="M73" t="inlineStr">
        <is>
          <t>TN</t>
        </is>
      </c>
      <c r="N73" t="inlineStr"/>
      <c r="P73" t="inlineStr">
        <is>
          <t>20260601</t>
        </is>
      </c>
      <c r="Q73" t="inlineStr">
        <is>
          <t>99991231</t>
        </is>
      </c>
    </row>
    <row r="74">
      <c r="A74" t="inlineStr">
        <is>
          <t>900003368DW83D55710000379</t>
        </is>
      </c>
      <c r="B74" t="inlineStr">
        <is>
          <t>900003368</t>
        </is>
      </c>
      <c r="C74" t="inlineStr">
        <is>
          <t>DW83</t>
        </is>
      </c>
      <c r="D74" t="inlineStr">
        <is>
          <t>D557</t>
        </is>
      </c>
      <c r="E74" t="inlineStr">
        <is>
          <t>4</t>
        </is>
      </c>
      <c r="F74" t="inlineStr">
        <is>
          <t>10000379</t>
        </is>
      </c>
      <c r="H74" t="inlineStr"/>
      <c r="J74" t="n">
        <v>157.27</v>
      </c>
      <c r="K74" t="inlineStr"/>
      <c r="M74" t="inlineStr">
        <is>
          <t>TN</t>
        </is>
      </c>
      <c r="N74" t="inlineStr"/>
      <c r="P74" t="inlineStr">
        <is>
          <t>20260601</t>
        </is>
      </c>
      <c r="Q74" t="inlineStr">
        <is>
          <t>99991231</t>
        </is>
      </c>
    </row>
    <row r="75">
      <c r="A75" t="inlineStr">
        <is>
          <t>900003368DW83D55710000383</t>
        </is>
      </c>
      <c r="B75" t="inlineStr">
        <is>
          <t>900003368</t>
        </is>
      </c>
      <c r="C75" t="inlineStr">
        <is>
          <t>DW83</t>
        </is>
      </c>
      <c r="D75" t="inlineStr">
        <is>
          <t>D557</t>
        </is>
      </c>
      <c r="E75" t="inlineStr">
        <is>
          <t>4</t>
        </is>
      </c>
      <c r="F75" t="inlineStr">
        <is>
          <t>10000383</t>
        </is>
      </c>
      <c r="H75" t="inlineStr"/>
      <c r="J75" t="n">
        <v>165.48</v>
      </c>
      <c r="K75" t="inlineStr"/>
      <c r="M75" t="inlineStr">
        <is>
          <t>TN</t>
        </is>
      </c>
      <c r="N75" t="inlineStr"/>
      <c r="P75" t="inlineStr">
        <is>
          <t>20260601</t>
        </is>
      </c>
      <c r="Q75" t="inlineStr">
        <is>
          <t>99991231</t>
        </is>
      </c>
    </row>
    <row r="76">
      <c r="A76" t="inlineStr">
        <is>
          <t>900003368DW83D55710000719</t>
        </is>
      </c>
      <c r="B76" t="inlineStr">
        <is>
          <t>900003368</t>
        </is>
      </c>
      <c r="C76" t="inlineStr">
        <is>
          <t>DW83</t>
        </is>
      </c>
      <c r="D76" t="inlineStr">
        <is>
          <t>D557</t>
        </is>
      </c>
      <c r="E76" t="inlineStr">
        <is>
          <t>4</t>
        </is>
      </c>
      <c r="F76" t="inlineStr">
        <is>
          <t>10000719</t>
        </is>
      </c>
      <c r="H76" t="inlineStr"/>
      <c r="J76" t="n">
        <v>192.19</v>
      </c>
      <c r="K76" t="inlineStr"/>
      <c r="M76" t="inlineStr">
        <is>
          <t>TN</t>
        </is>
      </c>
      <c r="N76" t="inlineStr"/>
      <c r="P76" t="inlineStr">
        <is>
          <t>20260601</t>
        </is>
      </c>
      <c r="Q76" t="inlineStr">
        <is>
          <t>99991231</t>
        </is>
      </c>
    </row>
    <row r="77">
      <c r="A77" t="inlineStr">
        <is>
          <t>900003368DW83D55710000726</t>
        </is>
      </c>
      <c r="B77" t="inlineStr">
        <is>
          <t>900003368</t>
        </is>
      </c>
      <c r="C77" t="inlineStr">
        <is>
          <t>DW83</t>
        </is>
      </c>
      <c r="D77" t="inlineStr">
        <is>
          <t>D557</t>
        </is>
      </c>
      <c r="E77" t="inlineStr">
        <is>
          <t>4</t>
        </is>
      </c>
      <c r="F77" t="inlineStr">
        <is>
          <t>10000726</t>
        </is>
      </c>
      <c r="H77" t="inlineStr"/>
      <c r="J77" t="n">
        <v>194.38</v>
      </c>
      <c r="K77" t="inlineStr"/>
      <c r="M77" t="inlineStr">
        <is>
          <t>TN</t>
        </is>
      </c>
      <c r="N77" t="inlineStr"/>
      <c r="P77" t="inlineStr">
        <is>
          <t>20230301</t>
        </is>
      </c>
      <c r="Q77" t="inlineStr">
        <is>
          <t>99991231</t>
        </is>
      </c>
    </row>
    <row r="78">
      <c r="A78" t="inlineStr">
        <is>
          <t>900003368DW83D55710192197</t>
        </is>
      </c>
      <c r="B78" t="inlineStr">
        <is>
          <t>900003368</t>
        </is>
      </c>
      <c r="C78" t="inlineStr">
        <is>
          <t>DW83</t>
        </is>
      </c>
      <c r="D78" t="inlineStr">
        <is>
          <t>D557</t>
        </is>
      </c>
      <c r="E78" t="inlineStr">
        <is>
          <t>4</t>
        </is>
      </c>
      <c r="F78" t="inlineStr">
        <is>
          <t>10192197</t>
        </is>
      </c>
      <c r="H78" t="inlineStr"/>
      <c r="J78" t="n">
        <v>137.22</v>
      </c>
      <c r="K78" t="inlineStr"/>
      <c r="M78" t="inlineStr">
        <is>
          <t>TN</t>
        </is>
      </c>
      <c r="N78" t="inlineStr"/>
      <c r="P78" t="inlineStr">
        <is>
          <t>20260601</t>
        </is>
      </c>
      <c r="Q78" t="inlineStr">
        <is>
          <t>99991231</t>
        </is>
      </c>
    </row>
    <row r="79">
      <c r="A79" t="inlineStr">
        <is>
          <t>900003894DW83D03310000377</t>
        </is>
      </c>
      <c r="B79" t="inlineStr">
        <is>
          <t>900003894</t>
        </is>
      </c>
      <c r="C79" t="inlineStr">
        <is>
          <t>DW83</t>
        </is>
      </c>
      <c r="D79" t="inlineStr">
        <is>
          <t>D033</t>
        </is>
      </c>
      <c r="E79" t="inlineStr">
        <is>
          <t>1</t>
        </is>
      </c>
      <c r="F79" t="inlineStr">
        <is>
          <t>10000377</t>
        </is>
      </c>
      <c r="H79" t="inlineStr"/>
      <c r="J79" t="n">
        <v>78.77</v>
      </c>
      <c r="K79" t="inlineStr"/>
      <c r="M79" t="inlineStr">
        <is>
          <t>TN</t>
        </is>
      </c>
      <c r="N79" t="inlineStr"/>
      <c r="P79" t="inlineStr">
        <is>
          <t>20210620</t>
        </is>
      </c>
      <c r="Q79" t="inlineStr">
        <is>
          <t>20251031</t>
        </is>
      </c>
    </row>
    <row r="80">
      <c r="A80" t="inlineStr">
        <is>
          <t>900003894DW83D03310000379</t>
        </is>
      </c>
      <c r="B80" t="inlineStr">
        <is>
          <t>900003894</t>
        </is>
      </c>
      <c r="C80" t="inlineStr">
        <is>
          <t>DW83</t>
        </is>
      </c>
      <c r="D80" t="inlineStr">
        <is>
          <t>D033</t>
        </is>
      </c>
      <c r="E80" t="inlineStr">
        <is>
          <t>1</t>
        </is>
      </c>
      <c r="F80" t="inlineStr">
        <is>
          <t>10000379</t>
        </is>
      </c>
      <c r="H80" t="inlineStr"/>
      <c r="J80" t="n">
        <v>80.31</v>
      </c>
      <c r="K80" t="inlineStr"/>
      <c r="M80" t="inlineStr">
        <is>
          <t>TN</t>
        </is>
      </c>
      <c r="N80" t="inlineStr"/>
      <c r="P80" t="inlineStr">
        <is>
          <t>20210620</t>
        </is>
      </c>
      <c r="Q80" t="inlineStr">
        <is>
          <t>20251031</t>
        </is>
      </c>
    </row>
    <row r="81">
      <c r="A81" t="inlineStr">
        <is>
          <t>900003894DW83D03310000381</t>
        </is>
      </c>
      <c r="B81" t="inlineStr">
        <is>
          <t>900003894</t>
        </is>
      </c>
      <c r="C81" t="inlineStr">
        <is>
          <t>DW83</t>
        </is>
      </c>
      <c r="D81" t="inlineStr">
        <is>
          <t>D033</t>
        </is>
      </c>
      <c r="E81" t="inlineStr">
        <is>
          <t>1</t>
        </is>
      </c>
      <c r="F81" t="inlineStr">
        <is>
          <t>10000381</t>
        </is>
      </c>
      <c r="H81" t="inlineStr"/>
      <c r="J81" t="n">
        <v>75.56</v>
      </c>
      <c r="K81" t="inlineStr"/>
      <c r="M81" t="inlineStr">
        <is>
          <t>TN</t>
        </is>
      </c>
      <c r="N81" t="inlineStr"/>
      <c r="P81" t="inlineStr">
        <is>
          <t>20210620</t>
        </is>
      </c>
      <c r="Q81" t="inlineStr">
        <is>
          <t>20251031</t>
        </is>
      </c>
    </row>
    <row r="82">
      <c r="A82" t="inlineStr">
        <is>
          <t>900003894DW83D03310000383</t>
        </is>
      </c>
      <c r="B82" t="inlineStr">
        <is>
          <t>900003894</t>
        </is>
      </c>
      <c r="C82" t="inlineStr">
        <is>
          <t>DW83</t>
        </is>
      </c>
      <c r="D82" t="inlineStr">
        <is>
          <t>D033</t>
        </is>
      </c>
      <c r="E82" t="inlineStr">
        <is>
          <t>1</t>
        </is>
      </c>
      <c r="F82" t="inlineStr">
        <is>
          <t>10000383</t>
        </is>
      </c>
      <c r="H82" t="inlineStr"/>
      <c r="J82" t="n">
        <v>84.51000000000001</v>
      </c>
      <c r="K82" t="inlineStr"/>
      <c r="M82" t="inlineStr">
        <is>
          <t>TN</t>
        </is>
      </c>
      <c r="N82" t="inlineStr"/>
      <c r="P82" t="inlineStr">
        <is>
          <t>20210620</t>
        </is>
      </c>
      <c r="Q82" t="inlineStr">
        <is>
          <t>20251031</t>
        </is>
      </c>
    </row>
    <row r="83">
      <c r="A83" t="inlineStr">
        <is>
          <t>900003894DW83D21510000377</t>
        </is>
      </c>
      <c r="B83" t="inlineStr">
        <is>
          <t>900003894</t>
        </is>
      </c>
      <c r="C83" t="inlineStr">
        <is>
          <t>DW83</t>
        </is>
      </c>
      <c r="D83" t="inlineStr">
        <is>
          <t>D215</t>
        </is>
      </c>
      <c r="E83" t="inlineStr">
        <is>
          <t>1</t>
        </is>
      </c>
      <c r="F83" t="inlineStr">
        <is>
          <t>10000377</t>
        </is>
      </c>
      <c r="H83" t="inlineStr"/>
      <c r="J83" t="n">
        <v>28.81</v>
      </c>
      <c r="K83" t="inlineStr"/>
      <c r="M83" t="inlineStr">
        <is>
          <t>TN</t>
        </is>
      </c>
      <c r="N83" t="inlineStr"/>
      <c r="P83" t="inlineStr">
        <is>
          <t>20210620</t>
        </is>
      </c>
      <c r="Q83" t="inlineStr">
        <is>
          <t>20251031</t>
        </is>
      </c>
    </row>
    <row r="84">
      <c r="A84" t="inlineStr">
        <is>
          <t>900003894DW83D21510000379</t>
        </is>
      </c>
      <c r="B84" t="inlineStr">
        <is>
          <t>900003894</t>
        </is>
      </c>
      <c r="C84" t="inlineStr">
        <is>
          <t>DW83</t>
        </is>
      </c>
      <c r="D84" t="inlineStr">
        <is>
          <t>D215</t>
        </is>
      </c>
      <c r="E84" t="inlineStr">
        <is>
          <t>1</t>
        </is>
      </c>
      <c r="F84" t="inlineStr">
        <is>
          <t>10000379</t>
        </is>
      </c>
      <c r="H84" t="inlineStr"/>
      <c r="J84" t="n">
        <v>29.37</v>
      </c>
      <c r="K84" t="inlineStr"/>
      <c r="M84" t="inlineStr">
        <is>
          <t>TN</t>
        </is>
      </c>
      <c r="N84" t="inlineStr"/>
      <c r="P84" t="inlineStr">
        <is>
          <t>20210620</t>
        </is>
      </c>
      <c r="Q84" t="inlineStr">
        <is>
          <t>20251031</t>
        </is>
      </c>
    </row>
    <row r="85">
      <c r="A85" t="inlineStr">
        <is>
          <t>900003894DW83D21510000381</t>
        </is>
      </c>
      <c r="B85" t="inlineStr">
        <is>
          <t>900003894</t>
        </is>
      </c>
      <c r="C85" t="inlineStr">
        <is>
          <t>DW83</t>
        </is>
      </c>
      <c r="D85" t="inlineStr">
        <is>
          <t>D215</t>
        </is>
      </c>
      <c r="E85" t="inlineStr">
        <is>
          <t>1</t>
        </is>
      </c>
      <c r="F85" t="inlineStr">
        <is>
          <t>10000381</t>
        </is>
      </c>
      <c r="H85" t="inlineStr"/>
      <c r="J85" t="n">
        <v>27.63</v>
      </c>
      <c r="K85" t="inlineStr"/>
      <c r="M85" t="inlineStr">
        <is>
          <t>TN</t>
        </is>
      </c>
      <c r="N85" t="inlineStr"/>
      <c r="P85" t="inlineStr">
        <is>
          <t>20210620</t>
        </is>
      </c>
      <c r="Q85" t="inlineStr">
        <is>
          <t>20251031</t>
        </is>
      </c>
    </row>
    <row r="86">
      <c r="A86" t="inlineStr">
        <is>
          <t>900003894DW83D21510000383</t>
        </is>
      </c>
      <c r="B86" t="inlineStr">
        <is>
          <t>900003894</t>
        </is>
      </c>
      <c r="C86" t="inlineStr">
        <is>
          <t>DW83</t>
        </is>
      </c>
      <c r="D86" t="inlineStr">
        <is>
          <t>D215</t>
        </is>
      </c>
      <c r="E86" t="inlineStr">
        <is>
          <t>1</t>
        </is>
      </c>
      <c r="F86" t="inlineStr">
        <is>
          <t>10000383</t>
        </is>
      </c>
      <c r="H86" t="inlineStr"/>
      <c r="J86" t="n">
        <v>30.91</v>
      </c>
      <c r="K86" t="inlineStr"/>
      <c r="M86" t="inlineStr">
        <is>
          <t>TN</t>
        </is>
      </c>
      <c r="N86" t="inlineStr"/>
      <c r="P86" t="inlineStr">
        <is>
          <t>20210620</t>
        </is>
      </c>
      <c r="Q86" t="inlineStr">
        <is>
          <t>20251031</t>
        </is>
      </c>
    </row>
    <row r="87">
      <c r="A87" t="inlineStr">
        <is>
          <t>900004148DW83D24310066082</t>
        </is>
      </c>
      <c r="B87" t="inlineStr">
        <is>
          <t>900004148</t>
        </is>
      </c>
      <c r="C87" t="inlineStr">
        <is>
          <t>DW83</t>
        </is>
      </c>
      <c r="D87" t="inlineStr">
        <is>
          <t>D243</t>
        </is>
      </c>
      <c r="E87" t="inlineStr">
        <is>
          <t>4</t>
        </is>
      </c>
      <c r="F87" t="inlineStr">
        <is>
          <t>10066082</t>
        </is>
      </c>
      <c r="H87" t="inlineStr"/>
      <c r="J87" t="n">
        <v>141.22</v>
      </c>
      <c r="K87" t="inlineStr"/>
      <c r="M87" t="inlineStr">
        <is>
          <t>TN</t>
        </is>
      </c>
      <c r="N87" t="inlineStr"/>
      <c r="P87" t="inlineStr">
        <is>
          <t>20230301</t>
        </is>
      </c>
      <c r="Q87" t="inlineStr">
        <is>
          <t>20250129</t>
        </is>
      </c>
    </row>
    <row r="88">
      <c r="A88" t="inlineStr">
        <is>
          <t>900004722DW83D55710000377</t>
        </is>
      </c>
      <c r="B88" t="inlineStr">
        <is>
          <t>900004722</t>
        </is>
      </c>
      <c r="C88" t="inlineStr">
        <is>
          <t>DW83</t>
        </is>
      </c>
      <c r="D88" t="inlineStr">
        <is>
          <t>D557</t>
        </is>
      </c>
      <c r="E88" t="inlineStr">
        <is>
          <t>4</t>
        </is>
      </c>
      <c r="F88" t="inlineStr">
        <is>
          <t>10000377</t>
        </is>
      </c>
      <c r="H88" t="inlineStr"/>
      <c r="J88" t="n">
        <v>99.45</v>
      </c>
      <c r="K88" t="inlineStr"/>
      <c r="M88" t="inlineStr">
        <is>
          <t>TN</t>
        </is>
      </c>
      <c r="N88" t="inlineStr"/>
      <c r="P88" t="inlineStr">
        <is>
          <t>20220516</t>
        </is>
      </c>
      <c r="Q88" t="inlineStr">
        <is>
          <t>20251031</t>
        </is>
      </c>
    </row>
    <row r="89">
      <c r="A89" t="inlineStr">
        <is>
          <t>900004722DW83D55710000379</t>
        </is>
      </c>
      <c r="B89" t="inlineStr">
        <is>
          <t>900004722</t>
        </is>
      </c>
      <c r="C89" t="inlineStr">
        <is>
          <t>DW83</t>
        </is>
      </c>
      <c r="D89" t="inlineStr">
        <is>
          <t>D557</t>
        </is>
      </c>
      <c r="E89" t="inlineStr">
        <is>
          <t>4</t>
        </is>
      </c>
      <c r="F89" t="inlineStr">
        <is>
          <t>10000379</t>
        </is>
      </c>
      <c r="H89" t="inlineStr"/>
      <c r="J89" t="n">
        <v>101.4</v>
      </c>
      <c r="K89" t="inlineStr"/>
      <c r="M89" t="inlineStr">
        <is>
          <t>TN</t>
        </is>
      </c>
      <c r="N89" t="inlineStr"/>
      <c r="P89" t="inlineStr">
        <is>
          <t>20220516</t>
        </is>
      </c>
      <c r="Q89" t="inlineStr">
        <is>
          <t>20251031</t>
        </is>
      </c>
    </row>
    <row r="90">
      <c r="A90" t="inlineStr">
        <is>
          <t>900004722DW83D55710000383</t>
        </is>
      </c>
      <c r="B90" t="inlineStr">
        <is>
          <t>900004722</t>
        </is>
      </c>
      <c r="C90" t="inlineStr">
        <is>
          <t>DW83</t>
        </is>
      </c>
      <c r="D90" t="inlineStr">
        <is>
          <t>D557</t>
        </is>
      </c>
      <c r="E90" t="inlineStr">
        <is>
          <t>4</t>
        </is>
      </c>
      <c r="F90" t="inlineStr">
        <is>
          <t>10000383</t>
        </is>
      </c>
      <c r="H90" t="inlineStr"/>
      <c r="J90" t="n">
        <v>106.7</v>
      </c>
      <c r="K90" t="inlineStr"/>
      <c r="M90" t="inlineStr">
        <is>
          <t>TN</t>
        </is>
      </c>
      <c r="N90" t="inlineStr"/>
      <c r="P90" t="inlineStr">
        <is>
          <t>20220516</t>
        </is>
      </c>
      <c r="Q90" t="inlineStr">
        <is>
          <t>20251031</t>
        </is>
      </c>
    </row>
    <row r="91">
      <c r="A91" t="inlineStr">
        <is>
          <t>900004722DW83D55710000719</t>
        </is>
      </c>
      <c r="B91" t="inlineStr">
        <is>
          <t>900004722</t>
        </is>
      </c>
      <c r="C91" t="inlineStr">
        <is>
          <t>DW83</t>
        </is>
      </c>
      <c r="D91" t="inlineStr">
        <is>
          <t>D557</t>
        </is>
      </c>
      <c r="E91" t="inlineStr">
        <is>
          <t>4</t>
        </is>
      </c>
      <c r="F91" t="inlineStr">
        <is>
          <t>10000719</t>
        </is>
      </c>
      <c r="H91" t="inlineStr"/>
      <c r="J91" t="n">
        <v>100.55</v>
      </c>
      <c r="K91" t="inlineStr"/>
      <c r="M91" t="inlineStr">
        <is>
          <t>TN</t>
        </is>
      </c>
      <c r="N91" t="inlineStr"/>
      <c r="P91" t="inlineStr">
        <is>
          <t>20220516</t>
        </is>
      </c>
      <c r="Q91" t="inlineStr">
        <is>
          <t>20251031</t>
        </is>
      </c>
    </row>
    <row r="92">
      <c r="A92" t="inlineStr">
        <is>
          <t>900004722DW83D55710000726</t>
        </is>
      </c>
      <c r="B92" t="inlineStr">
        <is>
          <t>900004722</t>
        </is>
      </c>
      <c r="C92" t="inlineStr">
        <is>
          <t>DW83</t>
        </is>
      </c>
      <c r="D92" t="inlineStr">
        <is>
          <t>D557</t>
        </is>
      </c>
      <c r="E92" t="inlineStr">
        <is>
          <t>4</t>
        </is>
      </c>
      <c r="F92" t="inlineStr">
        <is>
          <t>10000726</t>
        </is>
      </c>
      <c r="H92" t="inlineStr"/>
      <c r="J92" t="n">
        <v>108.78</v>
      </c>
      <c r="K92" t="inlineStr"/>
      <c r="M92" t="inlineStr">
        <is>
          <t>TN</t>
        </is>
      </c>
      <c r="N92" t="inlineStr"/>
      <c r="P92" t="inlineStr">
        <is>
          <t>20220516</t>
        </is>
      </c>
      <c r="Q92" t="inlineStr">
        <is>
          <t>20251031</t>
        </is>
      </c>
    </row>
    <row r="93">
      <c r="A93" t="inlineStr">
        <is>
          <t>900004722DW83D55710192197</t>
        </is>
      </c>
      <c r="B93" t="inlineStr">
        <is>
          <t>900004722</t>
        </is>
      </c>
      <c r="C93" t="inlineStr">
        <is>
          <t>DW83</t>
        </is>
      </c>
      <c r="D93" t="inlineStr">
        <is>
          <t>D557</t>
        </is>
      </c>
      <c r="E93" t="inlineStr">
        <is>
          <t>4</t>
        </is>
      </c>
      <c r="F93" t="inlineStr">
        <is>
          <t>10192197</t>
        </is>
      </c>
      <c r="H93" t="inlineStr"/>
      <c r="J93" t="n">
        <v>100.49</v>
      </c>
      <c r="K93" t="inlineStr"/>
      <c r="M93" t="inlineStr">
        <is>
          <t>TN</t>
        </is>
      </c>
      <c r="N93" t="inlineStr"/>
      <c r="P93" t="inlineStr">
        <is>
          <t>20220516</t>
        </is>
      </c>
      <c r="Q93" t="inlineStr">
        <is>
          <t>20251031</t>
        </is>
      </c>
    </row>
    <row r="94">
      <c r="A94" t="inlineStr">
        <is>
          <t>900004777DW83D05910000377</t>
        </is>
      </c>
      <c r="B94" t="inlineStr">
        <is>
          <t>900004777</t>
        </is>
      </c>
      <c r="C94" t="inlineStr">
        <is>
          <t>DW83</t>
        </is>
      </c>
      <c r="D94" t="inlineStr">
        <is>
          <t>D059</t>
        </is>
      </c>
      <c r="E94" t="inlineStr">
        <is>
          <t>4</t>
        </is>
      </c>
      <c r="F94" t="inlineStr">
        <is>
          <t>10000377</t>
        </is>
      </c>
      <c r="H94" t="inlineStr"/>
      <c r="J94" t="n">
        <v>89.16</v>
      </c>
      <c r="K94" t="inlineStr"/>
      <c r="M94" t="inlineStr">
        <is>
          <t>TN</t>
        </is>
      </c>
      <c r="N94" t="inlineStr"/>
      <c r="P94" t="inlineStr">
        <is>
          <t>20230203</t>
        </is>
      </c>
      <c r="Q94" t="inlineStr">
        <is>
          <t>20240201</t>
        </is>
      </c>
    </row>
    <row r="95">
      <c r="A95" t="inlineStr">
        <is>
          <t>900004777DW83D05910000379</t>
        </is>
      </c>
      <c r="B95" t="inlineStr">
        <is>
          <t>900004777</t>
        </is>
      </c>
      <c r="C95" t="inlineStr">
        <is>
          <t>DW83</t>
        </is>
      </c>
      <c r="D95" t="inlineStr">
        <is>
          <t>D059</t>
        </is>
      </c>
      <c r="E95" t="inlineStr">
        <is>
          <t>4</t>
        </is>
      </c>
      <c r="F95" t="inlineStr">
        <is>
          <t>10000379</t>
        </is>
      </c>
      <c r="H95" t="inlineStr"/>
      <c r="J95" t="n">
        <v>90.91</v>
      </c>
      <c r="K95" t="inlineStr"/>
      <c r="M95" t="inlineStr">
        <is>
          <t>TN</t>
        </is>
      </c>
      <c r="N95" t="inlineStr"/>
      <c r="P95" t="inlineStr">
        <is>
          <t>20230203</t>
        </is>
      </c>
      <c r="Q95" t="inlineStr">
        <is>
          <t>20240201</t>
        </is>
      </c>
    </row>
    <row r="96">
      <c r="A96" t="inlineStr">
        <is>
          <t>900004777DW83D05910000381</t>
        </is>
      </c>
      <c r="B96" t="inlineStr">
        <is>
          <t>900004777</t>
        </is>
      </c>
      <c r="C96" t="inlineStr">
        <is>
          <t>DW83</t>
        </is>
      </c>
      <c r="D96" t="inlineStr">
        <is>
          <t>D059</t>
        </is>
      </c>
      <c r="E96" t="inlineStr">
        <is>
          <t>4</t>
        </is>
      </c>
      <c r="F96" t="inlineStr">
        <is>
          <t>10000381</t>
        </is>
      </c>
      <c r="H96" t="inlineStr"/>
      <c r="J96" t="n">
        <v>85.53</v>
      </c>
      <c r="K96" t="inlineStr"/>
      <c r="M96" t="inlineStr">
        <is>
          <t>TN</t>
        </is>
      </c>
      <c r="N96" t="inlineStr"/>
      <c r="P96" t="inlineStr">
        <is>
          <t>20230203</t>
        </is>
      </c>
      <c r="Q96" t="inlineStr">
        <is>
          <t>20240201</t>
        </is>
      </c>
    </row>
    <row r="97">
      <c r="A97" t="inlineStr">
        <is>
          <t>900004777DW83D05910000383</t>
        </is>
      </c>
      <c r="B97" t="inlineStr">
        <is>
          <t>900004777</t>
        </is>
      </c>
      <c r="C97" t="inlineStr">
        <is>
          <t>DW83</t>
        </is>
      </c>
      <c r="D97" t="inlineStr">
        <is>
          <t>D059</t>
        </is>
      </c>
      <c r="E97" t="inlineStr">
        <is>
          <t>4</t>
        </is>
      </c>
      <c r="F97" t="inlineStr">
        <is>
          <t>10000383</t>
        </is>
      </c>
      <c r="H97" t="inlineStr"/>
      <c r="J97" t="n">
        <v>95.66</v>
      </c>
      <c r="K97" t="inlineStr"/>
      <c r="M97" t="inlineStr">
        <is>
          <t>TN</t>
        </is>
      </c>
      <c r="N97" t="inlineStr"/>
      <c r="P97" t="inlineStr">
        <is>
          <t>20230203</t>
        </is>
      </c>
      <c r="Q97" t="inlineStr">
        <is>
          <t>20240201</t>
        </is>
      </c>
    </row>
    <row r="98">
      <c r="A98" t="inlineStr">
        <is>
          <t>900004777DW83D55710000381</t>
        </is>
      </c>
      <c r="B98" t="inlineStr">
        <is>
          <t>900004777</t>
        </is>
      </c>
      <c r="C98" t="inlineStr">
        <is>
          <t>DW83</t>
        </is>
      </c>
      <c r="D98" t="inlineStr">
        <is>
          <t>D557</t>
        </is>
      </c>
      <c r="E98" t="inlineStr">
        <is>
          <t>4</t>
        </is>
      </c>
      <c r="F98" t="inlineStr">
        <is>
          <t>10000381</t>
        </is>
      </c>
      <c r="H98" t="inlineStr"/>
      <c r="J98" t="n">
        <v>95.39</v>
      </c>
      <c r="K98" t="inlineStr"/>
      <c r="M98" t="inlineStr">
        <is>
          <t>TN</t>
        </is>
      </c>
      <c r="N98" t="inlineStr"/>
      <c r="P98" t="inlineStr">
        <is>
          <t>20230203</t>
        </is>
      </c>
      <c r="Q98" t="inlineStr">
        <is>
          <t>20240201</t>
        </is>
      </c>
    </row>
    <row r="99">
      <c r="A99" t="inlineStr">
        <is>
          <t>900004830DW83D03310000377</t>
        </is>
      </c>
      <c r="B99" t="inlineStr">
        <is>
          <t>900004830</t>
        </is>
      </c>
      <c r="C99" t="inlineStr">
        <is>
          <t>DW83</t>
        </is>
      </c>
      <c r="D99" t="inlineStr">
        <is>
          <t>D033</t>
        </is>
      </c>
      <c r="E99" t="inlineStr">
        <is>
          <t>4</t>
        </is>
      </c>
      <c r="F99" t="inlineStr">
        <is>
          <t>10000377</t>
        </is>
      </c>
      <c r="H99" t="inlineStr"/>
      <c r="J99" t="n">
        <v>95.47</v>
      </c>
      <c r="K99" t="inlineStr"/>
      <c r="M99" t="inlineStr">
        <is>
          <t>TN</t>
        </is>
      </c>
      <c r="N99" t="inlineStr"/>
      <c r="P99" t="inlineStr">
        <is>
          <t>20260601</t>
        </is>
      </c>
      <c r="Q99" t="inlineStr">
        <is>
          <t>99991231</t>
        </is>
      </c>
    </row>
    <row r="100">
      <c r="A100" t="inlineStr">
        <is>
          <t>900004830DW83D03310000379</t>
        </is>
      </c>
      <c r="B100" t="inlineStr">
        <is>
          <t>900004830</t>
        </is>
      </c>
      <c r="C100" t="inlineStr">
        <is>
          <t>DW83</t>
        </is>
      </c>
      <c r="D100" t="inlineStr">
        <is>
          <t>D033</t>
        </is>
      </c>
      <c r="E100" t="inlineStr">
        <is>
          <t>4</t>
        </is>
      </c>
      <c r="F100" t="inlineStr">
        <is>
          <t>10000379</t>
        </is>
      </c>
      <c r="H100" t="inlineStr"/>
      <c r="J100" t="n">
        <v>72.34999999999999</v>
      </c>
      <c r="K100" t="inlineStr"/>
      <c r="M100" t="inlineStr">
        <is>
          <t>TN</t>
        </is>
      </c>
      <c r="N100" t="inlineStr"/>
      <c r="P100" t="inlineStr">
        <is>
          <t>20260601</t>
        </is>
      </c>
      <c r="Q100" t="inlineStr">
        <is>
          <t>99991231</t>
        </is>
      </c>
    </row>
    <row r="101">
      <c r="A101" t="inlineStr">
        <is>
          <t>900004830DW83D03310000381</t>
        </is>
      </c>
      <c r="B101" t="inlineStr">
        <is>
          <t>900004830</t>
        </is>
      </c>
      <c r="C101" t="inlineStr">
        <is>
          <t>DW83</t>
        </is>
      </c>
      <c r="D101" t="inlineStr">
        <is>
          <t>D033</t>
        </is>
      </c>
      <c r="E101" t="inlineStr">
        <is>
          <t>4</t>
        </is>
      </c>
      <c r="F101" t="inlineStr">
        <is>
          <t>10000381</t>
        </is>
      </c>
      <c r="H101" t="inlineStr"/>
      <c r="J101" t="n">
        <v>65.79000000000001</v>
      </c>
      <c r="K101" t="inlineStr"/>
      <c r="M101" t="inlineStr">
        <is>
          <t>TN</t>
        </is>
      </c>
      <c r="N101" t="inlineStr"/>
      <c r="P101" t="inlineStr">
        <is>
          <t>20230203</t>
        </is>
      </c>
      <c r="Q101" t="inlineStr">
        <is>
          <t>20240201</t>
        </is>
      </c>
    </row>
    <row r="102">
      <c r="A102" t="inlineStr">
        <is>
          <t>900004830DW83D03310000383</t>
        </is>
      </c>
      <c r="B102" t="inlineStr">
        <is>
          <t>900004830</t>
        </is>
      </c>
      <c r="C102" t="inlineStr">
        <is>
          <t>DW83</t>
        </is>
      </c>
      <c r="D102" t="inlineStr">
        <is>
          <t>D033</t>
        </is>
      </c>
      <c r="E102" t="inlineStr">
        <is>
          <t>4</t>
        </is>
      </c>
      <c r="F102" t="inlineStr">
        <is>
          <t>10000383</t>
        </is>
      </c>
      <c r="H102" t="inlineStr"/>
      <c r="J102" t="n">
        <v>76.13</v>
      </c>
      <c r="K102" t="inlineStr"/>
      <c r="M102" t="inlineStr">
        <is>
          <t>TN</t>
        </is>
      </c>
      <c r="N102" t="inlineStr"/>
      <c r="P102" t="inlineStr">
        <is>
          <t>20260601</t>
        </is>
      </c>
      <c r="Q102" t="inlineStr">
        <is>
          <t>99991231</t>
        </is>
      </c>
    </row>
    <row r="103">
      <c r="A103" t="inlineStr">
        <is>
          <t>900004830DW83D03310000719</t>
        </is>
      </c>
      <c r="B103" t="inlineStr">
        <is>
          <t>900004830</t>
        </is>
      </c>
      <c r="C103" t="inlineStr">
        <is>
          <t>DW83</t>
        </is>
      </c>
      <c r="D103" t="inlineStr">
        <is>
          <t>D033</t>
        </is>
      </c>
      <c r="E103" t="inlineStr">
        <is>
          <t>4</t>
        </is>
      </c>
      <c r="F103" t="inlineStr">
        <is>
          <t>10000719</t>
        </is>
      </c>
      <c r="H103" t="inlineStr"/>
      <c r="J103" t="n">
        <v>88.61</v>
      </c>
      <c r="K103" t="inlineStr"/>
      <c r="M103" t="inlineStr">
        <is>
          <t>TN</t>
        </is>
      </c>
      <c r="N103" t="inlineStr"/>
      <c r="P103" t="inlineStr">
        <is>
          <t>20260601</t>
        </is>
      </c>
      <c r="Q103" t="inlineStr">
        <is>
          <t>99991231</t>
        </is>
      </c>
    </row>
    <row r="104">
      <c r="A104" t="inlineStr">
        <is>
          <t>900004830DW83D03310000726</t>
        </is>
      </c>
      <c r="B104" t="inlineStr">
        <is>
          <t>900004830</t>
        </is>
      </c>
      <c r="C104" t="inlineStr">
        <is>
          <t>DW83</t>
        </is>
      </c>
      <c r="D104" t="inlineStr">
        <is>
          <t>D033</t>
        </is>
      </c>
      <c r="E104" t="inlineStr">
        <is>
          <t>4</t>
        </is>
      </c>
      <c r="F104" t="inlineStr">
        <is>
          <t>10000726</t>
        </is>
      </c>
      <c r="H104" t="inlineStr"/>
      <c r="J104" t="n">
        <v>137.57</v>
      </c>
      <c r="K104" t="inlineStr"/>
      <c r="M104" t="inlineStr">
        <is>
          <t>TN</t>
        </is>
      </c>
      <c r="N104" t="inlineStr"/>
      <c r="P104" t="inlineStr">
        <is>
          <t>20230301</t>
        </is>
      </c>
      <c r="Q104" t="inlineStr">
        <is>
          <t>99991231</t>
        </is>
      </c>
    </row>
    <row r="105">
      <c r="A105" t="inlineStr">
        <is>
          <t>900004830DW83D03310060689</t>
        </is>
      </c>
      <c r="B105" t="inlineStr">
        <is>
          <t>900004830</t>
        </is>
      </c>
      <c r="C105" t="inlineStr">
        <is>
          <t>DW83</t>
        </is>
      </c>
      <c r="D105" t="inlineStr">
        <is>
          <t>D033</t>
        </is>
      </c>
      <c r="E105" t="inlineStr">
        <is>
          <t>4</t>
        </is>
      </c>
      <c r="F105" t="inlineStr">
        <is>
          <t>10060689</t>
        </is>
      </c>
      <c r="H105" t="inlineStr"/>
      <c r="J105" t="n">
        <v>72.73</v>
      </c>
      <c r="K105" t="inlineStr"/>
      <c r="M105" t="inlineStr">
        <is>
          <t>TN</t>
        </is>
      </c>
      <c r="N105" t="inlineStr"/>
      <c r="P105" t="inlineStr">
        <is>
          <t>20230203</t>
        </is>
      </c>
      <c r="Q105" t="inlineStr">
        <is>
          <t>20240201</t>
        </is>
      </c>
    </row>
    <row r="106">
      <c r="A106" t="inlineStr">
        <is>
          <t>900004830DW83D03310146739</t>
        </is>
      </c>
      <c r="B106" t="inlineStr">
        <is>
          <t>900004830</t>
        </is>
      </c>
      <c r="C106" t="inlineStr">
        <is>
          <t>DW83</t>
        </is>
      </c>
      <c r="D106" t="inlineStr">
        <is>
          <t>D033</t>
        </is>
      </c>
      <c r="E106" t="inlineStr">
        <is>
          <t>4</t>
        </is>
      </c>
      <c r="F106" t="inlineStr">
        <is>
          <t>10146739</t>
        </is>
      </c>
      <c r="H106" t="inlineStr"/>
      <c r="J106" t="n">
        <v>100.42</v>
      </c>
      <c r="K106" t="inlineStr"/>
      <c r="M106" t="inlineStr">
        <is>
          <t>TN</t>
        </is>
      </c>
      <c r="N106" t="inlineStr"/>
      <c r="P106" t="inlineStr">
        <is>
          <t>20230203</t>
        </is>
      </c>
      <c r="Q106" t="inlineStr">
        <is>
          <t>20240201</t>
        </is>
      </c>
    </row>
    <row r="107">
      <c r="A107" t="inlineStr">
        <is>
          <t>900004830DW83D03310192197</t>
        </is>
      </c>
      <c r="B107" t="inlineStr">
        <is>
          <t>900004830</t>
        </is>
      </c>
      <c r="C107" t="inlineStr">
        <is>
          <t>DW83</t>
        </is>
      </c>
      <c r="D107" t="inlineStr">
        <is>
          <t>D033</t>
        </is>
      </c>
      <c r="E107" t="inlineStr">
        <is>
          <t>4</t>
        </is>
      </c>
      <c r="F107" t="inlineStr">
        <is>
          <t>10192197</t>
        </is>
      </c>
      <c r="H107" t="inlineStr"/>
      <c r="J107" t="n">
        <v>46.47</v>
      </c>
      <c r="K107" t="inlineStr"/>
      <c r="M107" t="inlineStr">
        <is>
          <t>TN</t>
        </is>
      </c>
      <c r="N107" t="inlineStr"/>
      <c r="P107" t="inlineStr">
        <is>
          <t>20260601</t>
        </is>
      </c>
      <c r="Q107" t="inlineStr">
        <is>
          <t>99991231</t>
        </is>
      </c>
    </row>
    <row r="108">
      <c r="A108" t="inlineStr">
        <is>
          <t>900004830DW83D21610000379</t>
        </is>
      </c>
      <c r="B108" t="inlineStr">
        <is>
          <t>900004830</t>
        </is>
      </c>
      <c r="C108" t="inlineStr">
        <is>
          <t>DW83</t>
        </is>
      </c>
      <c r="D108" t="inlineStr">
        <is>
          <t>D216</t>
        </is>
      </c>
      <c r="E108" t="inlineStr">
        <is>
          <t>4</t>
        </is>
      </c>
      <c r="F108" t="inlineStr">
        <is>
          <t>10000379</t>
        </is>
      </c>
      <c r="H108" t="inlineStr"/>
      <c r="J108" t="n">
        <v>167.48</v>
      </c>
      <c r="K108" t="inlineStr"/>
      <c r="M108" t="inlineStr">
        <is>
          <t>TN</t>
        </is>
      </c>
      <c r="N108" t="inlineStr"/>
      <c r="P108" t="inlineStr">
        <is>
          <t>20230203</t>
        </is>
      </c>
      <c r="Q108" t="inlineStr">
        <is>
          <t>99991231</t>
        </is>
      </c>
    </row>
    <row r="109">
      <c r="A109" t="inlineStr">
        <is>
          <t>900004830DW83D21610000383</t>
        </is>
      </c>
      <c r="B109" t="inlineStr">
        <is>
          <t>900004830</t>
        </is>
      </c>
      <c r="C109" t="inlineStr">
        <is>
          <t>DW83</t>
        </is>
      </c>
      <c r="D109" t="inlineStr">
        <is>
          <t>D216</t>
        </is>
      </c>
      <c r="E109" t="inlineStr">
        <is>
          <t>4</t>
        </is>
      </c>
      <c r="F109" t="inlineStr">
        <is>
          <t>10000383</t>
        </is>
      </c>
      <c r="H109" t="inlineStr"/>
      <c r="J109" t="n">
        <v>176.23</v>
      </c>
      <c r="K109" t="inlineStr"/>
      <c r="M109" t="inlineStr">
        <is>
          <t>TN</t>
        </is>
      </c>
      <c r="N109" t="inlineStr"/>
      <c r="P109" t="inlineStr">
        <is>
          <t>20230203</t>
        </is>
      </c>
      <c r="Q109" t="inlineStr">
        <is>
          <t>99991231</t>
        </is>
      </c>
    </row>
    <row r="110">
      <c r="A110" t="inlineStr">
        <is>
          <t>900004830DW83D38610000377</t>
        </is>
      </c>
      <c r="B110" t="inlineStr">
        <is>
          <t>900004830</t>
        </is>
      </c>
      <c r="C110" t="inlineStr">
        <is>
          <t>DW83</t>
        </is>
      </c>
      <c r="D110" t="inlineStr">
        <is>
          <t>D386</t>
        </is>
      </c>
      <c r="E110" t="inlineStr">
        <is>
          <t>4</t>
        </is>
      </c>
      <c r="F110" t="inlineStr">
        <is>
          <t>10000377</t>
        </is>
      </c>
      <c r="H110" t="inlineStr"/>
      <c r="J110" t="n">
        <v>117.03</v>
      </c>
      <c r="K110" t="inlineStr"/>
      <c r="M110" t="inlineStr">
        <is>
          <t>TN</t>
        </is>
      </c>
      <c r="N110" t="inlineStr"/>
      <c r="P110" t="inlineStr">
        <is>
          <t>20260601</t>
        </is>
      </c>
      <c r="Q110" t="inlineStr">
        <is>
          <t>99991231</t>
        </is>
      </c>
    </row>
    <row r="111">
      <c r="A111" t="inlineStr">
        <is>
          <t>900004830DW83D38610000379</t>
        </is>
      </c>
      <c r="B111" t="inlineStr">
        <is>
          <t>900004830</t>
        </is>
      </c>
      <c r="C111" t="inlineStr">
        <is>
          <t>DW83</t>
        </is>
      </c>
      <c r="D111" t="inlineStr">
        <is>
          <t>D386</t>
        </is>
      </c>
      <c r="E111" t="inlineStr">
        <is>
          <t>4</t>
        </is>
      </c>
      <c r="F111" t="inlineStr">
        <is>
          <t>10000379</t>
        </is>
      </c>
      <c r="H111" t="inlineStr"/>
      <c r="J111" t="n">
        <v>117.76</v>
      </c>
      <c r="K111" t="inlineStr"/>
      <c r="M111" t="inlineStr">
        <is>
          <t>TN</t>
        </is>
      </c>
      <c r="N111" t="inlineStr"/>
      <c r="P111" t="inlineStr">
        <is>
          <t>20260601</t>
        </is>
      </c>
      <c r="Q111" t="inlineStr">
        <is>
          <t>99991231</t>
        </is>
      </c>
    </row>
    <row r="112">
      <c r="A112" t="inlineStr">
        <is>
          <t>900004830DW83D38610000381</t>
        </is>
      </c>
      <c r="B112" t="inlineStr">
        <is>
          <t>900004830</t>
        </is>
      </c>
      <c r="C112" t="inlineStr">
        <is>
          <t>DW83</t>
        </is>
      </c>
      <c r="D112" t="inlineStr">
        <is>
          <t>D386</t>
        </is>
      </c>
      <c r="E112" t="inlineStr">
        <is>
          <t>4</t>
        </is>
      </c>
      <c r="F112" t="inlineStr">
        <is>
          <t>10000381</t>
        </is>
      </c>
      <c r="H112" t="inlineStr"/>
      <c r="J112" t="n">
        <v>65.79000000000001</v>
      </c>
      <c r="K112" t="inlineStr"/>
      <c r="M112" t="inlineStr">
        <is>
          <t>TN</t>
        </is>
      </c>
      <c r="N112" t="inlineStr"/>
      <c r="P112" t="inlineStr">
        <is>
          <t>20230203</t>
        </is>
      </c>
      <c r="Q112" t="inlineStr">
        <is>
          <t>20240201</t>
        </is>
      </c>
    </row>
    <row r="113">
      <c r="A113" t="inlineStr">
        <is>
          <t>900004830DW83D38610000383</t>
        </is>
      </c>
      <c r="B113" t="inlineStr">
        <is>
          <t>900004830</t>
        </is>
      </c>
      <c r="C113" t="inlineStr">
        <is>
          <t>DW83</t>
        </is>
      </c>
      <c r="D113" t="inlineStr">
        <is>
          <t>D386</t>
        </is>
      </c>
      <c r="E113" t="inlineStr">
        <is>
          <t>4</t>
        </is>
      </c>
      <c r="F113" t="inlineStr">
        <is>
          <t>10000383</t>
        </is>
      </c>
      <c r="H113" t="inlineStr"/>
      <c r="J113" t="n">
        <v>123.9</v>
      </c>
      <c r="K113" t="inlineStr"/>
      <c r="M113" t="inlineStr">
        <is>
          <t>TN</t>
        </is>
      </c>
      <c r="N113" t="inlineStr"/>
      <c r="P113" t="inlineStr">
        <is>
          <t>20260601</t>
        </is>
      </c>
      <c r="Q113" t="inlineStr">
        <is>
          <t>99991231</t>
        </is>
      </c>
    </row>
    <row r="114">
      <c r="A114" t="inlineStr">
        <is>
          <t>900004830DW83D38610000719</t>
        </is>
      </c>
      <c r="B114" t="inlineStr">
        <is>
          <t>900004830</t>
        </is>
      </c>
      <c r="C114" t="inlineStr">
        <is>
          <t>DW83</t>
        </is>
      </c>
      <c r="D114" t="inlineStr">
        <is>
          <t>D386</t>
        </is>
      </c>
      <c r="E114" t="inlineStr">
        <is>
          <t>4</t>
        </is>
      </c>
      <c r="F114" t="inlineStr">
        <is>
          <t>10000719</t>
        </is>
      </c>
      <c r="H114" t="inlineStr"/>
      <c r="J114" t="n">
        <v>125.8</v>
      </c>
      <c r="K114" t="inlineStr"/>
      <c r="M114" t="inlineStr">
        <is>
          <t>TN</t>
        </is>
      </c>
      <c r="N114" t="inlineStr"/>
      <c r="P114" t="inlineStr">
        <is>
          <t>20260601</t>
        </is>
      </c>
      <c r="Q114" t="inlineStr">
        <is>
          <t>99991231</t>
        </is>
      </c>
    </row>
    <row r="115">
      <c r="A115" t="inlineStr">
        <is>
          <t>900004830DW83D38610000726</t>
        </is>
      </c>
      <c r="B115" t="inlineStr">
        <is>
          <t>900004830</t>
        </is>
      </c>
      <c r="C115" t="inlineStr">
        <is>
          <t>DW83</t>
        </is>
      </c>
      <c r="D115" t="inlineStr">
        <is>
          <t>D386</t>
        </is>
      </c>
      <c r="E115" t="inlineStr">
        <is>
          <t>4</t>
        </is>
      </c>
      <c r="F115" t="inlineStr">
        <is>
          <t>10000726</t>
        </is>
      </c>
      <c r="H115" t="inlineStr"/>
      <c r="J115" t="n">
        <v>156.57</v>
      </c>
      <c r="K115" t="inlineStr"/>
      <c r="M115" t="inlineStr">
        <is>
          <t>TN</t>
        </is>
      </c>
      <c r="N115" t="inlineStr"/>
      <c r="P115" t="inlineStr">
        <is>
          <t>20230301</t>
        </is>
      </c>
      <c r="Q115" t="inlineStr">
        <is>
          <t>99991231</t>
        </is>
      </c>
    </row>
    <row r="116">
      <c r="A116" t="inlineStr">
        <is>
          <t>900004830DW83D38610192197</t>
        </is>
      </c>
      <c r="B116" t="inlineStr">
        <is>
          <t>900004830</t>
        </is>
      </c>
      <c r="C116" t="inlineStr">
        <is>
          <t>DW83</t>
        </is>
      </c>
      <c r="D116" t="inlineStr">
        <is>
          <t>D386</t>
        </is>
      </c>
      <c r="E116" t="inlineStr">
        <is>
          <t>4</t>
        </is>
      </c>
      <c r="F116" t="inlineStr">
        <is>
          <t>10192197</t>
        </is>
      </c>
      <c r="H116" t="inlineStr"/>
      <c r="J116" t="n">
        <v>88.7</v>
      </c>
      <c r="K116" t="inlineStr"/>
      <c r="M116" t="inlineStr">
        <is>
          <t>TN</t>
        </is>
      </c>
      <c r="N116" t="inlineStr"/>
      <c r="P116" t="inlineStr">
        <is>
          <t>20260601</t>
        </is>
      </c>
      <c r="Q116" t="inlineStr">
        <is>
          <t>99991231</t>
        </is>
      </c>
    </row>
    <row r="117">
      <c r="A117" t="inlineStr">
        <is>
          <t>900004830DW83D55710000332</t>
        </is>
      </c>
      <c r="B117" t="inlineStr">
        <is>
          <t>900004830</t>
        </is>
      </c>
      <c r="C117" t="inlineStr">
        <is>
          <t>DW83</t>
        </is>
      </c>
      <c r="D117" t="inlineStr">
        <is>
          <t>D557</t>
        </is>
      </c>
      <c r="E117" t="inlineStr">
        <is>
          <t>4</t>
        </is>
      </c>
      <c r="F117" t="inlineStr">
        <is>
          <t>10000332</t>
        </is>
      </c>
      <c r="H117" t="inlineStr"/>
      <c r="J117" t="n">
        <v>125</v>
      </c>
      <c r="K117" t="inlineStr"/>
      <c r="M117" t="inlineStr">
        <is>
          <t>TN</t>
        </is>
      </c>
      <c r="N117" t="inlineStr"/>
      <c r="P117" t="inlineStr">
        <is>
          <t>20230203</t>
        </is>
      </c>
      <c r="Q117" t="inlineStr">
        <is>
          <t>20240201</t>
        </is>
      </c>
    </row>
    <row r="118">
      <c r="A118" t="inlineStr">
        <is>
          <t>900004995DW83D21510000332</t>
        </is>
      </c>
      <c r="B118" t="inlineStr">
        <is>
          <t>900004995</t>
        </is>
      </c>
      <c r="C118" t="inlineStr">
        <is>
          <t>DW83</t>
        </is>
      </c>
      <c r="D118" t="inlineStr">
        <is>
          <t>D215</t>
        </is>
      </c>
      <c r="E118" t="inlineStr">
        <is>
          <t>4</t>
        </is>
      </c>
      <c r="F118" t="inlineStr">
        <is>
          <t>10000332</t>
        </is>
      </c>
      <c r="H118" t="inlineStr"/>
      <c r="J118" t="n">
        <v>723.45</v>
      </c>
      <c r="K118" t="inlineStr"/>
      <c r="M118" t="inlineStr">
        <is>
          <t>TN</t>
        </is>
      </c>
      <c r="N118" t="inlineStr"/>
      <c r="P118" t="inlineStr">
        <is>
          <t>20240314</t>
        </is>
      </c>
      <c r="Q118" t="inlineStr">
        <is>
          <t>20250529</t>
        </is>
      </c>
    </row>
    <row r="119">
      <c r="A119" t="inlineStr">
        <is>
          <t>900004995DW83D38610000200</t>
        </is>
      </c>
      <c r="B119" t="inlineStr">
        <is>
          <t>900004995</t>
        </is>
      </c>
      <c r="C119" t="inlineStr">
        <is>
          <t>DW83</t>
        </is>
      </c>
      <c r="D119" t="inlineStr">
        <is>
          <t>D386</t>
        </is>
      </c>
      <c r="E119" t="inlineStr">
        <is>
          <t>4</t>
        </is>
      </c>
      <c r="F119" t="inlineStr">
        <is>
          <t>10000200</t>
        </is>
      </c>
      <c r="H119" t="inlineStr"/>
      <c r="J119" t="n">
        <v>744.1900000000001</v>
      </c>
      <c r="K119" t="inlineStr"/>
      <c r="M119" t="inlineStr">
        <is>
          <t>TN</t>
        </is>
      </c>
      <c r="N119" t="inlineStr"/>
      <c r="P119" t="inlineStr">
        <is>
          <t>20240529</t>
        </is>
      </c>
      <c r="Q119" t="inlineStr">
        <is>
          <t>20250529</t>
        </is>
      </c>
    </row>
    <row r="120">
      <c r="A120" t="inlineStr">
        <is>
          <t>900004995DW83D38610210656</t>
        </is>
      </c>
      <c r="B120" t="inlineStr">
        <is>
          <t>900004995</t>
        </is>
      </c>
      <c r="C120" t="inlineStr">
        <is>
          <t>DW83</t>
        </is>
      </c>
      <c r="D120" t="inlineStr">
        <is>
          <t>D386</t>
        </is>
      </c>
      <c r="E120" t="inlineStr">
        <is>
          <t>4</t>
        </is>
      </c>
      <c r="F120" t="inlineStr">
        <is>
          <t>10210656</t>
        </is>
      </c>
      <c r="H120" t="inlineStr"/>
      <c r="J120" t="n">
        <v>768.38</v>
      </c>
      <c r="K120" t="inlineStr"/>
      <c r="M120" t="inlineStr">
        <is>
          <t>TN</t>
        </is>
      </c>
      <c r="N120" t="inlineStr"/>
      <c r="P120" t="inlineStr">
        <is>
          <t>20240301</t>
        </is>
      </c>
      <c r="Q120" t="inlineStr">
        <is>
          <t>20250529</t>
        </is>
      </c>
    </row>
    <row r="121">
      <c r="A121" t="inlineStr">
        <is>
          <t>900005573DW83D21510000377</t>
        </is>
      </c>
      <c r="B121" t="inlineStr">
        <is>
          <t>900005573</t>
        </is>
      </c>
      <c r="C121" t="inlineStr">
        <is>
          <t>DW83</t>
        </is>
      </c>
      <c r="D121" t="inlineStr">
        <is>
          <t>D215</t>
        </is>
      </c>
      <c r="E121" t="inlineStr">
        <is>
          <t>4</t>
        </is>
      </c>
      <c r="F121" t="inlineStr">
        <is>
          <t>10000377</t>
        </is>
      </c>
      <c r="H121" t="inlineStr"/>
      <c r="J121" t="n">
        <v>20.58</v>
      </c>
      <c r="K121" t="inlineStr"/>
      <c r="M121" t="inlineStr">
        <is>
          <t>TN</t>
        </is>
      </c>
      <c r="N121" t="inlineStr"/>
      <c r="P121" t="inlineStr">
        <is>
          <t>20220516</t>
        </is>
      </c>
      <c r="Q121" t="inlineStr">
        <is>
          <t>20251031</t>
        </is>
      </c>
    </row>
    <row r="122">
      <c r="A122" t="inlineStr">
        <is>
          <t>900005573DW83D21510000379</t>
        </is>
      </c>
      <c r="B122" t="inlineStr">
        <is>
          <t>900005573</t>
        </is>
      </c>
      <c r="C122" t="inlineStr">
        <is>
          <t>DW83</t>
        </is>
      </c>
      <c r="D122" t="inlineStr">
        <is>
          <t>D215</t>
        </is>
      </c>
      <c r="E122" t="inlineStr">
        <is>
          <t>4</t>
        </is>
      </c>
      <c r="F122" t="inlineStr">
        <is>
          <t>10000379</t>
        </is>
      </c>
      <c r="H122" t="inlineStr"/>
      <c r="J122" t="n">
        <v>34.97</v>
      </c>
      <c r="K122" t="inlineStr"/>
      <c r="M122" t="inlineStr">
        <is>
          <t>TN</t>
        </is>
      </c>
      <c r="N122" t="inlineStr"/>
      <c r="P122" t="inlineStr">
        <is>
          <t>20220516</t>
        </is>
      </c>
      <c r="Q122" t="inlineStr">
        <is>
          <t>20251031</t>
        </is>
      </c>
    </row>
    <row r="123">
      <c r="A123" t="inlineStr">
        <is>
          <t>900005573DW83D21510000381</t>
        </is>
      </c>
      <c r="B123" t="inlineStr">
        <is>
          <t>900005573</t>
        </is>
      </c>
      <c r="C123" t="inlineStr">
        <is>
          <t>DW83</t>
        </is>
      </c>
      <c r="D123" t="inlineStr">
        <is>
          <t>D215</t>
        </is>
      </c>
      <c r="E123" t="inlineStr">
        <is>
          <t>4</t>
        </is>
      </c>
      <c r="F123" t="inlineStr">
        <is>
          <t>10000381</t>
        </is>
      </c>
      <c r="H123" t="inlineStr"/>
      <c r="J123" t="n">
        <v>19.74</v>
      </c>
      <c r="K123" t="inlineStr"/>
      <c r="M123" t="inlineStr">
        <is>
          <t>TN</t>
        </is>
      </c>
      <c r="N123" t="inlineStr"/>
      <c r="P123" t="inlineStr">
        <is>
          <t>20220516</t>
        </is>
      </c>
      <c r="Q123" t="inlineStr">
        <is>
          <t>20251031</t>
        </is>
      </c>
    </row>
    <row r="124">
      <c r="A124" t="inlineStr">
        <is>
          <t>900005573DW83D21510000383</t>
        </is>
      </c>
      <c r="B124" t="inlineStr">
        <is>
          <t>900005573</t>
        </is>
      </c>
      <c r="C124" t="inlineStr">
        <is>
          <t>DW83</t>
        </is>
      </c>
      <c r="D124" t="inlineStr">
        <is>
          <t>D215</t>
        </is>
      </c>
      <c r="E124" t="inlineStr">
        <is>
          <t>4</t>
        </is>
      </c>
      <c r="F124" t="inlineStr">
        <is>
          <t>10000383</t>
        </is>
      </c>
      <c r="H124" t="inlineStr"/>
      <c r="J124" t="n">
        <v>22.08</v>
      </c>
      <c r="K124" t="inlineStr"/>
      <c r="M124" t="inlineStr">
        <is>
          <t>TN</t>
        </is>
      </c>
      <c r="N124" t="inlineStr"/>
      <c r="P124" t="inlineStr">
        <is>
          <t>20220516</t>
        </is>
      </c>
      <c r="Q124" t="inlineStr">
        <is>
          <t>20251031</t>
        </is>
      </c>
    </row>
    <row r="125">
      <c r="A125" t="inlineStr">
        <is>
          <t>900006597DW83D03510000318</t>
        </is>
      </c>
      <c r="B125" t="inlineStr">
        <is>
          <t>900006597</t>
        </is>
      </c>
      <c r="C125" t="inlineStr">
        <is>
          <t>DW83</t>
        </is>
      </c>
      <c r="D125" t="inlineStr">
        <is>
          <t>D035</t>
        </is>
      </c>
      <c r="E125" t="inlineStr">
        <is>
          <t>4</t>
        </is>
      </c>
      <c r="F125" t="inlineStr">
        <is>
          <t>10000318</t>
        </is>
      </c>
      <c r="H125" t="inlineStr"/>
      <c r="J125" t="n">
        <v>14.81</v>
      </c>
      <c r="K125" t="inlineStr"/>
      <c r="M125" t="inlineStr">
        <is>
          <t>TN</t>
        </is>
      </c>
      <c r="N125" t="inlineStr"/>
      <c r="P125" t="inlineStr">
        <is>
          <t>20210620</t>
        </is>
      </c>
      <c r="Q125" t="inlineStr">
        <is>
          <t>20251031</t>
        </is>
      </c>
    </row>
    <row r="126">
      <c r="A126" t="inlineStr">
        <is>
          <t>900006597DW83D03510000320</t>
        </is>
      </c>
      <c r="B126" t="inlineStr">
        <is>
          <t>900006597</t>
        </is>
      </c>
      <c r="C126" t="inlineStr">
        <is>
          <t>DW83</t>
        </is>
      </c>
      <c r="D126" t="inlineStr">
        <is>
          <t>D035</t>
        </is>
      </c>
      <c r="E126" t="inlineStr">
        <is>
          <t>4</t>
        </is>
      </c>
      <c r="F126" t="inlineStr">
        <is>
          <t>10000320</t>
        </is>
      </c>
      <c r="H126" t="inlineStr"/>
      <c r="J126" t="n">
        <v>13.23</v>
      </c>
      <c r="K126" t="inlineStr"/>
      <c r="M126" t="inlineStr">
        <is>
          <t>TN</t>
        </is>
      </c>
      <c r="N126" t="inlineStr"/>
      <c r="P126" t="inlineStr">
        <is>
          <t>20210620</t>
        </is>
      </c>
      <c r="Q126" t="inlineStr">
        <is>
          <t>20251031</t>
        </is>
      </c>
    </row>
    <row r="127">
      <c r="A127" t="inlineStr">
        <is>
          <t>900006597DW83D03510000386</t>
        </is>
      </c>
      <c r="B127" t="inlineStr">
        <is>
          <t>900006597</t>
        </is>
      </c>
      <c r="C127" t="inlineStr">
        <is>
          <t>DW83</t>
        </is>
      </c>
      <c r="D127" t="inlineStr">
        <is>
          <t>D035</t>
        </is>
      </c>
      <c r="E127" t="inlineStr">
        <is>
          <t>4</t>
        </is>
      </c>
      <c r="F127" t="inlineStr">
        <is>
          <t>10000386</t>
        </is>
      </c>
      <c r="H127" t="inlineStr"/>
      <c r="J127" t="n">
        <v>15.38</v>
      </c>
      <c r="K127" t="inlineStr"/>
      <c r="M127" t="inlineStr">
        <is>
          <t>TN</t>
        </is>
      </c>
      <c r="N127" t="inlineStr"/>
      <c r="P127" t="inlineStr">
        <is>
          <t>20210620</t>
        </is>
      </c>
      <c r="Q127" t="inlineStr">
        <is>
          <t>20251031</t>
        </is>
      </c>
    </row>
    <row r="128">
      <c r="A128" t="inlineStr">
        <is>
          <t>900006597DW83D03510000730</t>
        </is>
      </c>
      <c r="B128" t="inlineStr">
        <is>
          <t>900006597</t>
        </is>
      </c>
      <c r="C128" t="inlineStr">
        <is>
          <t>DW83</t>
        </is>
      </c>
      <c r="D128" t="inlineStr">
        <is>
          <t>D035</t>
        </is>
      </c>
      <c r="E128" t="inlineStr">
        <is>
          <t>4</t>
        </is>
      </c>
      <c r="F128" t="inlineStr">
        <is>
          <t>10000730</t>
        </is>
      </c>
      <c r="H128" t="inlineStr"/>
      <c r="J128" t="n">
        <v>13.36</v>
      </c>
      <c r="K128" t="inlineStr"/>
      <c r="M128" t="inlineStr">
        <is>
          <t>TN</t>
        </is>
      </c>
      <c r="N128" t="inlineStr"/>
      <c r="P128" t="inlineStr">
        <is>
          <t>20210620</t>
        </is>
      </c>
      <c r="Q128" t="inlineStr">
        <is>
          <t>20251031</t>
        </is>
      </c>
    </row>
    <row r="129">
      <c r="A129" t="inlineStr">
        <is>
          <t>900007347DW83D21610000318</t>
        </is>
      </c>
      <c r="B129" t="inlineStr">
        <is>
          <t>900007347</t>
        </is>
      </c>
      <c r="C129" t="inlineStr">
        <is>
          <t>DW83</t>
        </is>
      </c>
      <c r="D129" t="inlineStr">
        <is>
          <t>D216</t>
        </is>
      </c>
      <c r="E129" t="inlineStr">
        <is>
          <t>4</t>
        </is>
      </c>
      <c r="F129" t="inlineStr">
        <is>
          <t>10000318</t>
        </is>
      </c>
      <c r="H129" t="inlineStr"/>
      <c r="J129" t="n">
        <v>32.67</v>
      </c>
      <c r="K129" t="inlineStr"/>
      <c r="M129" t="inlineStr">
        <is>
          <t>TN</t>
        </is>
      </c>
      <c r="N129" t="inlineStr"/>
      <c r="P129" t="inlineStr">
        <is>
          <t>20220516</t>
        </is>
      </c>
      <c r="Q129" t="inlineStr">
        <is>
          <t>20251031</t>
        </is>
      </c>
    </row>
    <row r="130">
      <c r="A130" t="inlineStr">
        <is>
          <t>900007347DW83D21610000320</t>
        </is>
      </c>
      <c r="B130" t="inlineStr">
        <is>
          <t>900007347</t>
        </is>
      </c>
      <c r="C130" t="inlineStr">
        <is>
          <t>DW83</t>
        </is>
      </c>
      <c r="D130" t="inlineStr">
        <is>
          <t>D216</t>
        </is>
      </c>
      <c r="E130" t="inlineStr">
        <is>
          <t>4</t>
        </is>
      </c>
      <c r="F130" t="inlineStr">
        <is>
          <t>10000320</t>
        </is>
      </c>
      <c r="H130" t="inlineStr"/>
      <c r="J130" t="n">
        <v>29.17</v>
      </c>
      <c r="K130" t="inlineStr"/>
      <c r="M130" t="inlineStr">
        <is>
          <t>TN</t>
        </is>
      </c>
      <c r="N130" t="inlineStr"/>
      <c r="P130" t="inlineStr">
        <is>
          <t>20220516</t>
        </is>
      </c>
      <c r="Q130" t="inlineStr">
        <is>
          <t>20251031</t>
        </is>
      </c>
    </row>
    <row r="131">
      <c r="A131" t="inlineStr">
        <is>
          <t>900007347DW83D21610000554</t>
        </is>
      </c>
      <c r="B131" t="inlineStr">
        <is>
          <t>900007347</t>
        </is>
      </c>
      <c r="C131" t="inlineStr">
        <is>
          <t>DW83</t>
        </is>
      </c>
      <c r="D131" t="inlineStr">
        <is>
          <t>D216</t>
        </is>
      </c>
      <c r="E131" t="inlineStr">
        <is>
          <t>4</t>
        </is>
      </c>
      <c r="F131" t="inlineStr">
        <is>
          <t>10000554</t>
        </is>
      </c>
      <c r="H131" t="inlineStr"/>
      <c r="J131" t="n">
        <v>32.2</v>
      </c>
      <c r="K131" t="inlineStr"/>
      <c r="M131" t="inlineStr">
        <is>
          <t>TN</t>
        </is>
      </c>
      <c r="N131" t="inlineStr"/>
      <c r="P131" t="inlineStr">
        <is>
          <t>20220516</t>
        </is>
      </c>
      <c r="Q131" t="inlineStr">
        <is>
          <t>20251031</t>
        </is>
      </c>
    </row>
    <row r="132">
      <c r="A132" t="inlineStr">
        <is>
          <t>900007615DW83D21610000320</t>
        </is>
      </c>
      <c r="B132" t="inlineStr">
        <is>
          <t>900007615</t>
        </is>
      </c>
      <c r="C132" t="inlineStr">
        <is>
          <t>DW83</t>
        </is>
      </c>
      <c r="D132" t="inlineStr">
        <is>
          <t>D216</t>
        </is>
      </c>
      <c r="E132" t="inlineStr">
        <is>
          <t>1</t>
        </is>
      </c>
      <c r="F132" t="inlineStr">
        <is>
          <t>10000320</t>
        </is>
      </c>
      <c r="H132" t="inlineStr"/>
      <c r="J132" t="n">
        <v>255.62</v>
      </c>
      <c r="K132" t="inlineStr"/>
      <c r="M132" t="inlineStr">
        <is>
          <t>TN</t>
        </is>
      </c>
      <c r="N132" t="inlineStr"/>
      <c r="P132" t="inlineStr">
        <is>
          <t>20230714</t>
        </is>
      </c>
      <c r="Q132" t="inlineStr">
        <is>
          <t>20251031</t>
        </is>
      </c>
    </row>
    <row r="133">
      <c r="A133" t="inlineStr">
        <is>
          <t>900007615DW83D21610000379</t>
        </is>
      </c>
      <c r="B133" t="inlineStr">
        <is>
          <t>900007615</t>
        </is>
      </c>
      <c r="C133" t="inlineStr">
        <is>
          <t>DW83</t>
        </is>
      </c>
      <c r="D133" t="inlineStr">
        <is>
          <t>D216</t>
        </is>
      </c>
      <c r="E133" t="inlineStr">
        <is>
          <t>1</t>
        </is>
      </c>
      <c r="F133" t="inlineStr">
        <is>
          <t>10000379</t>
        </is>
      </c>
      <c r="H133" t="inlineStr"/>
      <c r="J133" t="n">
        <v>467.75</v>
      </c>
      <c r="K133" t="inlineStr"/>
      <c r="M133" t="inlineStr">
        <is>
          <t>TN</t>
        </is>
      </c>
      <c r="N133" t="inlineStr"/>
      <c r="P133" t="inlineStr">
        <is>
          <t>20230714</t>
        </is>
      </c>
      <c r="Q133" t="inlineStr">
        <is>
          <t>20251031</t>
        </is>
      </c>
    </row>
    <row r="134">
      <c r="A134" t="inlineStr">
        <is>
          <t>900007615DW83D21610000383</t>
        </is>
      </c>
      <c r="B134" t="inlineStr">
        <is>
          <t>900007615</t>
        </is>
      </c>
      <c r="C134" t="inlineStr">
        <is>
          <t>DW83</t>
        </is>
      </c>
      <c r="D134" t="inlineStr">
        <is>
          <t>D216</t>
        </is>
      </c>
      <c r="E134" t="inlineStr">
        <is>
          <t>1</t>
        </is>
      </c>
      <c r="F134" t="inlineStr">
        <is>
          <t>10000383</t>
        </is>
      </c>
      <c r="H134" t="inlineStr"/>
      <c r="J134" t="n">
        <v>536.8200000000001</v>
      </c>
      <c r="K134" t="inlineStr"/>
      <c r="M134" t="inlineStr">
        <is>
          <t>TN</t>
        </is>
      </c>
      <c r="N134" t="inlineStr"/>
      <c r="P134" t="inlineStr">
        <is>
          <t>20230714</t>
        </is>
      </c>
      <c r="Q134" t="inlineStr">
        <is>
          <t>20251031</t>
        </is>
      </c>
    </row>
    <row r="135">
      <c r="A135" t="inlineStr">
        <is>
          <t>900007615DW83D21610049556</t>
        </is>
      </c>
      <c r="B135" t="inlineStr">
        <is>
          <t>900007615</t>
        </is>
      </c>
      <c r="C135" t="inlineStr">
        <is>
          <t>DW83</t>
        </is>
      </c>
      <c r="D135" t="inlineStr">
        <is>
          <t>D216</t>
        </is>
      </c>
      <c r="E135" t="inlineStr">
        <is>
          <t>1</t>
        </is>
      </c>
      <c r="F135" t="inlineStr">
        <is>
          <t>10049556</t>
        </is>
      </c>
      <c r="H135" t="inlineStr"/>
      <c r="J135" t="n">
        <v>246.14</v>
      </c>
      <c r="K135" t="inlineStr"/>
      <c r="M135" t="inlineStr">
        <is>
          <t>TN</t>
        </is>
      </c>
      <c r="N135" t="inlineStr"/>
      <c r="P135" t="inlineStr">
        <is>
          <t>20230714</t>
        </is>
      </c>
      <c r="Q135" t="inlineStr">
        <is>
          <t>20251031</t>
        </is>
      </c>
    </row>
    <row r="136">
      <c r="A136" t="inlineStr">
        <is>
          <t>900007615DW83D24310000320</t>
        </is>
      </c>
      <c r="B136" t="inlineStr">
        <is>
          <t>900007615</t>
        </is>
      </c>
      <c r="C136" t="inlineStr">
        <is>
          <t>DW83</t>
        </is>
      </c>
      <c r="D136" t="inlineStr">
        <is>
          <t>D243</t>
        </is>
      </c>
      <c r="E136" t="inlineStr">
        <is>
          <t>1</t>
        </is>
      </c>
      <c r="F136" t="inlineStr">
        <is>
          <t>10000320</t>
        </is>
      </c>
      <c r="H136" t="inlineStr"/>
      <c r="J136" t="n">
        <v>213.84</v>
      </c>
      <c r="K136" t="inlineStr"/>
      <c r="M136" t="inlineStr">
        <is>
          <t>TN</t>
        </is>
      </c>
      <c r="N136" t="inlineStr"/>
      <c r="P136" t="inlineStr">
        <is>
          <t>20230301</t>
        </is>
      </c>
      <c r="Q136" t="inlineStr">
        <is>
          <t>20250129</t>
        </is>
      </c>
    </row>
    <row r="137">
      <c r="A137" t="inlineStr">
        <is>
          <t>900007615DW83D24310000379</t>
        </is>
      </c>
      <c r="B137" t="inlineStr">
        <is>
          <t>900007615</t>
        </is>
      </c>
      <c r="C137" t="inlineStr">
        <is>
          <t>DW83</t>
        </is>
      </c>
      <c r="D137" t="inlineStr">
        <is>
          <t>D243</t>
        </is>
      </c>
      <c r="E137" t="inlineStr">
        <is>
          <t>1</t>
        </is>
      </c>
      <c r="F137" t="inlineStr">
        <is>
          <t>10000379</t>
        </is>
      </c>
      <c r="H137" t="inlineStr"/>
      <c r="J137" t="n">
        <v>256.81</v>
      </c>
      <c r="K137" t="inlineStr"/>
      <c r="M137" t="inlineStr">
        <is>
          <t>TN</t>
        </is>
      </c>
      <c r="N137" t="inlineStr"/>
      <c r="P137" t="inlineStr">
        <is>
          <t>20230301</t>
        </is>
      </c>
      <c r="Q137" t="inlineStr">
        <is>
          <t>20250129</t>
        </is>
      </c>
    </row>
    <row r="138">
      <c r="A138" t="inlineStr">
        <is>
          <t>900007615DW83D24310000383</t>
        </is>
      </c>
      <c r="B138" t="inlineStr">
        <is>
          <t>900007615</t>
        </is>
      </c>
      <c r="C138" t="inlineStr">
        <is>
          <t>DW83</t>
        </is>
      </c>
      <c r="D138" t="inlineStr">
        <is>
          <t>D243</t>
        </is>
      </c>
      <c r="E138" t="inlineStr">
        <is>
          <t>1</t>
        </is>
      </c>
      <c r="F138" t="inlineStr">
        <is>
          <t>10000383</t>
        </is>
      </c>
      <c r="H138" t="inlineStr"/>
      <c r="J138" t="n">
        <v>163.96</v>
      </c>
      <c r="K138" t="inlineStr"/>
      <c r="M138" t="inlineStr">
        <is>
          <t>TN</t>
        </is>
      </c>
      <c r="N138" t="inlineStr"/>
      <c r="P138" t="inlineStr">
        <is>
          <t>20230301</t>
        </is>
      </c>
      <c r="Q138" t="inlineStr">
        <is>
          <t>20250129</t>
        </is>
      </c>
    </row>
    <row r="139">
      <c r="A139" t="inlineStr">
        <is>
          <t>900007615DW83D24310049556</t>
        </is>
      </c>
      <c r="B139" t="inlineStr">
        <is>
          <t>900007615</t>
        </is>
      </c>
      <c r="C139" t="inlineStr">
        <is>
          <t>DW83</t>
        </is>
      </c>
      <c r="D139" t="inlineStr">
        <is>
          <t>D243</t>
        </is>
      </c>
      <c r="E139" t="inlineStr">
        <is>
          <t>1</t>
        </is>
      </c>
      <c r="F139" t="inlineStr">
        <is>
          <t>10049556</t>
        </is>
      </c>
      <c r="H139" t="inlineStr"/>
      <c r="J139" t="n">
        <v>368.86</v>
      </c>
      <c r="K139" t="inlineStr"/>
      <c r="M139" t="inlineStr">
        <is>
          <t>TN</t>
        </is>
      </c>
      <c r="N139" t="inlineStr"/>
      <c r="P139" t="inlineStr">
        <is>
          <t>20230301</t>
        </is>
      </c>
      <c r="Q139" t="inlineStr">
        <is>
          <t>20250129</t>
        </is>
      </c>
    </row>
    <row r="140">
      <c r="A140" t="inlineStr">
        <is>
          <t>900007616DW83D21610000379</t>
        </is>
      </c>
      <c r="B140" t="inlineStr">
        <is>
          <t>900007616</t>
        </is>
      </c>
      <c r="C140" t="inlineStr">
        <is>
          <t>DW83</t>
        </is>
      </c>
      <c r="D140" t="inlineStr">
        <is>
          <t>D216</t>
        </is>
      </c>
      <c r="E140" t="inlineStr">
        <is>
          <t>1</t>
        </is>
      </c>
      <c r="F140" t="inlineStr">
        <is>
          <t>10000379</t>
        </is>
      </c>
      <c r="H140" t="inlineStr"/>
      <c r="J140" t="n">
        <v>228.59</v>
      </c>
      <c r="K140" t="inlineStr"/>
      <c r="M140" t="inlineStr">
        <is>
          <t>TN</t>
        </is>
      </c>
      <c r="N140" t="inlineStr"/>
      <c r="P140" t="inlineStr">
        <is>
          <t>20220523</t>
        </is>
      </c>
      <c r="Q140" t="inlineStr">
        <is>
          <t>20251031</t>
        </is>
      </c>
    </row>
    <row r="141">
      <c r="A141" t="inlineStr">
        <is>
          <t>900007616DW83D21610000383</t>
        </is>
      </c>
      <c r="B141" t="inlineStr">
        <is>
          <t>900007616</t>
        </is>
      </c>
      <c r="C141" t="inlineStr">
        <is>
          <t>DW83</t>
        </is>
      </c>
      <c r="D141" t="inlineStr">
        <is>
          <t>D216</t>
        </is>
      </c>
      <c r="E141" t="inlineStr">
        <is>
          <t>1</t>
        </is>
      </c>
      <c r="F141" t="inlineStr">
        <is>
          <t>10000383</t>
        </is>
      </c>
      <c r="H141" t="inlineStr"/>
      <c r="J141" t="n">
        <v>240.53</v>
      </c>
      <c r="K141" t="inlineStr"/>
      <c r="M141" t="inlineStr">
        <is>
          <t>TN</t>
        </is>
      </c>
      <c r="N141" t="inlineStr"/>
      <c r="P141" t="inlineStr">
        <is>
          <t>20220523</t>
        </is>
      </c>
      <c r="Q141" t="inlineStr">
        <is>
          <t>20251031</t>
        </is>
      </c>
    </row>
    <row r="142">
      <c r="A142" t="inlineStr">
        <is>
          <t>900007616DW83D21610049556</t>
        </is>
      </c>
      <c r="B142" t="inlineStr">
        <is>
          <t>900007616</t>
        </is>
      </c>
      <c r="C142" t="inlineStr">
        <is>
          <t>DW83</t>
        </is>
      </c>
      <c r="D142" t="inlineStr">
        <is>
          <t>D216</t>
        </is>
      </c>
      <c r="E142" t="inlineStr">
        <is>
          <t>1</t>
        </is>
      </c>
      <c r="F142" t="inlineStr">
        <is>
          <t>10049556</t>
        </is>
      </c>
      <c r="H142" t="inlineStr"/>
      <c r="J142" t="n">
        <v>246.14</v>
      </c>
      <c r="K142" t="inlineStr"/>
      <c r="M142" t="inlineStr">
        <is>
          <t>TN</t>
        </is>
      </c>
      <c r="N142" t="inlineStr"/>
      <c r="P142" t="inlineStr">
        <is>
          <t>20220523</t>
        </is>
      </c>
      <c r="Q142" t="inlineStr">
        <is>
          <t>20251031</t>
        </is>
      </c>
    </row>
    <row r="143">
      <c r="A143" t="inlineStr">
        <is>
          <t>900007616DW83D24310000379</t>
        </is>
      </c>
      <c r="B143" t="inlineStr">
        <is>
          <t>900007616</t>
        </is>
      </c>
      <c r="C143" t="inlineStr">
        <is>
          <t>DW83</t>
        </is>
      </c>
      <c r="D143" t="inlineStr">
        <is>
          <t>D243</t>
        </is>
      </c>
      <c r="E143" t="inlineStr">
        <is>
          <t>1</t>
        </is>
      </c>
      <c r="F143" t="inlineStr">
        <is>
          <t>10000379</t>
        </is>
      </c>
      <c r="H143" t="inlineStr"/>
      <c r="J143" t="n">
        <v>155.82</v>
      </c>
      <c r="K143" t="inlineStr"/>
      <c r="M143" t="inlineStr">
        <is>
          <t>TN</t>
        </is>
      </c>
      <c r="N143" t="inlineStr"/>
      <c r="P143" t="inlineStr">
        <is>
          <t>20230301</t>
        </is>
      </c>
      <c r="Q143" t="inlineStr">
        <is>
          <t>20250129</t>
        </is>
      </c>
    </row>
    <row r="144">
      <c r="A144" t="inlineStr">
        <is>
          <t>900007616DW83D24310000383</t>
        </is>
      </c>
      <c r="B144" t="inlineStr">
        <is>
          <t>900007616</t>
        </is>
      </c>
      <c r="C144" t="inlineStr">
        <is>
          <t>DW83</t>
        </is>
      </c>
      <c r="D144" t="inlineStr">
        <is>
          <t>D243</t>
        </is>
      </c>
      <c r="E144" t="inlineStr">
        <is>
          <t>1</t>
        </is>
      </c>
      <c r="F144" t="inlineStr">
        <is>
          <t>10000383</t>
        </is>
      </c>
      <c r="H144" t="inlineStr"/>
      <c r="J144" t="n">
        <v>163.96</v>
      </c>
      <c r="K144" t="inlineStr"/>
      <c r="M144" t="inlineStr">
        <is>
          <t>TN</t>
        </is>
      </c>
      <c r="N144" t="inlineStr"/>
      <c r="P144" t="inlineStr">
        <is>
          <t>20230301</t>
        </is>
      </c>
      <c r="Q144" t="inlineStr">
        <is>
          <t>20250129</t>
        </is>
      </c>
    </row>
    <row r="145">
      <c r="A145" t="inlineStr">
        <is>
          <t>900007616DW83D24310049556</t>
        </is>
      </c>
      <c r="B145" t="inlineStr">
        <is>
          <t>900007616</t>
        </is>
      </c>
      <c r="C145" t="inlineStr">
        <is>
          <t>DW83</t>
        </is>
      </c>
      <c r="D145" t="inlineStr">
        <is>
          <t>D243</t>
        </is>
      </c>
      <c r="E145" t="inlineStr">
        <is>
          <t>1</t>
        </is>
      </c>
      <c r="F145" t="inlineStr">
        <is>
          <t>10049556</t>
        </is>
      </c>
      <c r="H145" t="inlineStr"/>
      <c r="J145" t="n">
        <v>167.79</v>
      </c>
      <c r="K145" t="inlineStr"/>
      <c r="M145" t="inlineStr">
        <is>
          <t>TN</t>
        </is>
      </c>
      <c r="N145" t="inlineStr"/>
      <c r="P145" t="inlineStr">
        <is>
          <t>20230301</t>
        </is>
      </c>
      <c r="Q145" t="inlineStr">
        <is>
          <t>20250129</t>
        </is>
      </c>
    </row>
    <row r="146">
      <c r="A146" t="inlineStr">
        <is>
          <t>900007631DW83D21610000237</t>
        </is>
      </c>
      <c r="B146" t="inlineStr">
        <is>
          <t>900007631</t>
        </is>
      </c>
      <c r="C146" t="inlineStr">
        <is>
          <t>DW83</t>
        </is>
      </c>
      <c r="D146" t="inlineStr">
        <is>
          <t>D216</t>
        </is>
      </c>
      <c r="E146" t="inlineStr">
        <is>
          <t>4</t>
        </is>
      </c>
      <c r="F146" t="inlineStr">
        <is>
          <t>10000237</t>
        </is>
      </c>
      <c r="H146" t="inlineStr"/>
      <c r="J146" t="n">
        <v>56.02</v>
      </c>
      <c r="K146" t="inlineStr"/>
      <c r="M146" t="inlineStr">
        <is>
          <t>TN</t>
        </is>
      </c>
      <c r="N146" t="inlineStr"/>
      <c r="P146" t="inlineStr">
        <is>
          <t>20220526</t>
        </is>
      </c>
      <c r="Q146" t="inlineStr">
        <is>
          <t>20251031</t>
        </is>
      </c>
    </row>
    <row r="147">
      <c r="A147" t="inlineStr">
        <is>
          <t>900007631DW83D21610000318</t>
        </is>
      </c>
      <c r="B147" t="inlineStr">
        <is>
          <t>900007631</t>
        </is>
      </c>
      <c r="C147" t="inlineStr">
        <is>
          <t>DW83</t>
        </is>
      </c>
      <c r="D147" t="inlineStr">
        <is>
          <t>D216</t>
        </is>
      </c>
      <c r="E147" t="inlineStr">
        <is>
          <t>4</t>
        </is>
      </c>
      <c r="F147" t="inlineStr">
        <is>
          <t>10000318</t>
        </is>
      </c>
      <c r="H147" t="inlineStr"/>
      <c r="J147" t="n">
        <v>64.81</v>
      </c>
      <c r="K147" t="inlineStr"/>
      <c r="M147" t="inlineStr">
        <is>
          <t>TN</t>
        </is>
      </c>
      <c r="N147" t="inlineStr"/>
      <c r="P147" t="inlineStr">
        <is>
          <t>20220526</t>
        </is>
      </c>
      <c r="Q147" t="inlineStr">
        <is>
          <t>20251031</t>
        </is>
      </c>
    </row>
    <row r="148">
      <c r="A148" t="inlineStr">
        <is>
          <t>900007631DW83D21610000320</t>
        </is>
      </c>
      <c r="B148" t="inlineStr">
        <is>
          <t>900007631</t>
        </is>
      </c>
      <c r="C148" t="inlineStr">
        <is>
          <t>DW83</t>
        </is>
      </c>
      <c r="D148" t="inlineStr">
        <is>
          <t>D216</t>
        </is>
      </c>
      <c r="E148" t="inlineStr">
        <is>
          <t>4</t>
        </is>
      </c>
      <c r="F148" t="inlineStr">
        <is>
          <t>10000320</t>
        </is>
      </c>
      <c r="H148" t="inlineStr"/>
      <c r="J148" t="n">
        <v>57.87</v>
      </c>
      <c r="K148" t="inlineStr"/>
      <c r="M148" t="inlineStr">
        <is>
          <t>TN</t>
        </is>
      </c>
      <c r="N148" t="inlineStr"/>
      <c r="P148" t="inlineStr">
        <is>
          <t>20220526</t>
        </is>
      </c>
      <c r="Q148" t="inlineStr">
        <is>
          <t>20251031</t>
        </is>
      </c>
    </row>
    <row r="149">
      <c r="A149" t="inlineStr">
        <is>
          <t>900007631DW83D21610000554</t>
        </is>
      </c>
      <c r="B149" t="inlineStr">
        <is>
          <t>900007631</t>
        </is>
      </c>
      <c r="C149" t="inlineStr">
        <is>
          <t>DW83</t>
        </is>
      </c>
      <c r="D149" t="inlineStr">
        <is>
          <t>D216</t>
        </is>
      </c>
      <c r="E149" t="inlineStr">
        <is>
          <t>4</t>
        </is>
      </c>
      <c r="F149" t="inlineStr">
        <is>
          <t>10000554</t>
        </is>
      </c>
      <c r="H149" t="inlineStr"/>
      <c r="J149" t="n">
        <v>63.87</v>
      </c>
      <c r="K149" t="inlineStr"/>
      <c r="M149" t="inlineStr">
        <is>
          <t>TN</t>
        </is>
      </c>
      <c r="N149" t="inlineStr"/>
      <c r="P149" t="inlineStr">
        <is>
          <t>20220526</t>
        </is>
      </c>
      <c r="Q149" t="inlineStr">
        <is>
          <t>20251031</t>
        </is>
      </c>
    </row>
    <row r="150">
      <c r="A150" t="inlineStr">
        <is>
          <t>900007661DW83D21610000379</t>
        </is>
      </c>
      <c r="B150" t="inlineStr">
        <is>
          <t>900007661</t>
        </is>
      </c>
      <c r="C150" t="inlineStr">
        <is>
          <t>DW83</t>
        </is>
      </c>
      <c r="D150" t="inlineStr">
        <is>
          <t>D216</t>
        </is>
      </c>
      <c r="E150" t="inlineStr">
        <is>
          <t>4</t>
        </is>
      </c>
      <c r="F150" t="inlineStr">
        <is>
          <t>10000379</t>
        </is>
      </c>
      <c r="H150" t="inlineStr"/>
      <c r="J150" t="n">
        <v>51.05</v>
      </c>
      <c r="K150" t="inlineStr"/>
      <c r="M150" t="inlineStr">
        <is>
          <t>TN</t>
        </is>
      </c>
      <c r="N150" t="inlineStr"/>
      <c r="P150" t="inlineStr">
        <is>
          <t>20230602</t>
        </is>
      </c>
      <c r="Q150" t="inlineStr">
        <is>
          <t>20251031</t>
        </is>
      </c>
    </row>
    <row r="151">
      <c r="A151" t="inlineStr">
        <is>
          <t>900007661DW83D21610000383</t>
        </is>
      </c>
      <c r="B151" t="inlineStr">
        <is>
          <t>900007661</t>
        </is>
      </c>
      <c r="C151" t="inlineStr">
        <is>
          <t>DW83</t>
        </is>
      </c>
      <c r="D151" t="inlineStr">
        <is>
          <t>D216</t>
        </is>
      </c>
      <c r="E151" t="inlineStr">
        <is>
          <t>4</t>
        </is>
      </c>
      <c r="F151" t="inlineStr">
        <is>
          <t>10000383</t>
        </is>
      </c>
      <c r="H151" t="inlineStr"/>
      <c r="J151" t="n">
        <v>53.72</v>
      </c>
      <c r="K151" t="inlineStr"/>
      <c r="M151" t="inlineStr">
        <is>
          <t>TN</t>
        </is>
      </c>
      <c r="N151" t="inlineStr"/>
      <c r="P151" t="inlineStr">
        <is>
          <t>20230602</t>
        </is>
      </c>
      <c r="Q151" t="inlineStr">
        <is>
          <t>20251031</t>
        </is>
      </c>
    </row>
    <row r="152">
      <c r="A152" t="inlineStr">
        <is>
          <t>900007661DW83D21610000726</t>
        </is>
      </c>
      <c r="B152" t="inlineStr">
        <is>
          <t>900007661</t>
        </is>
      </c>
      <c r="C152" t="inlineStr">
        <is>
          <t>DW83</t>
        </is>
      </c>
      <c r="D152" t="inlineStr">
        <is>
          <t>D216</t>
        </is>
      </c>
      <c r="E152" t="inlineStr">
        <is>
          <t>4</t>
        </is>
      </c>
      <c r="F152" t="inlineStr">
        <is>
          <t>10000726</t>
        </is>
      </c>
      <c r="H152" t="inlineStr"/>
      <c r="J152" t="n">
        <v>65.64</v>
      </c>
      <c r="K152" t="inlineStr"/>
      <c r="M152" t="inlineStr">
        <is>
          <t>TN</t>
        </is>
      </c>
      <c r="N152" t="inlineStr"/>
      <c r="P152" t="inlineStr">
        <is>
          <t>20230602</t>
        </is>
      </c>
      <c r="Q152" t="inlineStr">
        <is>
          <t>20251031</t>
        </is>
      </c>
    </row>
    <row r="153">
      <c r="A153" t="inlineStr">
        <is>
          <t>900007661DW83D21610000857</t>
        </is>
      </c>
      <c r="B153" t="inlineStr">
        <is>
          <t>900007661</t>
        </is>
      </c>
      <c r="C153" t="inlineStr">
        <is>
          <t>DW83</t>
        </is>
      </c>
      <c r="D153" t="inlineStr">
        <is>
          <t>D216</t>
        </is>
      </c>
      <c r="E153" t="inlineStr">
        <is>
          <t>4</t>
        </is>
      </c>
      <c r="F153" t="inlineStr">
        <is>
          <t>10000857</t>
        </is>
      </c>
      <c r="H153" t="inlineStr"/>
      <c r="J153" t="n">
        <v>48.34</v>
      </c>
      <c r="K153" t="inlineStr"/>
      <c r="M153" t="inlineStr">
        <is>
          <t>TN</t>
        </is>
      </c>
      <c r="N153" t="inlineStr"/>
      <c r="P153" t="inlineStr">
        <is>
          <t>20230602</t>
        </is>
      </c>
      <c r="Q153" t="inlineStr">
        <is>
          <t>20251031</t>
        </is>
      </c>
    </row>
    <row r="154">
      <c r="A154" t="inlineStr">
        <is>
          <t>900007661DW83D21610049556</t>
        </is>
      </c>
      <c r="B154" t="inlineStr">
        <is>
          <t>900007661</t>
        </is>
      </c>
      <c r="C154" t="inlineStr">
        <is>
          <t>DW83</t>
        </is>
      </c>
      <c r="D154" t="inlineStr">
        <is>
          <t>D216</t>
        </is>
      </c>
      <c r="E154" t="inlineStr">
        <is>
          <t>4</t>
        </is>
      </c>
      <c r="F154" t="inlineStr">
        <is>
          <t>10049556</t>
        </is>
      </c>
      <c r="H154" t="inlineStr"/>
      <c r="J154" t="n">
        <v>54.97</v>
      </c>
      <c r="K154" t="inlineStr"/>
      <c r="M154" t="inlineStr">
        <is>
          <t>TN</t>
        </is>
      </c>
      <c r="N154" t="inlineStr"/>
      <c r="P154" t="inlineStr">
        <is>
          <t>20230602</t>
        </is>
      </c>
      <c r="Q154" t="inlineStr">
        <is>
          <t>20251031</t>
        </is>
      </c>
    </row>
    <row r="155">
      <c r="A155" t="inlineStr">
        <is>
          <t>900007706DW83D21610000237</t>
        </is>
      </c>
      <c r="B155" t="inlineStr">
        <is>
          <t>900007706</t>
        </is>
      </c>
      <c r="C155" t="inlineStr">
        <is>
          <t>DW83</t>
        </is>
      </c>
      <c r="D155" t="inlineStr">
        <is>
          <t>D216</t>
        </is>
      </c>
      <c r="E155" t="inlineStr">
        <is>
          <t>1</t>
        </is>
      </c>
      <c r="F155" t="inlineStr">
        <is>
          <t>10000237</t>
        </is>
      </c>
      <c r="H155" t="inlineStr"/>
      <c r="J155" t="n">
        <v>30.85</v>
      </c>
      <c r="K155" t="inlineStr"/>
      <c r="M155" t="inlineStr">
        <is>
          <t>TN</t>
        </is>
      </c>
      <c r="N155" t="inlineStr"/>
      <c r="P155" t="inlineStr">
        <is>
          <t>20220701</t>
        </is>
      </c>
      <c r="Q155" t="inlineStr">
        <is>
          <t>20251031</t>
        </is>
      </c>
    </row>
    <row r="156">
      <c r="A156" t="inlineStr">
        <is>
          <t>900007706DW83D21610000318</t>
        </is>
      </c>
      <c r="B156" t="inlineStr">
        <is>
          <t>900007706</t>
        </is>
      </c>
      <c r="C156" t="inlineStr">
        <is>
          <t>DW83</t>
        </is>
      </c>
      <c r="D156" t="inlineStr">
        <is>
          <t>D216</t>
        </is>
      </c>
      <c r="E156" t="inlineStr">
        <is>
          <t>1</t>
        </is>
      </c>
      <c r="F156" t="inlineStr">
        <is>
          <t>10000318</t>
        </is>
      </c>
      <c r="H156" t="inlineStr"/>
      <c r="J156" t="n">
        <v>45.03</v>
      </c>
      <c r="K156" t="inlineStr"/>
      <c r="M156" t="inlineStr">
        <is>
          <t>TN</t>
        </is>
      </c>
      <c r="N156" t="inlineStr"/>
      <c r="P156" t="inlineStr">
        <is>
          <t>20220701</t>
        </is>
      </c>
      <c r="Q156" t="inlineStr">
        <is>
          <t>20251031</t>
        </is>
      </c>
    </row>
    <row r="157">
      <c r="A157" t="inlineStr">
        <is>
          <t>900007706DW83D21610000320</t>
        </is>
      </c>
      <c r="B157" t="inlineStr">
        <is>
          <t>900007706</t>
        </is>
      </c>
      <c r="C157" t="inlineStr">
        <is>
          <t>DW83</t>
        </is>
      </c>
      <c r="D157" t="inlineStr">
        <is>
          <t>D216</t>
        </is>
      </c>
      <c r="E157" t="inlineStr">
        <is>
          <t>1</t>
        </is>
      </c>
      <c r="F157" t="inlineStr">
        <is>
          <t>10000320</t>
        </is>
      </c>
      <c r="H157" t="inlineStr"/>
      <c r="J157" t="n">
        <v>40.17</v>
      </c>
      <c r="K157" t="inlineStr"/>
      <c r="M157" t="inlineStr">
        <is>
          <t>TN</t>
        </is>
      </c>
      <c r="N157" t="inlineStr"/>
      <c r="P157" t="inlineStr">
        <is>
          <t>20220701</t>
        </is>
      </c>
      <c r="Q157" t="inlineStr">
        <is>
          <t>20251031</t>
        </is>
      </c>
    </row>
    <row r="158">
      <c r="A158" t="inlineStr">
        <is>
          <t>900007706DW83D21610000332</t>
        </is>
      </c>
      <c r="B158" t="inlineStr">
        <is>
          <t>900007706</t>
        </is>
      </c>
      <c r="C158" t="inlineStr">
        <is>
          <t>DW83</t>
        </is>
      </c>
      <c r="D158" t="inlineStr">
        <is>
          <t>D216</t>
        </is>
      </c>
      <c r="E158" t="inlineStr">
        <is>
          <t>1</t>
        </is>
      </c>
      <c r="F158" t="inlineStr">
        <is>
          <t>10000332</t>
        </is>
      </c>
      <c r="H158" t="inlineStr"/>
      <c r="J158" t="n">
        <v>60.24</v>
      </c>
      <c r="K158" t="inlineStr"/>
      <c r="M158" t="inlineStr">
        <is>
          <t>TN</t>
        </is>
      </c>
      <c r="N158" t="inlineStr"/>
      <c r="P158" t="inlineStr">
        <is>
          <t>20220701</t>
        </is>
      </c>
      <c r="Q158" t="inlineStr">
        <is>
          <t>20251031</t>
        </is>
      </c>
    </row>
    <row r="159">
      <c r="A159" t="inlineStr">
        <is>
          <t>900007706DW83D21610000554</t>
        </is>
      </c>
      <c r="B159" t="inlineStr">
        <is>
          <t>900007706</t>
        </is>
      </c>
      <c r="C159" t="inlineStr">
        <is>
          <t>DW83</t>
        </is>
      </c>
      <c r="D159" t="inlineStr">
        <is>
          <t>D216</t>
        </is>
      </c>
      <c r="E159" t="inlineStr">
        <is>
          <t>1</t>
        </is>
      </c>
      <c r="F159" t="inlineStr">
        <is>
          <t>10000554</t>
        </is>
      </c>
      <c r="H159" t="inlineStr"/>
      <c r="J159" t="n">
        <v>44.36</v>
      </c>
      <c r="K159" t="inlineStr"/>
      <c r="M159" t="inlineStr">
        <is>
          <t>TN</t>
        </is>
      </c>
      <c r="N159" t="inlineStr"/>
      <c r="P159" t="inlineStr">
        <is>
          <t>20220701</t>
        </is>
      </c>
      <c r="Q159" t="inlineStr">
        <is>
          <t>20251031</t>
        </is>
      </c>
    </row>
    <row r="160">
      <c r="A160" t="inlineStr">
        <is>
          <t>900007706DW83D21610045015</t>
        </is>
      </c>
      <c r="B160" t="inlineStr">
        <is>
          <t>900007706</t>
        </is>
      </c>
      <c r="C160" t="inlineStr">
        <is>
          <t>DW83</t>
        </is>
      </c>
      <c r="D160" t="inlineStr">
        <is>
          <t>D216</t>
        </is>
      </c>
      <c r="E160" t="inlineStr">
        <is>
          <t>1</t>
        </is>
      </c>
      <c r="F160" t="inlineStr">
        <is>
          <t>10045015</t>
        </is>
      </c>
      <c r="H160" t="inlineStr"/>
      <c r="J160" t="n">
        <v>33.7</v>
      </c>
      <c r="K160" t="inlineStr"/>
      <c r="M160" t="inlineStr">
        <is>
          <t>TN</t>
        </is>
      </c>
      <c r="N160" t="inlineStr"/>
      <c r="P160" t="inlineStr">
        <is>
          <t>20220701</t>
        </is>
      </c>
      <c r="Q160" t="inlineStr">
        <is>
          <t>20251031</t>
        </is>
      </c>
    </row>
    <row r="161">
      <c r="A161" t="inlineStr">
        <is>
          <t>900007706DW83D24310000237</t>
        </is>
      </c>
      <c r="B161" t="inlineStr">
        <is>
          <t>900007706</t>
        </is>
      </c>
      <c r="C161" t="inlineStr">
        <is>
          <t>DW83</t>
        </is>
      </c>
      <c r="D161" t="inlineStr">
        <is>
          <t>D243</t>
        </is>
      </c>
      <c r="E161" t="inlineStr">
        <is>
          <t>1</t>
        </is>
      </c>
      <c r="F161" t="inlineStr">
        <is>
          <t>10000237</t>
        </is>
      </c>
      <c r="H161" t="inlineStr"/>
      <c r="J161" t="n">
        <v>154.96</v>
      </c>
      <c r="K161" t="inlineStr"/>
      <c r="M161" t="inlineStr">
        <is>
          <t>TN</t>
        </is>
      </c>
      <c r="N161" t="inlineStr"/>
      <c r="P161" t="inlineStr">
        <is>
          <t>20230301</t>
        </is>
      </c>
      <c r="Q161" t="inlineStr">
        <is>
          <t>20250129</t>
        </is>
      </c>
    </row>
    <row r="162">
      <c r="A162" t="inlineStr">
        <is>
          <t>900007706DW83D24310000318</t>
        </is>
      </c>
      <c r="B162" t="inlineStr">
        <is>
          <t>900007706</t>
        </is>
      </c>
      <c r="C162" t="inlineStr">
        <is>
          <t>DW83</t>
        </is>
      </c>
      <c r="D162" t="inlineStr">
        <is>
          <t>D243</t>
        </is>
      </c>
      <c r="E162" t="inlineStr">
        <is>
          <t>1</t>
        </is>
      </c>
      <c r="F162" t="inlineStr">
        <is>
          <t>10000318</t>
        </is>
      </c>
      <c r="H162" t="inlineStr"/>
      <c r="J162" t="n">
        <v>179.3</v>
      </c>
      <c r="K162" t="inlineStr"/>
      <c r="M162" t="inlineStr">
        <is>
          <t>TN</t>
        </is>
      </c>
      <c r="N162" t="inlineStr"/>
      <c r="P162" t="inlineStr">
        <is>
          <t>20230301</t>
        </is>
      </c>
      <c r="Q162" t="inlineStr">
        <is>
          <t>20250129</t>
        </is>
      </c>
    </row>
    <row r="163">
      <c r="A163" t="inlineStr">
        <is>
          <t>900007706DW83D24310000320</t>
        </is>
      </c>
      <c r="B163" t="inlineStr">
        <is>
          <t>900007706</t>
        </is>
      </c>
      <c r="C163" t="inlineStr">
        <is>
          <t>DW83</t>
        </is>
      </c>
      <c r="D163" t="inlineStr">
        <is>
          <t>D243</t>
        </is>
      </c>
      <c r="E163" t="inlineStr">
        <is>
          <t>1</t>
        </is>
      </c>
      <c r="F163" t="inlineStr">
        <is>
          <t>10000320</t>
        </is>
      </c>
      <c r="H163" t="inlineStr"/>
      <c r="J163" t="n">
        <v>160.09</v>
      </c>
      <c r="K163" t="inlineStr"/>
      <c r="M163" t="inlineStr">
        <is>
          <t>TN</t>
        </is>
      </c>
      <c r="N163" t="inlineStr"/>
      <c r="P163" t="inlineStr">
        <is>
          <t>20230301</t>
        </is>
      </c>
      <c r="Q163" t="inlineStr">
        <is>
          <t>20250129</t>
        </is>
      </c>
    </row>
    <row r="164">
      <c r="A164" t="inlineStr">
        <is>
          <t>900007706DW83D24310000332</t>
        </is>
      </c>
      <c r="B164" t="inlineStr">
        <is>
          <t>900007706</t>
        </is>
      </c>
      <c r="C164" t="inlineStr">
        <is>
          <t>DW83</t>
        </is>
      </c>
      <c r="D164" t="inlineStr">
        <is>
          <t>D243</t>
        </is>
      </c>
      <c r="E164" t="inlineStr">
        <is>
          <t>1</t>
        </is>
      </c>
      <c r="F164" t="inlineStr">
        <is>
          <t>10000332</t>
        </is>
      </c>
      <c r="H164" t="inlineStr"/>
      <c r="J164" t="n">
        <v>302.56</v>
      </c>
      <c r="K164" t="inlineStr"/>
      <c r="M164" t="inlineStr">
        <is>
          <t>TN</t>
        </is>
      </c>
      <c r="N164" t="inlineStr"/>
      <c r="P164" t="inlineStr">
        <is>
          <t>20230301</t>
        </is>
      </c>
      <c r="Q164" t="inlineStr">
        <is>
          <t>20250129</t>
        </is>
      </c>
    </row>
    <row r="165">
      <c r="A165" t="inlineStr">
        <is>
          <t>900007706DW83D24310000554</t>
        </is>
      </c>
      <c r="B165" t="inlineStr">
        <is>
          <t>900007706</t>
        </is>
      </c>
      <c r="C165" t="inlineStr">
        <is>
          <t>DW83</t>
        </is>
      </c>
      <c r="D165" t="inlineStr">
        <is>
          <t>D243</t>
        </is>
      </c>
      <c r="E165" t="inlineStr">
        <is>
          <t>1</t>
        </is>
      </c>
      <c r="F165" t="inlineStr">
        <is>
          <t>10000554</t>
        </is>
      </c>
      <c r="H165" t="inlineStr"/>
      <c r="J165" t="n">
        <v>176.68</v>
      </c>
      <c r="K165" t="inlineStr"/>
      <c r="M165" t="inlineStr">
        <is>
          <t>TN</t>
        </is>
      </c>
      <c r="N165" t="inlineStr"/>
      <c r="P165" t="inlineStr">
        <is>
          <t>20230301</t>
        </is>
      </c>
      <c r="Q165" t="inlineStr">
        <is>
          <t>20250129</t>
        </is>
      </c>
    </row>
    <row r="166">
      <c r="A166" t="inlineStr">
        <is>
          <t>900007706DW83D24310045015</t>
        </is>
      </c>
      <c r="B166" t="inlineStr">
        <is>
          <t>900007706</t>
        </is>
      </c>
      <c r="C166" t="inlineStr">
        <is>
          <t>DW83</t>
        </is>
      </c>
      <c r="D166" t="inlineStr">
        <is>
          <t>D243</t>
        </is>
      </c>
      <c r="E166" t="inlineStr">
        <is>
          <t>1</t>
        </is>
      </c>
      <c r="F166" t="inlineStr">
        <is>
          <t>10045015</t>
        </is>
      </c>
      <c r="H166" t="inlineStr"/>
      <c r="J166" t="n">
        <v>169.27</v>
      </c>
      <c r="K166" t="inlineStr"/>
      <c r="M166" t="inlineStr">
        <is>
          <t>TN</t>
        </is>
      </c>
      <c r="N166" t="inlineStr"/>
      <c r="P166" t="inlineStr">
        <is>
          <t>20230301</t>
        </is>
      </c>
      <c r="Q166" t="inlineStr">
        <is>
          <t>20250129</t>
        </is>
      </c>
    </row>
    <row r="167">
      <c r="A167" t="inlineStr">
        <is>
          <t>900007868DW83D21610000191</t>
        </is>
      </c>
      <c r="B167" t="inlineStr">
        <is>
          <t>900007868</t>
        </is>
      </c>
      <c r="C167" t="inlineStr">
        <is>
          <t>DW83</t>
        </is>
      </c>
      <c r="D167" t="inlineStr">
        <is>
          <t>D216</t>
        </is>
      </c>
      <c r="E167" t="inlineStr">
        <is>
          <t>1</t>
        </is>
      </c>
      <c r="F167" t="inlineStr">
        <is>
          <t>10000191</t>
        </is>
      </c>
      <c r="H167" t="inlineStr"/>
      <c r="J167" t="n">
        <v>243.4</v>
      </c>
      <c r="K167" t="inlineStr"/>
      <c r="M167" t="inlineStr">
        <is>
          <t>TN</t>
        </is>
      </c>
      <c r="N167" t="inlineStr"/>
      <c r="P167" t="inlineStr">
        <is>
          <t>20240201</t>
        </is>
      </c>
      <c r="Q167" t="inlineStr">
        <is>
          <t>99991231</t>
        </is>
      </c>
    </row>
    <row r="168">
      <c r="A168" t="inlineStr">
        <is>
          <t>900007868DW83D21610000388</t>
        </is>
      </c>
      <c r="B168" t="inlineStr">
        <is>
          <t>900007868</t>
        </is>
      </c>
      <c r="C168" t="inlineStr">
        <is>
          <t>DW83</t>
        </is>
      </c>
      <c r="D168" t="inlineStr">
        <is>
          <t>D216</t>
        </is>
      </c>
      <c r="E168" t="inlineStr">
        <is>
          <t>1</t>
        </is>
      </c>
      <c r="F168" t="inlineStr">
        <is>
          <t>10000388</t>
        </is>
      </c>
      <c r="H168" t="inlineStr"/>
      <c r="J168" t="n">
        <v>246.02</v>
      </c>
      <c r="K168" t="inlineStr"/>
      <c r="M168" t="inlineStr">
        <is>
          <t>TN</t>
        </is>
      </c>
      <c r="N168" t="inlineStr"/>
      <c r="P168" t="inlineStr">
        <is>
          <t>20240201</t>
        </is>
      </c>
      <c r="Q168" t="inlineStr">
        <is>
          <t>99991231</t>
        </is>
      </c>
    </row>
    <row r="169">
      <c r="A169" t="inlineStr">
        <is>
          <t>900007907DW83D21610000437</t>
        </is>
      </c>
      <c r="B169" t="inlineStr">
        <is>
          <t>900007907</t>
        </is>
      </c>
      <c r="C169" t="inlineStr">
        <is>
          <t>DW83</t>
        </is>
      </c>
      <c r="D169" t="inlineStr">
        <is>
          <t>D216</t>
        </is>
      </c>
      <c r="E169" t="inlineStr">
        <is>
          <t>4</t>
        </is>
      </c>
      <c r="F169" t="inlineStr">
        <is>
          <t>10000437</t>
        </is>
      </c>
      <c r="H169" t="inlineStr"/>
      <c r="J169" t="n">
        <v>109.63</v>
      </c>
      <c r="K169" t="inlineStr"/>
      <c r="M169" t="inlineStr">
        <is>
          <t>TN</t>
        </is>
      </c>
      <c r="N169" t="inlineStr"/>
      <c r="P169" t="inlineStr">
        <is>
          <t>20250301</t>
        </is>
      </c>
      <c r="Q169" t="inlineStr">
        <is>
          <t>20250701</t>
        </is>
      </c>
    </row>
    <row r="170">
      <c r="A170" t="inlineStr">
        <is>
          <t>900007907DW83D21610000829</t>
        </is>
      </c>
      <c r="B170" t="inlineStr">
        <is>
          <t>900007907</t>
        </is>
      </c>
      <c r="C170" t="inlineStr">
        <is>
          <t>DW83</t>
        </is>
      </c>
      <c r="D170" t="inlineStr">
        <is>
          <t>D216</t>
        </is>
      </c>
      <c r="E170" t="inlineStr">
        <is>
          <t>4</t>
        </is>
      </c>
      <c r="F170" t="inlineStr">
        <is>
          <t>10000829</t>
        </is>
      </c>
      <c r="H170" t="inlineStr"/>
      <c r="J170" t="n">
        <v>104.89</v>
      </c>
      <c r="K170" t="inlineStr"/>
      <c r="M170" t="inlineStr">
        <is>
          <t>TN</t>
        </is>
      </c>
      <c r="N170" t="inlineStr"/>
      <c r="P170" t="inlineStr">
        <is>
          <t>20240705</t>
        </is>
      </c>
      <c r="Q170" t="inlineStr">
        <is>
          <t>20240705</t>
        </is>
      </c>
    </row>
    <row r="171">
      <c r="A171" t="inlineStr">
        <is>
          <t>900007907DW83D21610258539</t>
        </is>
      </c>
      <c r="B171" t="inlineStr">
        <is>
          <t>900007907</t>
        </is>
      </c>
      <c r="C171" t="inlineStr">
        <is>
          <t>DW83</t>
        </is>
      </c>
      <c r="D171" t="inlineStr">
        <is>
          <t>D216</t>
        </is>
      </c>
      <c r="E171" t="inlineStr">
        <is>
          <t>4</t>
        </is>
      </c>
      <c r="F171" t="inlineStr">
        <is>
          <t>10258539</t>
        </is>
      </c>
      <c r="H171" t="inlineStr"/>
      <c r="J171" t="n">
        <v>103.71</v>
      </c>
      <c r="K171" t="inlineStr"/>
      <c r="M171" t="inlineStr">
        <is>
          <t>TN</t>
        </is>
      </c>
      <c r="N171" t="inlineStr"/>
      <c r="P171" t="inlineStr">
        <is>
          <t>20250301</t>
        </is>
      </c>
      <c r="Q171" t="inlineStr">
        <is>
          <t>20250701</t>
        </is>
      </c>
    </row>
    <row r="172">
      <c r="A172" t="inlineStr">
        <is>
          <t>900008104DW83D21610000191</t>
        </is>
      </c>
      <c r="B172" t="inlineStr">
        <is>
          <t>900008104</t>
        </is>
      </c>
      <c r="C172" t="inlineStr">
        <is>
          <t>DW83</t>
        </is>
      </c>
      <c r="D172" t="inlineStr">
        <is>
          <t>D216</t>
        </is>
      </c>
      <c r="E172" t="inlineStr">
        <is>
          <t>1</t>
        </is>
      </c>
      <c r="F172" t="inlineStr">
        <is>
          <t>10000191</t>
        </is>
      </c>
      <c r="H172" t="inlineStr"/>
      <c r="J172" t="n">
        <v>241.06</v>
      </c>
      <c r="K172" t="inlineStr"/>
      <c r="M172" t="inlineStr">
        <is>
          <t>TN</t>
        </is>
      </c>
      <c r="N172" t="inlineStr"/>
      <c r="P172" t="inlineStr">
        <is>
          <t>20230401</t>
        </is>
      </c>
      <c r="Q172" t="inlineStr">
        <is>
          <t>99991231</t>
        </is>
      </c>
    </row>
    <row r="173">
      <c r="A173" t="inlineStr">
        <is>
          <t>900008104DW83D21610000384</t>
        </is>
      </c>
      <c r="B173" t="inlineStr">
        <is>
          <t>900008104</t>
        </is>
      </c>
      <c r="C173" t="inlineStr">
        <is>
          <t>DW83</t>
        </is>
      </c>
      <c r="D173" t="inlineStr">
        <is>
          <t>D216</t>
        </is>
      </c>
      <c r="E173" t="inlineStr">
        <is>
          <t>1</t>
        </is>
      </c>
      <c r="F173" t="inlineStr">
        <is>
          <t>10000384</t>
        </is>
      </c>
      <c r="H173" t="inlineStr"/>
      <c r="J173" t="n">
        <v>211.12</v>
      </c>
      <c r="K173" t="inlineStr"/>
      <c r="M173" t="inlineStr">
        <is>
          <t>TN</t>
        </is>
      </c>
      <c r="N173" t="inlineStr"/>
      <c r="P173" t="inlineStr">
        <is>
          <t>20230401</t>
        </is>
      </c>
      <c r="Q173" t="inlineStr">
        <is>
          <t>99991231</t>
        </is>
      </c>
    </row>
    <row r="174">
      <c r="A174" t="inlineStr">
        <is>
          <t>900008104DW83D21610000388</t>
        </is>
      </c>
      <c r="B174" t="inlineStr">
        <is>
          <t>900008104</t>
        </is>
      </c>
      <c r="C174" t="inlineStr">
        <is>
          <t>DW83</t>
        </is>
      </c>
      <c r="D174" t="inlineStr">
        <is>
          <t>D216</t>
        </is>
      </c>
      <c r="E174" t="inlineStr">
        <is>
          <t>1</t>
        </is>
      </c>
      <c r="F174" t="inlineStr">
        <is>
          <t>10000388</t>
        </is>
      </c>
      <c r="H174" t="inlineStr"/>
      <c r="J174" t="n">
        <v>243.65</v>
      </c>
      <c r="K174" t="inlineStr"/>
      <c r="M174" t="inlineStr">
        <is>
          <t>TN</t>
        </is>
      </c>
      <c r="N174" t="inlineStr"/>
      <c r="P174" t="inlineStr">
        <is>
          <t>20230401</t>
        </is>
      </c>
      <c r="Q174" t="inlineStr">
        <is>
          <t>99991231</t>
        </is>
      </c>
    </row>
    <row r="175">
      <c r="A175" t="inlineStr">
        <is>
          <t>900008104DW83D21610004258</t>
        </is>
      </c>
      <c r="B175" t="inlineStr">
        <is>
          <t>900008104</t>
        </is>
      </c>
      <c r="C175" t="inlineStr">
        <is>
          <t>DW83</t>
        </is>
      </c>
      <c r="D175" t="inlineStr">
        <is>
          <t>D216</t>
        </is>
      </c>
      <c r="E175" t="inlineStr">
        <is>
          <t>1</t>
        </is>
      </c>
      <c r="F175" t="inlineStr">
        <is>
          <t>10004258</t>
        </is>
      </c>
      <c r="H175" t="inlineStr"/>
      <c r="J175" t="n">
        <v>222.16</v>
      </c>
      <c r="K175" t="inlineStr"/>
      <c r="M175" t="inlineStr">
        <is>
          <t>TN</t>
        </is>
      </c>
      <c r="N175" t="inlineStr"/>
      <c r="P175" t="inlineStr">
        <is>
          <t>20230401</t>
        </is>
      </c>
      <c r="Q175" t="inlineStr">
        <is>
          <t>99991231</t>
        </is>
      </c>
    </row>
    <row r="176">
      <c r="A176" t="inlineStr">
        <is>
          <t>900008104DW83D21610154410</t>
        </is>
      </c>
      <c r="B176" t="inlineStr">
        <is>
          <t>900008104</t>
        </is>
      </c>
      <c r="C176" t="inlineStr">
        <is>
          <t>DW83</t>
        </is>
      </c>
      <c r="D176" t="inlineStr">
        <is>
          <t>D216</t>
        </is>
      </c>
      <c r="E176" t="inlineStr">
        <is>
          <t>1</t>
        </is>
      </c>
      <c r="F176" t="inlineStr">
        <is>
          <t>10154410</t>
        </is>
      </c>
      <c r="H176" t="inlineStr"/>
      <c r="J176" t="n">
        <v>285.64</v>
      </c>
      <c r="K176" t="inlineStr"/>
      <c r="M176" t="inlineStr">
        <is>
          <t>TN</t>
        </is>
      </c>
      <c r="N176" t="inlineStr"/>
      <c r="P176" t="inlineStr">
        <is>
          <t>20230502</t>
        </is>
      </c>
      <c r="Q176" t="inlineStr">
        <is>
          <t>99991231</t>
        </is>
      </c>
    </row>
    <row r="177">
      <c r="A177" t="inlineStr">
        <is>
          <t>900008104DW83D24310000191</t>
        </is>
      </c>
      <c r="B177" t="inlineStr">
        <is>
          <t>900008104</t>
        </is>
      </c>
      <c r="C177" t="inlineStr">
        <is>
          <t>DW83</t>
        </is>
      </c>
      <c r="D177" t="inlineStr">
        <is>
          <t>D243</t>
        </is>
      </c>
      <c r="E177" t="inlineStr">
        <is>
          <t>1</t>
        </is>
      </c>
      <c r="F177" t="inlineStr">
        <is>
          <t>10000191</t>
        </is>
      </c>
      <c r="H177" t="inlineStr"/>
      <c r="J177" t="n">
        <v>278.41</v>
      </c>
      <c r="K177" t="inlineStr"/>
      <c r="M177" t="inlineStr">
        <is>
          <t>TN</t>
        </is>
      </c>
      <c r="N177" t="inlineStr"/>
      <c r="P177" t="inlineStr">
        <is>
          <t>20230301</t>
        </is>
      </c>
      <c r="Q177" t="inlineStr">
        <is>
          <t>20250129</t>
        </is>
      </c>
    </row>
    <row r="178">
      <c r="A178" t="inlineStr">
        <is>
          <t>900008104DW83D24310000384</t>
        </is>
      </c>
      <c r="B178" t="inlineStr">
        <is>
          <t>900008104</t>
        </is>
      </c>
      <c r="C178" t="inlineStr">
        <is>
          <t>DW83</t>
        </is>
      </c>
      <c r="D178" t="inlineStr">
        <is>
          <t>D243</t>
        </is>
      </c>
      <c r="E178" t="inlineStr">
        <is>
          <t>1</t>
        </is>
      </c>
      <c r="F178" t="inlineStr">
        <is>
          <t>10000384</t>
        </is>
      </c>
      <c r="H178" t="inlineStr"/>
      <c r="J178" t="n">
        <v>243.82</v>
      </c>
      <c r="K178" t="inlineStr"/>
      <c r="M178" t="inlineStr">
        <is>
          <t>TN</t>
        </is>
      </c>
      <c r="N178" t="inlineStr"/>
      <c r="P178" t="inlineStr">
        <is>
          <t>20230301</t>
        </is>
      </c>
      <c r="Q178" t="inlineStr">
        <is>
          <t>20250129</t>
        </is>
      </c>
    </row>
    <row r="179">
      <c r="A179" t="inlineStr">
        <is>
          <t>900008104DW83D24310000388</t>
        </is>
      </c>
      <c r="B179" t="inlineStr">
        <is>
          <t>900008104</t>
        </is>
      </c>
      <c r="C179" t="inlineStr">
        <is>
          <t>DW83</t>
        </is>
      </c>
      <c r="D179" t="inlineStr">
        <is>
          <t>D243</t>
        </is>
      </c>
      <c r="E179" t="inlineStr">
        <is>
          <t>1</t>
        </is>
      </c>
      <c r="F179" t="inlineStr">
        <is>
          <t>10000388</t>
        </is>
      </c>
      <c r="H179" t="inlineStr"/>
      <c r="J179" t="n">
        <v>281.4</v>
      </c>
      <c r="K179" t="inlineStr"/>
      <c r="M179" t="inlineStr">
        <is>
          <t>TN</t>
        </is>
      </c>
      <c r="N179" t="inlineStr"/>
      <c r="P179" t="inlineStr">
        <is>
          <t>20230301</t>
        </is>
      </c>
      <c r="Q179" t="inlineStr">
        <is>
          <t>20250129</t>
        </is>
      </c>
    </row>
    <row r="180">
      <c r="A180" t="inlineStr">
        <is>
          <t>900008104DW83D24310004258</t>
        </is>
      </c>
      <c r="B180" t="inlineStr">
        <is>
          <t>900008104</t>
        </is>
      </c>
      <c r="C180" t="inlineStr">
        <is>
          <t>DW83</t>
        </is>
      </c>
      <c r="D180" t="inlineStr">
        <is>
          <t>D243</t>
        </is>
      </c>
      <c r="E180" t="inlineStr">
        <is>
          <t>1</t>
        </is>
      </c>
      <c r="F180" t="inlineStr">
        <is>
          <t>10004258</t>
        </is>
      </c>
      <c r="H180" t="inlineStr"/>
      <c r="J180" t="n">
        <v>256.57</v>
      </c>
      <c r="K180" t="inlineStr"/>
      <c r="M180" t="inlineStr">
        <is>
          <t>TN</t>
        </is>
      </c>
      <c r="N180" t="inlineStr"/>
      <c r="P180" t="inlineStr">
        <is>
          <t>20230301</t>
        </is>
      </c>
      <c r="Q180" t="inlineStr">
        <is>
          <t>20250129</t>
        </is>
      </c>
    </row>
    <row r="181">
      <c r="A181" t="inlineStr">
        <is>
          <t>900008104DW83D24310154410</t>
        </is>
      </c>
      <c r="B181" t="inlineStr">
        <is>
          <t>900008104</t>
        </is>
      </c>
      <c r="C181" t="inlineStr">
        <is>
          <t>DW83</t>
        </is>
      </c>
      <c r="D181" t="inlineStr">
        <is>
          <t>D243</t>
        </is>
      </c>
      <c r="E181" t="inlineStr">
        <is>
          <t>1</t>
        </is>
      </c>
      <c r="F181" t="inlineStr">
        <is>
          <t>10154410</t>
        </is>
      </c>
      <c r="H181" t="inlineStr"/>
      <c r="J181" t="n">
        <v>280.4</v>
      </c>
      <c r="K181" t="inlineStr"/>
      <c r="M181" t="inlineStr">
        <is>
          <t>TN</t>
        </is>
      </c>
      <c r="N181" t="inlineStr"/>
      <c r="P181" t="inlineStr">
        <is>
          <t>20230301</t>
        </is>
      </c>
      <c r="Q181" t="inlineStr">
        <is>
          <t>20250129</t>
        </is>
      </c>
    </row>
    <row r="182">
      <c r="A182" t="inlineStr">
        <is>
          <t>900008104DW83DD6610000191</t>
        </is>
      </c>
      <c r="B182" t="inlineStr">
        <is>
          <t>900008104</t>
        </is>
      </c>
      <c r="C182" t="inlineStr">
        <is>
          <t>DW83</t>
        </is>
      </c>
      <c r="D182" t="inlineStr">
        <is>
          <t>DD66</t>
        </is>
      </c>
      <c r="E182" t="inlineStr">
        <is>
          <t>1</t>
        </is>
      </c>
      <c r="F182" t="inlineStr">
        <is>
          <t>10000191</t>
        </is>
      </c>
      <c r="H182" t="inlineStr"/>
      <c r="J182" t="n">
        <v>241.06</v>
      </c>
      <c r="K182" t="inlineStr"/>
      <c r="M182" t="inlineStr">
        <is>
          <t>TN</t>
        </is>
      </c>
      <c r="N182" t="inlineStr"/>
      <c r="P182" t="inlineStr">
        <is>
          <t>20230402</t>
        </is>
      </c>
      <c r="Q182" t="inlineStr">
        <is>
          <t>99991231</t>
        </is>
      </c>
    </row>
    <row r="183">
      <c r="A183" t="inlineStr">
        <is>
          <t>900008104DW83DD6610000384</t>
        </is>
      </c>
      <c r="B183" t="inlineStr">
        <is>
          <t>900008104</t>
        </is>
      </c>
      <c r="C183" t="inlineStr">
        <is>
          <t>DW83</t>
        </is>
      </c>
      <c r="D183" t="inlineStr">
        <is>
          <t>DD66</t>
        </is>
      </c>
      <c r="E183" t="inlineStr">
        <is>
          <t>1</t>
        </is>
      </c>
      <c r="F183" t="inlineStr">
        <is>
          <t>10000384</t>
        </is>
      </c>
      <c r="H183" t="inlineStr"/>
      <c r="J183" t="n">
        <v>211.12</v>
      </c>
      <c r="K183" t="inlineStr"/>
      <c r="M183" t="inlineStr">
        <is>
          <t>TN</t>
        </is>
      </c>
      <c r="N183" t="inlineStr"/>
      <c r="P183" t="inlineStr">
        <is>
          <t>20230402</t>
        </is>
      </c>
      <c r="Q183" t="inlineStr">
        <is>
          <t>99991231</t>
        </is>
      </c>
    </row>
    <row r="184">
      <c r="A184" t="inlineStr">
        <is>
          <t>900008104DW83DD6610000388</t>
        </is>
      </c>
      <c r="B184" t="inlineStr">
        <is>
          <t>900008104</t>
        </is>
      </c>
      <c r="C184" t="inlineStr">
        <is>
          <t>DW83</t>
        </is>
      </c>
      <c r="D184" t="inlineStr">
        <is>
          <t>DD66</t>
        </is>
      </c>
      <c r="E184" t="inlineStr">
        <is>
          <t>1</t>
        </is>
      </c>
      <c r="F184" t="inlineStr">
        <is>
          <t>10000388</t>
        </is>
      </c>
      <c r="H184" t="inlineStr"/>
      <c r="J184" t="n">
        <v>243.65</v>
      </c>
      <c r="K184" t="inlineStr"/>
      <c r="M184" t="inlineStr">
        <is>
          <t>TN</t>
        </is>
      </c>
      <c r="N184" t="inlineStr"/>
      <c r="P184" t="inlineStr">
        <is>
          <t>20230402</t>
        </is>
      </c>
      <c r="Q184" t="inlineStr">
        <is>
          <t>99991231</t>
        </is>
      </c>
    </row>
    <row r="185">
      <c r="A185" t="inlineStr">
        <is>
          <t>900008104DW83DD6610004258</t>
        </is>
      </c>
      <c r="B185" t="inlineStr">
        <is>
          <t>900008104</t>
        </is>
      </c>
      <c r="C185" t="inlineStr">
        <is>
          <t>DW83</t>
        </is>
      </c>
      <c r="D185" t="inlineStr">
        <is>
          <t>DD66</t>
        </is>
      </c>
      <c r="E185" t="inlineStr">
        <is>
          <t>1</t>
        </is>
      </c>
      <c r="F185" t="inlineStr">
        <is>
          <t>10004258</t>
        </is>
      </c>
      <c r="H185" t="inlineStr"/>
      <c r="J185" t="n">
        <v>222.16</v>
      </c>
      <c r="K185" t="inlineStr"/>
      <c r="M185" t="inlineStr">
        <is>
          <t>TN</t>
        </is>
      </c>
      <c r="N185" t="inlineStr"/>
      <c r="P185" t="inlineStr">
        <is>
          <t>20230402</t>
        </is>
      </c>
      <c r="Q185" t="inlineStr">
        <is>
          <t>99991231</t>
        </is>
      </c>
    </row>
    <row r="186">
      <c r="A186" t="inlineStr">
        <is>
          <t>900008104DW83DE0310000191</t>
        </is>
      </c>
      <c r="B186" t="inlineStr">
        <is>
          <t>900008104</t>
        </is>
      </c>
      <c r="C186" t="inlineStr">
        <is>
          <t>DW83</t>
        </is>
      </c>
      <c r="D186" t="inlineStr">
        <is>
          <t>DE03</t>
        </is>
      </c>
      <c r="E186" t="inlineStr">
        <is>
          <t>1</t>
        </is>
      </c>
      <c r="F186" t="inlineStr">
        <is>
          <t>10000191</t>
        </is>
      </c>
      <c r="H186" t="inlineStr"/>
      <c r="J186" t="n">
        <v>278.41</v>
      </c>
      <c r="K186" t="inlineStr"/>
      <c r="M186" t="inlineStr">
        <is>
          <t>TN</t>
        </is>
      </c>
      <c r="N186" t="inlineStr"/>
      <c r="P186" t="inlineStr">
        <is>
          <t>20230301</t>
        </is>
      </c>
      <c r="Q186" t="inlineStr">
        <is>
          <t>20250129</t>
        </is>
      </c>
    </row>
    <row r="187">
      <c r="A187" t="inlineStr">
        <is>
          <t>900008104DW83DE0310000384</t>
        </is>
      </c>
      <c r="B187" t="inlineStr">
        <is>
          <t>900008104</t>
        </is>
      </c>
      <c r="C187" t="inlineStr">
        <is>
          <t>DW83</t>
        </is>
      </c>
      <c r="D187" t="inlineStr">
        <is>
          <t>DE03</t>
        </is>
      </c>
      <c r="E187" t="inlineStr">
        <is>
          <t>1</t>
        </is>
      </c>
      <c r="F187" t="inlineStr">
        <is>
          <t>10000384</t>
        </is>
      </c>
      <c r="H187" t="inlineStr"/>
      <c r="J187" t="n">
        <v>243.82</v>
      </c>
      <c r="K187" t="inlineStr"/>
      <c r="M187" t="inlineStr">
        <is>
          <t>TN</t>
        </is>
      </c>
      <c r="N187" t="inlineStr"/>
      <c r="P187" t="inlineStr">
        <is>
          <t>20230301</t>
        </is>
      </c>
      <c r="Q187" t="inlineStr">
        <is>
          <t>20250129</t>
        </is>
      </c>
    </row>
    <row r="188">
      <c r="A188" t="inlineStr">
        <is>
          <t>900008104DW83DE0310000388</t>
        </is>
      </c>
      <c r="B188" t="inlineStr">
        <is>
          <t>900008104</t>
        </is>
      </c>
      <c r="C188" t="inlineStr">
        <is>
          <t>DW83</t>
        </is>
      </c>
      <c r="D188" t="inlineStr">
        <is>
          <t>DE03</t>
        </is>
      </c>
      <c r="E188" t="inlineStr">
        <is>
          <t>1</t>
        </is>
      </c>
      <c r="F188" t="inlineStr">
        <is>
          <t>10000388</t>
        </is>
      </c>
      <c r="H188" t="inlineStr"/>
      <c r="J188" t="n">
        <v>281.4</v>
      </c>
      <c r="K188" t="inlineStr"/>
      <c r="M188" t="inlineStr">
        <is>
          <t>TN</t>
        </is>
      </c>
      <c r="N188" t="inlineStr"/>
      <c r="P188" t="inlineStr">
        <is>
          <t>20230301</t>
        </is>
      </c>
      <c r="Q188" t="inlineStr">
        <is>
          <t>20250129</t>
        </is>
      </c>
    </row>
    <row r="189">
      <c r="A189" t="inlineStr">
        <is>
          <t>900008104DW83DE0310004258</t>
        </is>
      </c>
      <c r="B189" t="inlineStr">
        <is>
          <t>900008104</t>
        </is>
      </c>
      <c r="C189" t="inlineStr">
        <is>
          <t>DW83</t>
        </is>
      </c>
      <c r="D189" t="inlineStr">
        <is>
          <t>DE03</t>
        </is>
      </c>
      <c r="E189" t="inlineStr">
        <is>
          <t>1</t>
        </is>
      </c>
      <c r="F189" t="inlineStr">
        <is>
          <t>10004258</t>
        </is>
      </c>
      <c r="H189" t="inlineStr"/>
      <c r="J189" t="n">
        <v>256.57</v>
      </c>
      <c r="K189" t="inlineStr"/>
      <c r="M189" t="inlineStr">
        <is>
          <t>TN</t>
        </is>
      </c>
      <c r="N189" t="inlineStr"/>
      <c r="P189" t="inlineStr">
        <is>
          <t>20230301</t>
        </is>
      </c>
      <c r="Q189" t="inlineStr">
        <is>
          <t>20250129</t>
        </is>
      </c>
    </row>
    <row r="190">
      <c r="A190" t="inlineStr">
        <is>
          <t>900008141DW83D03310000332</t>
        </is>
      </c>
      <c r="B190" t="inlineStr">
        <is>
          <t>900008141</t>
        </is>
      </c>
      <c r="C190" t="inlineStr">
        <is>
          <t>DW83</t>
        </is>
      </c>
      <c r="D190" t="inlineStr">
        <is>
          <t>D033</t>
        </is>
      </c>
      <c r="E190" t="inlineStr">
        <is>
          <t>4</t>
        </is>
      </c>
      <c r="F190" t="inlineStr">
        <is>
          <t>10000332</t>
        </is>
      </c>
      <c r="H190" t="inlineStr"/>
      <c r="J190" t="n">
        <v>281.25</v>
      </c>
      <c r="K190" t="inlineStr"/>
      <c r="M190" t="inlineStr">
        <is>
          <t>TN</t>
        </is>
      </c>
      <c r="N190" t="inlineStr"/>
      <c r="P190" t="inlineStr">
        <is>
          <t>20240307</t>
        </is>
      </c>
      <c r="Q190" t="inlineStr">
        <is>
          <t>99991231</t>
        </is>
      </c>
    </row>
    <row r="191">
      <c r="A191" t="inlineStr">
        <is>
          <t>900008141DW83D21510000332</t>
        </is>
      </c>
      <c r="B191" t="inlineStr">
        <is>
          <t>900008141</t>
        </is>
      </c>
      <c r="C191" t="inlineStr">
        <is>
          <t>DW83</t>
        </is>
      </c>
      <c r="D191" t="inlineStr">
        <is>
          <t>D215</t>
        </is>
      </c>
      <c r="E191" t="inlineStr">
        <is>
          <t>4</t>
        </is>
      </c>
      <c r="F191" t="inlineStr">
        <is>
          <t>10000332</t>
        </is>
      </c>
      <c r="H191" t="inlineStr"/>
      <c r="J191" t="n">
        <v>312.5</v>
      </c>
      <c r="K191" t="inlineStr"/>
      <c r="M191" t="inlineStr">
        <is>
          <t>TN</t>
        </is>
      </c>
      <c r="N191" t="inlineStr"/>
      <c r="P191" t="inlineStr">
        <is>
          <t>20240307</t>
        </is>
      </c>
      <c r="Q191" t="inlineStr">
        <is>
          <t>99991231</t>
        </is>
      </c>
    </row>
    <row r="192">
      <c r="A192" t="inlineStr">
        <is>
          <t>900008141DW83D21610000332</t>
        </is>
      </c>
      <c r="B192" t="inlineStr">
        <is>
          <t>900008141</t>
        </is>
      </c>
      <c r="C192" t="inlineStr">
        <is>
          <t>DW83</t>
        </is>
      </c>
      <c r="D192" t="inlineStr">
        <is>
          <t>D216</t>
        </is>
      </c>
      <c r="E192" t="inlineStr">
        <is>
          <t>4</t>
        </is>
      </c>
      <c r="F192" t="inlineStr">
        <is>
          <t>10000332</t>
        </is>
      </c>
      <c r="H192" t="inlineStr"/>
      <c r="J192" t="n">
        <v>62.5</v>
      </c>
      <c r="K192" t="inlineStr"/>
      <c r="M192" t="inlineStr">
        <is>
          <t>TN</t>
        </is>
      </c>
      <c r="N192" t="inlineStr"/>
      <c r="P192" t="inlineStr">
        <is>
          <t>20240118</t>
        </is>
      </c>
      <c r="Q192" t="inlineStr">
        <is>
          <t>99991231</t>
        </is>
      </c>
    </row>
    <row r="193">
      <c r="A193" t="inlineStr">
        <is>
          <t>900008141DW83D21610000377</t>
        </is>
      </c>
      <c r="B193" t="inlineStr">
        <is>
          <t>900008141</t>
        </is>
      </c>
      <c r="C193" t="inlineStr">
        <is>
          <t>DW83</t>
        </is>
      </c>
      <c r="D193" t="inlineStr">
        <is>
          <t>D216</t>
        </is>
      </c>
      <c r="E193" t="inlineStr">
        <is>
          <t>4</t>
        </is>
      </c>
      <c r="F193" t="inlineStr">
        <is>
          <t>10000377</t>
        </is>
      </c>
      <c r="H193" t="inlineStr"/>
      <c r="J193" t="n">
        <v>294.92</v>
      </c>
      <c r="K193" t="inlineStr"/>
      <c r="M193" t="inlineStr">
        <is>
          <t>TN</t>
        </is>
      </c>
      <c r="N193" t="inlineStr"/>
      <c r="P193" t="inlineStr">
        <is>
          <t>20230602</t>
        </is>
      </c>
      <c r="Q193" t="inlineStr">
        <is>
          <t>99991231</t>
        </is>
      </c>
    </row>
    <row r="194">
      <c r="A194" t="inlineStr">
        <is>
          <t>900008141DW83D21610000379</t>
        </is>
      </c>
      <c r="B194" t="inlineStr">
        <is>
          <t>900008141</t>
        </is>
      </c>
      <c r="C194" t="inlineStr">
        <is>
          <t>DW83</t>
        </is>
      </c>
      <c r="D194" t="inlineStr">
        <is>
          <t>D216</t>
        </is>
      </c>
      <c r="E194" t="inlineStr">
        <is>
          <t>4</t>
        </is>
      </c>
      <c r="F194" t="inlineStr">
        <is>
          <t>10000379</t>
        </is>
      </c>
      <c r="H194" t="inlineStr"/>
      <c r="J194" t="n">
        <v>293.36</v>
      </c>
      <c r="K194" t="inlineStr"/>
      <c r="M194" t="inlineStr">
        <is>
          <t>TN</t>
        </is>
      </c>
      <c r="N194" t="inlineStr"/>
      <c r="P194" t="inlineStr">
        <is>
          <t>20230417</t>
        </is>
      </c>
      <c r="Q194" t="inlineStr">
        <is>
          <t>99991231</t>
        </is>
      </c>
    </row>
    <row r="195">
      <c r="A195" t="inlineStr">
        <is>
          <t>900008141DW83D21610000383</t>
        </is>
      </c>
      <c r="B195" t="inlineStr">
        <is>
          <t>900008141</t>
        </is>
      </c>
      <c r="C195" t="inlineStr">
        <is>
          <t>DW83</t>
        </is>
      </c>
      <c r="D195" t="inlineStr">
        <is>
          <t>D216</t>
        </is>
      </c>
      <c r="E195" t="inlineStr">
        <is>
          <t>4</t>
        </is>
      </c>
      <c r="F195" t="inlineStr">
        <is>
          <t>10000383</t>
        </is>
      </c>
      <c r="H195" t="inlineStr"/>
      <c r="J195" t="n">
        <v>308.68</v>
      </c>
      <c r="K195" t="inlineStr"/>
      <c r="M195" t="inlineStr">
        <is>
          <t>TN</t>
        </is>
      </c>
      <c r="N195" t="inlineStr"/>
      <c r="P195" t="inlineStr">
        <is>
          <t>20230417</t>
        </is>
      </c>
      <c r="Q195" t="inlineStr">
        <is>
          <t>99991231</t>
        </is>
      </c>
    </row>
    <row r="196">
      <c r="A196" t="inlineStr">
        <is>
          <t>900008141DW83D21610000719</t>
        </is>
      </c>
      <c r="B196" t="inlineStr">
        <is>
          <t>900008141</t>
        </is>
      </c>
      <c r="C196" t="inlineStr">
        <is>
          <t>DW83</t>
        </is>
      </c>
      <c r="D196" t="inlineStr">
        <is>
          <t>D216</t>
        </is>
      </c>
      <c r="E196" t="inlineStr">
        <is>
          <t>4</t>
        </is>
      </c>
      <c r="F196" t="inlineStr">
        <is>
          <t>10000719</t>
        </is>
      </c>
      <c r="H196" t="inlineStr"/>
      <c r="J196" t="n">
        <v>298.2</v>
      </c>
      <c r="K196" t="inlineStr"/>
      <c r="M196" t="inlineStr">
        <is>
          <t>TN</t>
        </is>
      </c>
      <c r="N196" t="inlineStr"/>
      <c r="P196" t="inlineStr">
        <is>
          <t>20230602</t>
        </is>
      </c>
      <c r="Q196" t="inlineStr">
        <is>
          <t>99991231</t>
        </is>
      </c>
    </row>
    <row r="197">
      <c r="A197" t="inlineStr">
        <is>
          <t>900008141DW83D21610192197</t>
        </is>
      </c>
      <c r="B197" t="inlineStr">
        <is>
          <t>900008141</t>
        </is>
      </c>
      <c r="C197" t="inlineStr">
        <is>
          <t>DW83</t>
        </is>
      </c>
      <c r="D197" t="inlineStr">
        <is>
          <t>D216</t>
        </is>
      </c>
      <c r="E197" t="inlineStr">
        <is>
          <t>4</t>
        </is>
      </c>
      <c r="F197" t="inlineStr">
        <is>
          <t>10192197</t>
        </is>
      </c>
      <c r="H197" t="inlineStr"/>
      <c r="J197" t="n">
        <v>296.6</v>
      </c>
      <c r="K197" t="inlineStr"/>
      <c r="M197" t="inlineStr">
        <is>
          <t>TN</t>
        </is>
      </c>
      <c r="N197" t="inlineStr"/>
      <c r="P197" t="inlineStr">
        <is>
          <t>20230705</t>
        </is>
      </c>
      <c r="Q197" t="inlineStr">
        <is>
          <t>99991231</t>
        </is>
      </c>
    </row>
    <row r="198">
      <c r="A198" t="inlineStr">
        <is>
          <t>900008141DW83D24310000332</t>
        </is>
      </c>
      <c r="B198" t="inlineStr">
        <is>
          <t>900008141</t>
        </is>
      </c>
      <c r="C198" t="inlineStr">
        <is>
          <t>DW83</t>
        </is>
      </c>
      <c r="D198" t="inlineStr">
        <is>
          <t>D243</t>
        </is>
      </c>
      <c r="E198" t="inlineStr">
        <is>
          <t>4</t>
        </is>
      </c>
      <c r="F198" t="inlineStr">
        <is>
          <t>10000332</t>
        </is>
      </c>
      <c r="H198" t="inlineStr"/>
      <c r="J198" t="n">
        <v>263.39</v>
      </c>
      <c r="K198" t="inlineStr"/>
      <c r="M198" t="inlineStr">
        <is>
          <t>TN</t>
        </is>
      </c>
      <c r="N198" t="inlineStr"/>
      <c r="P198" t="inlineStr">
        <is>
          <t>20230301</t>
        </is>
      </c>
      <c r="Q198" t="inlineStr">
        <is>
          <t>20250129</t>
        </is>
      </c>
    </row>
    <row r="199">
      <c r="A199" t="inlineStr">
        <is>
          <t>900008141DW83D24310000377</t>
        </is>
      </c>
      <c r="B199" t="inlineStr">
        <is>
          <t>900008141</t>
        </is>
      </c>
      <c r="C199" t="inlineStr">
        <is>
          <t>DW83</t>
        </is>
      </c>
      <c r="D199" t="inlineStr">
        <is>
          <t>D243</t>
        </is>
      </c>
      <c r="E199" t="inlineStr">
        <is>
          <t>4</t>
        </is>
      </c>
      <c r="F199" t="inlineStr">
        <is>
          <t>10000377</t>
        </is>
      </c>
      <c r="H199" t="inlineStr"/>
      <c r="J199" t="n">
        <v>192.04</v>
      </c>
      <c r="K199" t="inlineStr"/>
      <c r="M199" t="inlineStr">
        <is>
          <t>TN</t>
        </is>
      </c>
      <c r="N199" t="inlineStr"/>
      <c r="P199" t="inlineStr">
        <is>
          <t>20250214</t>
        </is>
      </c>
      <c r="Q199" t="inlineStr">
        <is>
          <t>99991231</t>
        </is>
      </c>
    </row>
    <row r="200">
      <c r="A200" t="inlineStr">
        <is>
          <t>900008141DW83D24310000379</t>
        </is>
      </c>
      <c r="B200" t="inlineStr">
        <is>
          <t>900008141</t>
        </is>
      </c>
      <c r="C200" t="inlineStr">
        <is>
          <t>DW83</t>
        </is>
      </c>
      <c r="D200" t="inlineStr">
        <is>
          <t>D243</t>
        </is>
      </c>
      <c r="E200" t="inlineStr">
        <is>
          <t>4</t>
        </is>
      </c>
      <c r="F200" t="inlineStr">
        <is>
          <t>10000379</t>
        </is>
      </c>
      <c r="H200" t="inlineStr"/>
      <c r="J200" t="n">
        <v>195.8</v>
      </c>
      <c r="K200" t="inlineStr"/>
      <c r="M200" t="inlineStr">
        <is>
          <t>TN</t>
        </is>
      </c>
      <c r="N200" t="inlineStr"/>
      <c r="P200" t="inlineStr">
        <is>
          <t>20250214</t>
        </is>
      </c>
      <c r="Q200" t="inlineStr">
        <is>
          <t>99991231</t>
        </is>
      </c>
    </row>
    <row r="201">
      <c r="A201" t="inlineStr">
        <is>
          <t>900008141DW83D24310000383</t>
        </is>
      </c>
      <c r="B201" t="inlineStr">
        <is>
          <t>900008141</t>
        </is>
      </c>
      <c r="C201" t="inlineStr">
        <is>
          <t>DW83</t>
        </is>
      </c>
      <c r="D201" t="inlineStr">
        <is>
          <t>D243</t>
        </is>
      </c>
      <c r="E201" t="inlineStr">
        <is>
          <t>4</t>
        </is>
      </c>
      <c r="F201" t="inlineStr">
        <is>
          <t>10000383</t>
        </is>
      </c>
      <c r="H201" t="inlineStr"/>
      <c r="J201" t="n">
        <v>206.03</v>
      </c>
      <c r="K201" t="inlineStr"/>
      <c r="M201" t="inlineStr">
        <is>
          <t>TN</t>
        </is>
      </c>
      <c r="N201" t="inlineStr"/>
      <c r="P201" t="inlineStr">
        <is>
          <t>20250214</t>
        </is>
      </c>
      <c r="Q201" t="inlineStr">
        <is>
          <t>99991231</t>
        </is>
      </c>
    </row>
    <row r="202">
      <c r="A202" t="inlineStr">
        <is>
          <t>900008141DW83D24310000719</t>
        </is>
      </c>
      <c r="B202" t="inlineStr">
        <is>
          <t>900008141</t>
        </is>
      </c>
      <c r="C202" t="inlineStr">
        <is>
          <t>DW83</t>
        </is>
      </c>
      <c r="D202" t="inlineStr">
        <is>
          <t>D243</t>
        </is>
      </c>
      <c r="E202" t="inlineStr">
        <is>
          <t>4</t>
        </is>
      </c>
      <c r="F202" t="inlineStr">
        <is>
          <t>10000719</t>
        </is>
      </c>
      <c r="H202" t="inlineStr"/>
      <c r="J202" t="n">
        <v>201.11</v>
      </c>
      <c r="K202" t="inlineStr"/>
      <c r="M202" t="inlineStr">
        <is>
          <t>TN</t>
        </is>
      </c>
      <c r="N202" t="inlineStr"/>
      <c r="P202" t="inlineStr">
        <is>
          <t>20250214</t>
        </is>
      </c>
      <c r="Q202" t="inlineStr">
        <is>
          <t>99991231</t>
        </is>
      </c>
    </row>
    <row r="203">
      <c r="A203" t="inlineStr">
        <is>
          <t>900008141DW83D24310192197</t>
        </is>
      </c>
      <c r="B203" t="inlineStr">
        <is>
          <t>900008141</t>
        </is>
      </c>
      <c r="C203" t="inlineStr">
        <is>
          <t>DW83</t>
        </is>
      </c>
      <c r="D203" t="inlineStr">
        <is>
          <t>D243</t>
        </is>
      </c>
      <c r="E203" t="inlineStr">
        <is>
          <t>4</t>
        </is>
      </c>
      <c r="F203" t="inlineStr">
        <is>
          <t>10192197</t>
        </is>
      </c>
      <c r="H203" t="inlineStr"/>
      <c r="J203" t="n">
        <v>200.97</v>
      </c>
      <c r="K203" t="inlineStr"/>
      <c r="M203" t="inlineStr">
        <is>
          <t>TN</t>
        </is>
      </c>
      <c r="N203" t="inlineStr"/>
      <c r="P203" t="inlineStr">
        <is>
          <t>20250214</t>
        </is>
      </c>
      <c r="Q203" t="inlineStr">
        <is>
          <t>99991231</t>
        </is>
      </c>
    </row>
    <row r="204">
      <c r="A204" t="inlineStr">
        <is>
          <t>900008141DW83D38610000332</t>
        </is>
      </c>
      <c r="B204" t="inlineStr">
        <is>
          <t>900008141</t>
        </is>
      </c>
      <c r="C204" t="inlineStr">
        <is>
          <t>DW83</t>
        </is>
      </c>
      <c r="D204" t="inlineStr">
        <is>
          <t>D386</t>
        </is>
      </c>
      <c r="E204" t="inlineStr">
        <is>
          <t>4</t>
        </is>
      </c>
      <c r="F204" t="inlineStr">
        <is>
          <t>10000332</t>
        </is>
      </c>
      <c r="H204" t="inlineStr"/>
      <c r="J204" t="n">
        <v>312.5</v>
      </c>
      <c r="K204" t="inlineStr"/>
      <c r="M204" t="inlineStr">
        <is>
          <t>TN</t>
        </is>
      </c>
      <c r="N204" t="inlineStr"/>
      <c r="P204" t="inlineStr">
        <is>
          <t>20240307</t>
        </is>
      </c>
      <c r="Q204" t="inlineStr">
        <is>
          <t>99991231</t>
        </is>
      </c>
    </row>
    <row r="205">
      <c r="A205" t="inlineStr">
        <is>
          <t>900008141DW83D55710000332</t>
        </is>
      </c>
      <c r="B205" t="inlineStr">
        <is>
          <t>900008141</t>
        </is>
      </c>
      <c r="C205" t="inlineStr">
        <is>
          <t>DW83</t>
        </is>
      </c>
      <c r="D205" t="inlineStr">
        <is>
          <t>D557</t>
        </is>
      </c>
      <c r="E205" t="inlineStr">
        <is>
          <t>4</t>
        </is>
      </c>
      <c r="F205" t="inlineStr">
        <is>
          <t>10000332</t>
        </is>
      </c>
      <c r="H205" t="inlineStr"/>
      <c r="J205" t="n">
        <v>250</v>
      </c>
      <c r="K205" t="inlineStr"/>
      <c r="M205" t="inlineStr">
        <is>
          <t>TN</t>
        </is>
      </c>
      <c r="N205" t="inlineStr"/>
      <c r="P205" t="inlineStr">
        <is>
          <t>20240307</t>
        </is>
      </c>
      <c r="Q205" t="inlineStr">
        <is>
          <t>99991231</t>
        </is>
      </c>
    </row>
    <row r="206">
      <c r="A206" t="inlineStr">
        <is>
          <t>900008907DW83D21610000191</t>
        </is>
      </c>
      <c r="B206" t="inlineStr">
        <is>
          <t>900008907</t>
        </is>
      </c>
      <c r="C206" t="inlineStr">
        <is>
          <t>DW83</t>
        </is>
      </c>
      <c r="D206" t="inlineStr">
        <is>
          <t>D216</t>
        </is>
      </c>
      <c r="E206" t="inlineStr">
        <is>
          <t>4</t>
        </is>
      </c>
      <c r="F206" t="inlineStr">
        <is>
          <t>10000191</t>
        </is>
      </c>
      <c r="H206" t="inlineStr"/>
      <c r="J206" t="n">
        <v>171.28</v>
      </c>
      <c r="K206" t="inlineStr"/>
      <c r="M206" t="inlineStr">
        <is>
          <t>TN</t>
        </is>
      </c>
      <c r="N206" t="inlineStr"/>
      <c r="P206" t="inlineStr">
        <is>
          <t>20260215</t>
        </is>
      </c>
      <c r="Q206" t="inlineStr">
        <is>
          <t>99991231</t>
        </is>
      </c>
    </row>
    <row r="207">
      <c r="A207" t="inlineStr">
        <is>
          <t>900008907DW83D21610069534</t>
        </is>
      </c>
      <c r="B207" t="inlineStr">
        <is>
          <t>900008907</t>
        </is>
      </c>
      <c r="C207" t="inlineStr">
        <is>
          <t>DW83</t>
        </is>
      </c>
      <c r="D207" t="inlineStr">
        <is>
          <t>D216</t>
        </is>
      </c>
      <c r="E207" t="inlineStr">
        <is>
          <t>4</t>
        </is>
      </c>
      <c r="F207" t="inlineStr">
        <is>
          <t>10069534</t>
        </is>
      </c>
      <c r="H207" t="inlineStr"/>
      <c r="J207" t="n">
        <v>161.22</v>
      </c>
      <c r="K207" t="inlineStr"/>
      <c r="M207" t="inlineStr">
        <is>
          <t>TN</t>
        </is>
      </c>
      <c r="N207" t="inlineStr"/>
      <c r="P207" t="inlineStr">
        <is>
          <t>20260215</t>
        </is>
      </c>
      <c r="Q207" t="inlineStr">
        <is>
          <t>99991231</t>
        </is>
      </c>
    </row>
    <row r="208">
      <c r="A208" t="inlineStr">
        <is>
          <t>900008907DW83D24310000191</t>
        </is>
      </c>
      <c r="B208" t="inlineStr">
        <is>
          <t>900008907</t>
        </is>
      </c>
      <c r="C208" t="inlineStr">
        <is>
          <t>DW83</t>
        </is>
      </c>
      <c r="D208" t="inlineStr">
        <is>
          <t>D243</t>
        </is>
      </c>
      <c r="E208" t="inlineStr">
        <is>
          <t>4</t>
        </is>
      </c>
      <c r="F208" t="inlineStr">
        <is>
          <t>10000191</t>
        </is>
      </c>
      <c r="H208" t="inlineStr"/>
      <c r="J208" t="n">
        <v>171.28</v>
      </c>
      <c r="K208" t="inlineStr"/>
      <c r="M208" t="inlineStr">
        <is>
          <t>TN</t>
        </is>
      </c>
      <c r="N208" t="inlineStr"/>
      <c r="P208" t="inlineStr">
        <is>
          <t>20260215</t>
        </is>
      </c>
      <c r="Q208" t="inlineStr">
        <is>
          <t>99991231</t>
        </is>
      </c>
    </row>
    <row r="209">
      <c r="A209" t="inlineStr">
        <is>
          <t>900008907DW83D24310069534</t>
        </is>
      </c>
      <c r="B209" t="inlineStr">
        <is>
          <t>900008907</t>
        </is>
      </c>
      <c r="C209" t="inlineStr">
        <is>
          <t>DW83</t>
        </is>
      </c>
      <c r="D209" t="inlineStr">
        <is>
          <t>D243</t>
        </is>
      </c>
      <c r="E209" t="inlineStr">
        <is>
          <t>4</t>
        </is>
      </c>
      <c r="F209" t="inlineStr">
        <is>
          <t>10069534</t>
        </is>
      </c>
      <c r="H209" t="inlineStr"/>
      <c r="J209" t="n">
        <v>161.22</v>
      </c>
      <c r="K209" t="inlineStr"/>
      <c r="M209" t="inlineStr">
        <is>
          <t>TN</t>
        </is>
      </c>
      <c r="N209" t="inlineStr"/>
      <c r="P209" t="inlineStr">
        <is>
          <t>20260215</t>
        </is>
      </c>
      <c r="Q209" t="inlineStr">
        <is>
          <t>99991231</t>
        </is>
      </c>
    </row>
    <row r="210">
      <c r="A210" t="inlineStr">
        <is>
          <t>900009274DW83D21610000437</t>
        </is>
      </c>
      <c r="B210" t="inlineStr">
        <is>
          <t>900009274</t>
        </is>
      </c>
      <c r="C210" t="inlineStr">
        <is>
          <t>DW83</t>
        </is>
      </c>
      <c r="D210" t="inlineStr">
        <is>
          <t>D216</t>
        </is>
      </c>
      <c r="E210" t="inlineStr">
        <is>
          <t>1</t>
        </is>
      </c>
      <c r="F210" t="inlineStr">
        <is>
          <t>10000437</t>
        </is>
      </c>
      <c r="H210" t="inlineStr"/>
      <c r="J210" t="n">
        <v>53.97</v>
      </c>
      <c r="K210" t="inlineStr"/>
      <c r="M210" t="inlineStr">
        <is>
          <t>TN</t>
        </is>
      </c>
      <c r="N210" t="inlineStr"/>
      <c r="P210" t="inlineStr">
        <is>
          <t>20250701</t>
        </is>
      </c>
      <c r="Q210" t="inlineStr">
        <is>
          <t>99991231</t>
        </is>
      </c>
    </row>
    <row r="211">
      <c r="A211" t="inlineStr">
        <is>
          <t>900009274DW83D21610258539</t>
        </is>
      </c>
      <c r="B211" t="inlineStr">
        <is>
          <t>900009274</t>
        </is>
      </c>
      <c r="C211" t="inlineStr">
        <is>
          <t>DW83</t>
        </is>
      </c>
      <c r="D211" t="inlineStr">
        <is>
          <t>D216</t>
        </is>
      </c>
      <c r="E211" t="inlineStr">
        <is>
          <t>1</t>
        </is>
      </c>
      <c r="F211" t="inlineStr">
        <is>
          <t>10258539</t>
        </is>
      </c>
      <c r="H211" t="inlineStr"/>
      <c r="J211" t="n">
        <v>48.51</v>
      </c>
      <c r="K211" t="inlineStr"/>
      <c r="M211" t="inlineStr">
        <is>
          <t>TN</t>
        </is>
      </c>
      <c r="N211" t="inlineStr"/>
      <c r="P211" t="inlineStr">
        <is>
          <t>20250701</t>
        </is>
      </c>
      <c r="Q211" t="inlineStr">
        <is>
          <t>99991231</t>
        </is>
      </c>
    </row>
    <row r="212">
      <c r="A212" t="inlineStr">
        <is>
          <t>900009275DW83D21610000437</t>
        </is>
      </c>
      <c r="B212" t="inlineStr">
        <is>
          <t>900009275</t>
        </is>
      </c>
      <c r="C212" t="inlineStr">
        <is>
          <t>DW83</t>
        </is>
      </c>
      <c r="D212" t="inlineStr">
        <is>
          <t>D216</t>
        </is>
      </c>
      <c r="E212" t="inlineStr">
        <is>
          <t>4</t>
        </is>
      </c>
      <c r="F212" t="inlineStr">
        <is>
          <t>10000437</t>
        </is>
      </c>
      <c r="H212" t="inlineStr"/>
      <c r="J212" t="n">
        <v>116.76</v>
      </c>
      <c r="K212" t="inlineStr"/>
      <c r="M212" t="inlineStr">
        <is>
          <t>TN</t>
        </is>
      </c>
      <c r="N212" t="inlineStr"/>
      <c r="P212" t="inlineStr">
        <is>
          <t>20260605</t>
        </is>
      </c>
      <c r="Q212" t="inlineStr">
        <is>
          <t>99991231</t>
        </is>
      </c>
    </row>
    <row r="213">
      <c r="A213" t="inlineStr">
        <is>
          <t>900009275DW83D21610258539</t>
        </is>
      </c>
      <c r="B213" t="inlineStr">
        <is>
          <t>900009275</t>
        </is>
      </c>
      <c r="C213" t="inlineStr">
        <is>
          <t>DW83</t>
        </is>
      </c>
      <c r="D213" t="inlineStr">
        <is>
          <t>D216</t>
        </is>
      </c>
      <c r="E213" t="inlineStr">
        <is>
          <t>4</t>
        </is>
      </c>
      <c r="F213" t="inlineStr">
        <is>
          <t>10258539</t>
        </is>
      </c>
      <c r="H213" t="inlineStr"/>
      <c r="J213" t="n">
        <v>110.45</v>
      </c>
      <c r="K213" t="inlineStr"/>
      <c r="M213" t="inlineStr">
        <is>
          <t>TN</t>
        </is>
      </c>
      <c r="N213" t="inlineStr"/>
      <c r="P213" t="inlineStr">
        <is>
          <t>20260605</t>
        </is>
      </c>
      <c r="Q213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900003017DW83D21610049556</t>
        </is>
      </c>
      <c r="B2" t="inlineStr">
        <is>
          <t>4600050426-130</t>
        </is>
      </c>
      <c r="C2" t="n">
        <v>4600050426</v>
      </c>
      <c r="D2" t="n">
        <v>130</v>
      </c>
      <c r="E2" t="inlineStr">
        <is>
          <t>MXPO</t>
        </is>
      </c>
      <c r="F2" t="inlineStr">
        <is>
          <t>MXL</t>
        </is>
      </c>
      <c r="G2" t="n">
        <v>900003017</v>
      </c>
      <c r="H2" t="inlineStr">
        <is>
          <t>TC-ED-SALDAÑA MORONES- LAS VARAS</t>
        </is>
      </c>
      <c r="I2" t="n">
        <v>5002163</v>
      </c>
      <c r="J2" t="inlineStr">
        <is>
          <t>SALDANA MORONES HERIBERTO</t>
        </is>
      </c>
      <c r="K2" t="inlineStr">
        <is>
          <t>N30</t>
        </is>
      </c>
      <c r="L2" t="inlineStr">
        <is>
          <t>(AP) NAFIN 30 Dias</t>
        </is>
      </c>
      <c r="M2" t="n">
        <v>10049556</v>
      </c>
      <c r="N2" t="inlineStr">
        <is>
          <t>Grava Triturada Basalto 10 mm - 3/8"</t>
        </is>
      </c>
      <c r="O2" t="inlineStr">
        <is>
          <t>DW83</t>
        </is>
      </c>
      <c r="P2" t="inlineStr">
        <is>
          <t>MX-CED. VALLARTA</t>
        </is>
      </c>
      <c r="Q2" t="n">
        <v>20210801</v>
      </c>
      <c r="R2" t="n">
        <v>20281231</v>
      </c>
      <c r="S2" t="n">
        <v>20220121</v>
      </c>
      <c r="T2" t="n">
        <v>20271231</v>
      </c>
      <c r="U2" t="n">
        <v>365</v>
      </c>
      <c r="V2" t="inlineStr">
        <is>
          <t>MXN</t>
        </is>
      </c>
      <c r="W2" t="inlineStr">
        <is>
          <t>M3</t>
        </is>
      </c>
      <c r="X2" t="n">
        <v>190</v>
      </c>
      <c r="Y2" t="inlineStr">
        <is>
          <t>MXN</t>
        </is>
      </c>
      <c r="Z2" t="inlineStr">
        <is>
          <t>M3</t>
        </is>
      </c>
      <c r="AA2" t="inlineStr">
        <is>
          <t>D216</t>
        </is>
      </c>
      <c r="AB2" t="inlineStr">
        <is>
          <t>PD0130 TEPIC</t>
        </is>
      </c>
      <c r="AC2" t="n">
        <v>56103637</v>
      </c>
      <c r="AD2" t="n">
        <v>6644411540</v>
      </c>
      <c r="AE2" t="n">
        <v>4</v>
      </c>
      <c r="AF2" t="inlineStr">
        <is>
          <t>ENTREGA DIRECTA</t>
        </is>
      </c>
      <c r="AG2" t="n">
        <v>1.328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20230920</v>
      </c>
      <c r="AM2" t="inlineStr">
        <is>
          <t>DW83-900003017-D216-10049556-4</t>
        </is>
      </c>
    </row>
    <row r="3">
      <c r="A3" t="inlineStr">
        <is>
          <t>900000560DW8310258539</t>
        </is>
      </c>
      <c r="B3" t="inlineStr">
        <is>
          <t>4600056862-30</t>
        </is>
      </c>
      <c r="C3" t="n">
        <v>4600056862</v>
      </c>
      <c r="D3" t="n">
        <v>30</v>
      </c>
      <c r="E3" t="inlineStr">
        <is>
          <t>MXPO</t>
        </is>
      </c>
      <c r="F3" t="inlineStr">
        <is>
          <t>MXL</t>
        </is>
      </c>
      <c r="G3" t="n">
        <v>900000560</v>
      </c>
      <c r="H3" t="inlineStr">
        <is>
          <t>SF TC-TEPYC LA REPISA</t>
        </is>
      </c>
      <c r="I3" t="n">
        <v>5006993</v>
      </c>
      <c r="J3" t="inlineStr">
        <is>
          <t>TERRACERIAS PAVIMENTOS Y CAMINOS SA</t>
        </is>
      </c>
      <c r="K3" t="inlineStr">
        <is>
          <t>Z04</t>
        </is>
      </c>
      <c r="L3" t="inlineStr">
        <is>
          <t>(AP) 30 Dias</t>
        </is>
      </c>
      <c r="M3" t="n">
        <v>10258539</v>
      </c>
      <c r="N3" t="inlineStr">
        <is>
          <t>ARENA TRITURADA BASALTO MALLA 5</t>
        </is>
      </c>
      <c r="O3" t="inlineStr">
        <is>
          <t>DW83</t>
        </is>
      </c>
      <c r="P3" t="inlineStr">
        <is>
          <t>MX-CED. VALLARTA</t>
        </is>
      </c>
      <c r="Q3" t="n">
        <v>20230310</v>
      </c>
      <c r="R3" t="n">
        <v>20281231</v>
      </c>
      <c r="S3" t="n">
        <v>20240704</v>
      </c>
      <c r="T3" t="n">
        <v>20291231</v>
      </c>
      <c r="U3" t="n">
        <v>350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56103638</v>
      </c>
      <c r="AD3" t="n">
        <v>6644411540</v>
      </c>
      <c r="AE3" t="n">
        <v>1</v>
      </c>
      <c r="AF3" t="inlineStr">
        <is>
          <t>ENTREGADO</t>
        </is>
      </c>
      <c r="AG3" t="n">
        <v>1.591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20240711</v>
      </c>
      <c r="AM3" t="inlineStr">
        <is>
          <t>DW83-900000560-10258539</t>
        </is>
      </c>
    </row>
    <row r="4">
      <c r="A4" t="inlineStr">
        <is>
          <t>900003368DW83D21510192197</t>
        </is>
      </c>
      <c r="B4" t="inlineStr">
        <is>
          <t>4600050463-60</t>
        </is>
      </c>
      <c r="C4" t="n">
        <v>4600050463</v>
      </c>
      <c r="D4" t="n">
        <v>60</v>
      </c>
      <c r="E4" t="inlineStr">
        <is>
          <t>MXPO</t>
        </is>
      </c>
      <c r="F4" t="inlineStr">
        <is>
          <t>MXL</t>
        </is>
      </c>
      <c r="G4" t="n">
        <v>900003368</v>
      </c>
      <c r="H4" t="inlineStr">
        <is>
          <t>TC-ED SALDAÑA PORVENIR</t>
        </is>
      </c>
      <c r="I4" t="n">
        <v>5002163</v>
      </c>
      <c r="J4" t="inlineStr">
        <is>
          <t>SALDANA MORONES HERIBERTO</t>
        </is>
      </c>
      <c r="K4" t="inlineStr">
        <is>
          <t>N30</t>
        </is>
      </c>
      <c r="L4" t="inlineStr">
        <is>
          <t>(AP) NAFIN 30 Dias</t>
        </is>
      </c>
      <c r="M4" t="n">
        <v>10192197</v>
      </c>
      <c r="N4" t="inlineStr">
        <is>
          <t>ARENA CLASIFICADA RIO MALLA 5</t>
        </is>
      </c>
      <c r="O4" t="inlineStr">
        <is>
          <t>DW83</t>
        </is>
      </c>
      <c r="P4" t="inlineStr">
        <is>
          <t>MX-CED. VALLARTA</t>
        </is>
      </c>
      <c r="Q4" t="n">
        <v>20210801</v>
      </c>
      <c r="R4" t="n">
        <v>20291231</v>
      </c>
      <c r="S4" t="n">
        <v>20260601</v>
      </c>
      <c r="T4" t="n">
        <v>20301231</v>
      </c>
      <c r="U4" t="n">
        <v>198.54</v>
      </c>
      <c r="V4" t="inlineStr">
        <is>
          <t>MXN</t>
        </is>
      </c>
      <c r="W4" t="inlineStr">
        <is>
          <t>M3</t>
        </is>
      </c>
      <c r="X4" t="n">
        <v>44.04</v>
      </c>
      <c r="Y4" t="inlineStr">
        <is>
          <t>MXN</t>
        </is>
      </c>
      <c r="Z4" t="inlineStr">
        <is>
          <t>M3</t>
        </is>
      </c>
      <c r="AA4" t="inlineStr">
        <is>
          <t>D215</t>
        </is>
      </c>
      <c r="AB4" t="inlineStr">
        <is>
          <t>PD0159 PUERTO VALLARTA</t>
        </is>
      </c>
      <c r="AC4" t="n">
        <v>56103638</v>
      </c>
      <c r="AD4" t="n">
        <v>6644411540</v>
      </c>
      <c r="AE4" t="n">
        <v>4</v>
      </c>
      <c r="AF4" t="inlineStr">
        <is>
          <t>ENTREGA DIRECTA</t>
        </is>
      </c>
      <c r="AG4" t="n">
        <v>1.443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20260615</v>
      </c>
      <c r="AM4" t="inlineStr">
        <is>
          <t>DW83-900003368-D215-10192197-4</t>
        </is>
      </c>
    </row>
    <row r="5">
      <c r="A5" t="inlineStr">
        <is>
          <t>900004830DW83D38610000379</t>
        </is>
      </c>
      <c r="B5" t="inlineStr">
        <is>
          <t>4600050438-130</t>
        </is>
      </c>
      <c r="C5" t="n">
        <v>4600050438</v>
      </c>
      <c r="D5" t="n">
        <v>130</v>
      </c>
      <c r="E5" t="inlineStr">
        <is>
          <t>MXPO</t>
        </is>
      </c>
      <c r="F5" t="inlineStr">
        <is>
          <t>MXL</t>
        </is>
      </c>
      <c r="G5" t="n">
        <v>900004830</v>
      </c>
      <c r="H5" t="inlineStr">
        <is>
          <t>TC-ED ARMAMPET LAS VARAS</t>
        </is>
      </c>
      <c r="I5" t="n">
        <v>5061801</v>
      </c>
      <c r="J5" t="inlineStr">
        <is>
          <t>ARMAMPET SA DE CV</t>
        </is>
      </c>
      <c r="K5" t="inlineStr">
        <is>
          <t>N30</t>
        </is>
      </c>
      <c r="L5" t="inlineStr">
        <is>
          <t>(AP) NAFIN 30 Dias</t>
        </is>
      </c>
      <c r="M5" t="n">
        <v>10000379</v>
      </c>
      <c r="N5" t="inlineStr">
        <is>
          <t>Grava Triturada Basalto 20 mm - 3/4"</t>
        </is>
      </c>
      <c r="O5" t="inlineStr">
        <is>
          <t>DW83</t>
        </is>
      </c>
      <c r="P5" t="inlineStr">
        <is>
          <t>MX-CED. VALLARTA</t>
        </is>
      </c>
      <c r="Q5" t="n">
        <v>20210801</v>
      </c>
      <c r="R5" t="n">
        <v>20291231</v>
      </c>
      <c r="S5" t="n">
        <v>20260601</v>
      </c>
      <c r="T5" t="n">
        <v>20301231</v>
      </c>
      <c r="U5" t="n">
        <v>367.94</v>
      </c>
      <c r="V5" t="inlineStr">
        <is>
          <t>MXN</t>
        </is>
      </c>
      <c r="W5" t="inlineStr">
        <is>
          <t>M3</t>
        </is>
      </c>
      <c r="X5" t="n">
        <v>168.38</v>
      </c>
      <c r="Y5" t="inlineStr">
        <is>
          <t>MXN</t>
        </is>
      </c>
      <c r="Z5" t="inlineStr">
        <is>
          <t>M3</t>
        </is>
      </c>
      <c r="AA5" t="inlineStr">
        <is>
          <t>D386</t>
        </is>
      </c>
      <c r="AB5" t="inlineStr">
        <is>
          <t>PD0563 PUNTA DE MITA</t>
        </is>
      </c>
      <c r="AC5" t="n">
        <v>56103637</v>
      </c>
      <c r="AD5" t="n">
        <v>6644411540</v>
      </c>
      <c r="AE5" t="n">
        <v>4</v>
      </c>
      <c r="AF5" t="inlineStr">
        <is>
          <t>ENTREGA DIRECTA</t>
        </is>
      </c>
      <c r="AG5" t="n">
        <v>1.43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20260615</v>
      </c>
      <c r="AM5" t="inlineStr">
        <is>
          <t>DW83-900004830-D386-10000379-4</t>
        </is>
      </c>
    </row>
    <row r="6">
      <c r="A6" t="inlineStr">
        <is>
          <t>900000045DW83D26910000377</t>
        </is>
      </c>
      <c r="B6" t="inlineStr">
        <is>
          <t>4600050401-50</t>
        </is>
      </c>
      <c r="C6" t="n">
        <v>4600050401</v>
      </c>
      <c r="D6" t="n">
        <v>50</v>
      </c>
      <c r="E6" t="inlineStr">
        <is>
          <t>MXPO</t>
        </is>
      </c>
      <c r="F6" t="inlineStr">
        <is>
          <t>MXL</t>
        </is>
      </c>
      <c r="G6" t="n">
        <v>900000045</v>
      </c>
      <c r="H6" t="inlineStr">
        <is>
          <t>TC-ED SALDAÑA MORONES</t>
        </is>
      </c>
      <c r="I6" t="n">
        <v>5002163</v>
      </c>
      <c r="J6" t="inlineStr">
        <is>
          <t>SALDANA MORONES HERIBERTO</t>
        </is>
      </c>
      <c r="K6" t="inlineStr">
        <is>
          <t>N30</t>
        </is>
      </c>
      <c r="L6" t="inlineStr">
        <is>
          <t>(AP) NAFIN 30 Dias</t>
        </is>
      </c>
      <c r="M6" t="n">
        <v>10000377</v>
      </c>
      <c r="N6" t="inlineStr">
        <is>
          <t>Grava Triturada Basalto 10 mm - 3/8"</t>
        </is>
      </c>
      <c r="O6" t="inlineStr">
        <is>
          <t>DW83</t>
        </is>
      </c>
      <c r="P6" t="inlineStr">
        <is>
          <t>MX-CED. VALLARTA</t>
        </is>
      </c>
      <c r="Q6" t="n">
        <v>20210712</v>
      </c>
      <c r="R6" t="n">
        <v>20291231</v>
      </c>
      <c r="S6" t="n">
        <v>20260601</v>
      </c>
      <c r="T6" t="n">
        <v>20301231</v>
      </c>
      <c r="U6" t="n">
        <v>186.34</v>
      </c>
      <c r="V6" t="inlineStr">
        <is>
          <t>MXN</t>
        </is>
      </c>
      <c r="W6" t="inlineStr">
        <is>
          <t>M3</t>
        </is>
      </c>
      <c r="X6" t="n">
        <v>48</v>
      </c>
      <c r="Y6" t="inlineStr">
        <is>
          <t>MXN</t>
        </is>
      </c>
      <c r="Z6" t="inlineStr">
        <is>
          <t>M3</t>
        </is>
      </c>
      <c r="AA6" t="inlineStr">
        <is>
          <t>D269</t>
        </is>
      </c>
      <c r="AB6" t="inlineStr">
        <is>
          <t>PD0434 PLANTA MAYAN</t>
        </is>
      </c>
      <c r="AC6" t="n">
        <v>56103637</v>
      </c>
      <c r="AD6" t="n">
        <v>6644411540</v>
      </c>
      <c r="AE6" t="n">
        <v>4</v>
      </c>
      <c r="AF6" t="inlineStr">
        <is>
          <t>ENTREGA DIRECTA</t>
        </is>
      </c>
      <c r="AG6" t="n">
        <v>1.458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20260615</v>
      </c>
      <c r="AM6" t="inlineStr">
        <is>
          <t>DW83-900000045-D269-10000377-4</t>
        </is>
      </c>
    </row>
    <row r="7">
      <c r="A7" t="inlineStr">
        <is>
          <t>900003368DW83D55710000377</t>
        </is>
      </c>
      <c r="B7" t="inlineStr">
        <is>
          <t>4600050463-120</t>
        </is>
      </c>
      <c r="C7" t="n">
        <v>4600050463</v>
      </c>
      <c r="D7" t="n">
        <v>120</v>
      </c>
      <c r="E7" t="inlineStr">
        <is>
          <t>MXPO</t>
        </is>
      </c>
      <c r="F7" t="inlineStr">
        <is>
          <t>MXL</t>
        </is>
      </c>
      <c r="G7" t="n">
        <v>900003368</v>
      </c>
      <c r="H7" t="inlineStr">
        <is>
          <t>TC-ED SALDAÑA PORVENIR</t>
        </is>
      </c>
      <c r="I7" t="n">
        <v>5002163</v>
      </c>
      <c r="J7" t="inlineStr">
        <is>
          <t>SALDANA MORONES HERIBERTO</t>
        </is>
      </c>
      <c r="K7" t="inlineStr">
        <is>
          <t>N30</t>
        </is>
      </c>
      <c r="L7" t="inlineStr">
        <is>
          <t>(AP) NAFIN 30 Dias</t>
        </is>
      </c>
      <c r="M7" t="n">
        <v>10000377</v>
      </c>
      <c r="N7" t="inlineStr">
        <is>
          <t>Grava Triturada Basalto 10 mm - 3/8"</t>
        </is>
      </c>
      <c r="O7" t="inlineStr">
        <is>
          <t>DW83</t>
        </is>
      </c>
      <c r="P7" t="inlineStr">
        <is>
          <t>MX-CED. VALLARTA</t>
        </is>
      </c>
      <c r="Q7" t="n">
        <v>20210801</v>
      </c>
      <c r="R7" t="n">
        <v>20291231</v>
      </c>
      <c r="S7" t="n">
        <v>20260601</v>
      </c>
      <c r="T7" t="n">
        <v>20301231</v>
      </c>
      <c r="U7" t="n">
        <v>402.85</v>
      </c>
      <c r="V7" t="inlineStr">
        <is>
          <t>MXN</t>
        </is>
      </c>
      <c r="W7" t="inlineStr">
        <is>
          <t>M3</t>
        </is>
      </c>
      <c r="X7" t="n">
        <v>268.97</v>
      </c>
      <c r="Y7" t="inlineStr">
        <is>
          <t>MXN</t>
        </is>
      </c>
      <c r="Z7" t="inlineStr">
        <is>
          <t>M3</t>
        </is>
      </c>
      <c r="AA7" t="inlineStr">
        <is>
          <t>D557</t>
        </is>
      </c>
      <c r="AB7" t="inlineStr">
        <is>
          <t>PD0432 TRONCAL SAN PANCHO</t>
        </is>
      </c>
      <c r="AC7" t="n">
        <v>56103637</v>
      </c>
      <c r="AD7" t="n">
        <v>6644411540</v>
      </c>
      <c r="AE7" t="n">
        <v>4</v>
      </c>
      <c r="AF7" t="inlineStr">
        <is>
          <t>ENTREGA DIRECTA</t>
        </is>
      </c>
      <c r="AG7" t="n">
        <v>1.458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20260615</v>
      </c>
      <c r="AM7" t="inlineStr">
        <is>
          <t>DW83-900003368-D557-10000377-4</t>
        </is>
      </c>
    </row>
    <row r="8">
      <c r="A8" t="inlineStr">
        <is>
          <t>900004830DW83D38610000719</t>
        </is>
      </c>
      <c r="B8" t="inlineStr">
        <is>
          <t>4600050438-100</t>
        </is>
      </c>
      <c r="C8" t="n">
        <v>4600050438</v>
      </c>
      <c r="D8" t="n">
        <v>100</v>
      </c>
      <c r="E8" t="inlineStr">
        <is>
          <t>MXPO</t>
        </is>
      </c>
      <c r="F8" t="inlineStr">
        <is>
          <t>MXL</t>
        </is>
      </c>
      <c r="G8" t="n">
        <v>900004830</v>
      </c>
      <c r="H8" t="inlineStr">
        <is>
          <t>TC-ED ARMAMPET LAS VARAS</t>
        </is>
      </c>
      <c r="I8" t="n">
        <v>5061801</v>
      </c>
      <c r="J8" t="inlineStr">
        <is>
          <t>ARMAMPET SA DE CV</t>
        </is>
      </c>
      <c r="K8" t="inlineStr">
        <is>
          <t>N30</t>
        </is>
      </c>
      <c r="L8" t="inlineStr">
        <is>
          <t>(AP) NAFIN 30 Dias</t>
        </is>
      </c>
      <c r="M8" t="n">
        <v>10000719</v>
      </c>
      <c r="N8" t="inlineStr">
        <is>
          <t>Arena Clasificada Río Malla 8</t>
        </is>
      </c>
      <c r="O8" t="inlineStr">
        <is>
          <t>DW83</t>
        </is>
      </c>
      <c r="P8" t="inlineStr">
        <is>
          <t>MX-CED. VALLARTA</t>
        </is>
      </c>
      <c r="Q8" t="n">
        <v>20210801</v>
      </c>
      <c r="R8" t="n">
        <v>20291231</v>
      </c>
      <c r="S8" t="n">
        <v>20260601</v>
      </c>
      <c r="T8" t="n">
        <v>20301231</v>
      </c>
      <c r="U8" t="n">
        <v>335.89</v>
      </c>
      <c r="V8" t="inlineStr">
        <is>
          <t>MXN</t>
        </is>
      </c>
      <c r="W8" t="inlineStr">
        <is>
          <t>M3</t>
        </is>
      </c>
      <c r="X8" t="n">
        <v>181.39</v>
      </c>
      <c r="Y8" t="inlineStr">
        <is>
          <t>MXN</t>
        </is>
      </c>
      <c r="Z8" t="inlineStr">
        <is>
          <t>M3</t>
        </is>
      </c>
      <c r="AA8" t="inlineStr">
        <is>
          <t>D386</t>
        </is>
      </c>
      <c r="AB8" t="inlineStr">
        <is>
          <t>PD0563 PUNTA DE MITA</t>
        </is>
      </c>
      <c r="AC8" t="n">
        <v>56103638</v>
      </c>
      <c r="AD8" t="n">
        <v>6644411540</v>
      </c>
      <c r="AE8" t="n">
        <v>4</v>
      </c>
      <c r="AF8" t="inlineStr">
        <is>
          <t>ENTREGA DIRECTA</t>
        </is>
      </c>
      <c r="AG8" t="n">
        <v>1.442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20260615</v>
      </c>
      <c r="AM8" t="inlineStr">
        <is>
          <t>DW83-900004830-D386-10000719-4</t>
        </is>
      </c>
    </row>
    <row r="9">
      <c r="A9" t="inlineStr">
        <is>
          <t>900003368DW83D21510000383</t>
        </is>
      </c>
      <c r="B9" t="inlineStr">
        <is>
          <t>4600050463-40</t>
        </is>
      </c>
      <c r="C9" t="n">
        <v>4600050463</v>
      </c>
      <c r="D9" t="n">
        <v>40</v>
      </c>
      <c r="E9" t="inlineStr">
        <is>
          <t>MXPO</t>
        </is>
      </c>
      <c r="F9" t="inlineStr">
        <is>
          <t>MXL</t>
        </is>
      </c>
      <c r="G9" t="n">
        <v>900003368</v>
      </c>
      <c r="H9" t="inlineStr">
        <is>
          <t>TC-ED SALDAÑA PORVENIR</t>
        </is>
      </c>
      <c r="I9" t="n">
        <v>5002163</v>
      </c>
      <c r="J9" t="inlineStr">
        <is>
          <t>SALDANA MORONES HERIBERTO</t>
        </is>
      </c>
      <c r="K9" t="inlineStr">
        <is>
          <t>N30</t>
        </is>
      </c>
      <c r="L9" t="inlineStr">
        <is>
          <t>(AP) NAFIN 30 Dias</t>
        </is>
      </c>
      <c r="M9" t="n">
        <v>10000383</v>
      </c>
      <c r="N9" t="inlineStr">
        <is>
          <t>Grava Triturada Basalto 40 mm - 1 1/2"</t>
        </is>
      </c>
      <c r="O9" t="inlineStr">
        <is>
          <t>DW83</t>
        </is>
      </c>
      <c r="P9" t="inlineStr">
        <is>
          <t>MX-CED. VALLARTA</t>
        </is>
      </c>
      <c r="Q9" t="n">
        <v>20210801</v>
      </c>
      <c r="R9" t="n">
        <v>20291231</v>
      </c>
      <c r="S9" t="n">
        <v>20260601</v>
      </c>
      <c r="T9" t="n">
        <v>20301231</v>
      </c>
      <c r="U9" t="n">
        <v>274.82</v>
      </c>
      <c r="V9" t="inlineStr">
        <is>
          <t>MXN</t>
        </is>
      </c>
      <c r="W9" t="inlineStr">
        <is>
          <t>M3</t>
        </is>
      </c>
      <c r="X9" t="n">
        <v>75.27</v>
      </c>
      <c r="Y9" t="inlineStr">
        <is>
          <t>MXN</t>
        </is>
      </c>
      <c r="Z9" t="inlineStr">
        <is>
          <t>M3</t>
        </is>
      </c>
      <c r="AA9" t="inlineStr">
        <is>
          <t>D215</t>
        </is>
      </c>
      <c r="AB9" t="inlineStr">
        <is>
          <t>PD0159 PUERTO VALLARTA</t>
        </is>
      </c>
      <c r="AC9" t="n">
        <v>56103637</v>
      </c>
      <c r="AD9" t="n">
        <v>6644411540</v>
      </c>
      <c r="AE9" t="n">
        <v>4</v>
      </c>
      <c r="AF9" t="inlineStr">
        <is>
          <t>ENTREGA DIRECTA</t>
        </is>
      </c>
      <c r="AG9" t="n">
        <v>1.359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20260615</v>
      </c>
      <c r="AM9" t="inlineStr">
        <is>
          <t>DW83-900003368-D215-10000383-4</t>
        </is>
      </c>
    </row>
    <row r="10">
      <c r="A10" t="inlineStr">
        <is>
          <t>900003368DW83D55710192197</t>
        </is>
      </c>
      <c r="B10" t="inlineStr">
        <is>
          <t>4600050463-150</t>
        </is>
      </c>
      <c r="C10" t="n">
        <v>4600050463</v>
      </c>
      <c r="D10" t="n">
        <v>150</v>
      </c>
      <c r="E10" t="inlineStr">
        <is>
          <t>MXPO</t>
        </is>
      </c>
      <c r="F10" t="inlineStr">
        <is>
          <t>MXL</t>
        </is>
      </c>
      <c r="G10" t="n">
        <v>900003368</v>
      </c>
      <c r="H10" t="inlineStr">
        <is>
          <t>TC-ED SALDAÑA PORVENIR</t>
        </is>
      </c>
      <c r="I10" t="n">
        <v>5002163</v>
      </c>
      <c r="J10" t="inlineStr">
        <is>
          <t>SALDANA MORONES HERIBERTO</t>
        </is>
      </c>
      <c r="K10" t="inlineStr">
        <is>
          <t>N30</t>
        </is>
      </c>
      <c r="L10" t="inlineStr">
        <is>
          <t>(AP) NAFIN 30 Dias</t>
        </is>
      </c>
      <c r="M10" t="n">
        <v>10192197</v>
      </c>
      <c r="N10" t="inlineStr">
        <is>
          <t>ARENA CLASIFICADA RIO MALLA 5</t>
        </is>
      </c>
      <c r="O10" t="inlineStr">
        <is>
          <t>DW83</t>
        </is>
      </c>
      <c r="P10" t="inlineStr">
        <is>
          <t>MX-CED. VALLARTA</t>
        </is>
      </c>
      <c r="Q10" t="n">
        <v>20210801</v>
      </c>
      <c r="R10" t="n">
        <v>20291231</v>
      </c>
      <c r="S10" t="n">
        <v>20260601</v>
      </c>
      <c r="T10" t="n">
        <v>20301231</v>
      </c>
      <c r="U10" t="n">
        <v>352.5</v>
      </c>
      <c r="V10" t="inlineStr">
        <is>
          <t>MXN</t>
        </is>
      </c>
      <c r="W10" t="inlineStr">
        <is>
          <t>M3</t>
        </is>
      </c>
      <c r="X10" t="n">
        <v>198</v>
      </c>
      <c r="Y10" t="inlineStr">
        <is>
          <t>MXN</t>
        </is>
      </c>
      <c r="Z10" t="inlineStr">
        <is>
          <t>M3</t>
        </is>
      </c>
      <c r="AA10" t="inlineStr">
        <is>
          <t>D557</t>
        </is>
      </c>
      <c r="AB10" t="inlineStr">
        <is>
          <t>PD0432 TRONCAL SAN PANCHO</t>
        </is>
      </c>
      <c r="AC10" t="n">
        <v>56103638</v>
      </c>
      <c r="AD10" t="n">
        <v>6644411540</v>
      </c>
      <c r="AE10" t="n">
        <v>4</v>
      </c>
      <c r="AF10" t="inlineStr">
        <is>
          <t>ENTREGA DIRECTA</t>
        </is>
      </c>
      <c r="AG10" t="n">
        <v>1.443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20260615</v>
      </c>
      <c r="AM10" t="inlineStr">
        <is>
          <t>DW83-900003368-D557-10192197-4</t>
        </is>
      </c>
    </row>
    <row r="11">
      <c r="A11" t="inlineStr">
        <is>
          <t>900003368DW83D21510000379</t>
        </is>
      </c>
      <c r="B11" t="inlineStr">
        <is>
          <t>4600050463-30</t>
        </is>
      </c>
      <c r="C11" t="n">
        <v>4600050463</v>
      </c>
      <c r="D11" t="n">
        <v>30</v>
      </c>
      <c r="E11" t="inlineStr">
        <is>
          <t>MXPO</t>
        </is>
      </c>
      <c r="F11" t="inlineStr">
        <is>
          <t>MXL</t>
        </is>
      </c>
      <c r="G11" t="n">
        <v>900003368</v>
      </c>
      <c r="H11" t="inlineStr">
        <is>
          <t>TC-ED SALDAÑA PORVENIR</t>
        </is>
      </c>
      <c r="I11" t="n">
        <v>5002163</v>
      </c>
      <c r="J11" t="inlineStr">
        <is>
          <t>SALDANA MORONES HERIBERTO</t>
        </is>
      </c>
      <c r="K11" t="inlineStr">
        <is>
          <t>N30</t>
        </is>
      </c>
      <c r="L11" t="inlineStr">
        <is>
          <t>(AP) NAFIN 30 Dias</t>
        </is>
      </c>
      <c r="M11" t="n">
        <v>10000379</v>
      </c>
      <c r="N11" t="inlineStr">
        <is>
          <t>Grava Triturada Basalto 20 mm - 3/4"</t>
        </is>
      </c>
      <c r="O11" t="inlineStr">
        <is>
          <t>DW83</t>
        </is>
      </c>
      <c r="P11" t="inlineStr">
        <is>
          <t>MX-CED. VALLARTA</t>
        </is>
      </c>
      <c r="Q11" t="n">
        <v>20210801</v>
      </c>
      <c r="R11" t="n">
        <v>20291231</v>
      </c>
      <c r="S11" t="n">
        <v>20260601</v>
      </c>
      <c r="T11" t="n">
        <v>20301231</v>
      </c>
      <c r="U11" t="n">
        <v>274.82</v>
      </c>
      <c r="V11" t="inlineStr">
        <is>
          <t>MXN</t>
        </is>
      </c>
      <c r="W11" t="inlineStr">
        <is>
          <t>M3</t>
        </is>
      </c>
      <c r="X11" t="n">
        <v>75.27</v>
      </c>
      <c r="Y11" t="inlineStr">
        <is>
          <t>MXN</t>
        </is>
      </c>
      <c r="Z11" t="inlineStr">
        <is>
          <t>M3</t>
        </is>
      </c>
      <c r="AA11" t="inlineStr">
        <is>
          <t>D215</t>
        </is>
      </c>
      <c r="AB11" t="inlineStr">
        <is>
          <t>PD0159 PUERTO VALLARTA</t>
        </is>
      </c>
      <c r="AC11" t="n">
        <v>56103637</v>
      </c>
      <c r="AD11" t="n">
        <v>6644411540</v>
      </c>
      <c r="AE11" t="n">
        <v>4</v>
      </c>
      <c r="AF11" t="inlineStr">
        <is>
          <t>ENTREGA DIRECTA</t>
        </is>
      </c>
      <c r="AG11" t="n">
        <v>1.43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20260615</v>
      </c>
      <c r="AM11" t="inlineStr">
        <is>
          <t>DW83-900003368-D215-10000379-4</t>
        </is>
      </c>
    </row>
    <row r="12">
      <c r="A12" t="inlineStr">
        <is>
          <t>900003368DW83D55710000379</t>
        </is>
      </c>
      <c r="B12" t="inlineStr">
        <is>
          <t>4600050463-130</t>
        </is>
      </c>
      <c r="C12" t="n">
        <v>4600050463</v>
      </c>
      <c r="D12" t="n">
        <v>130</v>
      </c>
      <c r="E12" t="inlineStr">
        <is>
          <t>MXPO</t>
        </is>
      </c>
      <c r="F12" t="inlineStr">
        <is>
          <t>MXL</t>
        </is>
      </c>
      <c r="G12" t="n">
        <v>900003368</v>
      </c>
      <c r="H12" t="inlineStr">
        <is>
          <t>TC-ED SALDAÑA PORVENIR</t>
        </is>
      </c>
      <c r="I12" t="n">
        <v>5002163</v>
      </c>
      <c r="J12" t="inlineStr">
        <is>
          <t>SALDANA MORONES HERIBERTO</t>
        </is>
      </c>
      <c r="K12" t="inlineStr">
        <is>
          <t>N30</t>
        </is>
      </c>
      <c r="L12" t="inlineStr">
        <is>
          <t>(AP) NAFIN 30 Dias</t>
        </is>
      </c>
      <c r="M12" t="n">
        <v>10000379</v>
      </c>
      <c r="N12" t="inlineStr">
        <is>
          <t>Grava Triturada Basalto 20 mm - 3/4"</t>
        </is>
      </c>
      <c r="O12" t="inlineStr">
        <is>
          <t>DW83</t>
        </is>
      </c>
      <c r="P12" t="inlineStr">
        <is>
          <t>MX-CED. VALLARTA</t>
        </is>
      </c>
      <c r="Q12" t="n">
        <v>20210801</v>
      </c>
      <c r="R12" t="n">
        <v>20291231</v>
      </c>
      <c r="S12" t="n">
        <v>20260601</v>
      </c>
      <c r="T12" t="n">
        <v>20301231</v>
      </c>
      <c r="U12" t="n">
        <v>424.44</v>
      </c>
      <c r="V12" t="inlineStr">
        <is>
          <t>MXN</t>
        </is>
      </c>
      <c r="W12" t="inlineStr">
        <is>
          <t>M3</t>
        </is>
      </c>
      <c r="X12" t="n">
        <v>224.89</v>
      </c>
      <c r="Y12" t="inlineStr">
        <is>
          <t>MXN</t>
        </is>
      </c>
      <c r="Z12" t="inlineStr">
        <is>
          <t>M3</t>
        </is>
      </c>
      <c r="AA12" t="inlineStr">
        <is>
          <t>D557</t>
        </is>
      </c>
      <c r="AB12" t="inlineStr">
        <is>
          <t>PD0432 TRONCAL SAN PANCHO</t>
        </is>
      </c>
      <c r="AC12" t="n">
        <v>56103637</v>
      </c>
      <c r="AD12" t="n">
        <v>6644411540</v>
      </c>
      <c r="AE12" t="n">
        <v>4</v>
      </c>
      <c r="AF12" t="inlineStr">
        <is>
          <t>ENTREGA DIRECTA</t>
        </is>
      </c>
      <c r="AG12" t="n">
        <v>1.43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20260615</v>
      </c>
      <c r="AM12" t="inlineStr">
        <is>
          <t>DW83-900003368-D557-10000379-4</t>
        </is>
      </c>
    </row>
    <row r="13">
      <c r="A13" t="inlineStr">
        <is>
          <t>900000045DW83D26910000379</t>
        </is>
      </c>
      <c r="B13" t="inlineStr">
        <is>
          <t>4600050401-30</t>
        </is>
      </c>
      <c r="C13" t="n">
        <v>4600050401</v>
      </c>
      <c r="D13" t="n">
        <v>30</v>
      </c>
      <c r="E13" t="inlineStr">
        <is>
          <t>MXPO</t>
        </is>
      </c>
      <c r="F13" t="inlineStr">
        <is>
          <t>MXL</t>
        </is>
      </c>
      <c r="G13" t="n">
        <v>900000045</v>
      </c>
      <c r="H13" t="inlineStr">
        <is>
          <t>TC-ED SALDAÑA MORONES</t>
        </is>
      </c>
      <c r="I13" t="n">
        <v>5002163</v>
      </c>
      <c r="J13" t="inlineStr">
        <is>
          <t>SALDANA MORONES HERIBERTO</t>
        </is>
      </c>
      <c r="K13" t="inlineStr">
        <is>
          <t>N30</t>
        </is>
      </c>
      <c r="L13" t="inlineStr">
        <is>
          <t>(AP) NAFIN 30 Dias</t>
        </is>
      </c>
      <c r="M13" t="n">
        <v>10000379</v>
      </c>
      <c r="N13" t="inlineStr">
        <is>
          <t>Grava Triturada Basalto 20 mm - 3/4"</t>
        </is>
      </c>
      <c r="O13" t="inlineStr">
        <is>
          <t>DW83</t>
        </is>
      </c>
      <c r="P13" t="inlineStr">
        <is>
          <t>MX-CED. VALLARTA</t>
        </is>
      </c>
      <c r="Q13" t="n">
        <v>20210712</v>
      </c>
      <c r="R13" t="n">
        <v>20291231</v>
      </c>
      <c r="S13" t="n">
        <v>20260601</v>
      </c>
      <c r="T13" t="n">
        <v>20301231</v>
      </c>
      <c r="U13" t="n">
        <v>254.01</v>
      </c>
      <c r="V13" t="inlineStr">
        <is>
          <t>MXN</t>
        </is>
      </c>
      <c r="W13" t="inlineStr">
        <is>
          <t>M3</t>
        </is>
      </c>
      <c r="X13" t="n">
        <v>47.84</v>
      </c>
      <c r="Y13" t="inlineStr">
        <is>
          <t>MXN</t>
        </is>
      </c>
      <c r="Z13" t="inlineStr">
        <is>
          <t>M3</t>
        </is>
      </c>
      <c r="AA13" t="inlineStr">
        <is>
          <t>D269</t>
        </is>
      </c>
      <c r="AB13" t="inlineStr">
        <is>
          <t>PD0434 PLANTA MAYAN</t>
        </is>
      </c>
      <c r="AC13" t="n">
        <v>56103637</v>
      </c>
      <c r="AD13" t="n">
        <v>6644411540</v>
      </c>
      <c r="AE13" t="n">
        <v>4</v>
      </c>
      <c r="AF13" t="inlineStr">
        <is>
          <t>ENTREGA DIRECTA</t>
        </is>
      </c>
      <c r="AG13" t="n">
        <v>1.43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20260615</v>
      </c>
      <c r="AM13" t="inlineStr">
        <is>
          <t>DW83-900000045-D269-10000379-4</t>
        </is>
      </c>
    </row>
    <row r="14">
      <c r="A14" t="inlineStr">
        <is>
          <t>900004830DW83D38610000383</t>
        </is>
      </c>
      <c r="B14" t="inlineStr">
        <is>
          <t>4600050438-120</t>
        </is>
      </c>
      <c r="C14" t="n">
        <v>4600050438</v>
      </c>
      <c r="D14" t="n">
        <v>120</v>
      </c>
      <c r="E14" t="inlineStr">
        <is>
          <t>MXPO</t>
        </is>
      </c>
      <c r="F14" t="inlineStr">
        <is>
          <t>MXL</t>
        </is>
      </c>
      <c r="G14" t="n">
        <v>900004830</v>
      </c>
      <c r="H14" t="inlineStr">
        <is>
          <t>TC-ED ARMAMPET LAS VARAS</t>
        </is>
      </c>
      <c r="I14" t="n">
        <v>5061801</v>
      </c>
      <c r="J14" t="inlineStr">
        <is>
          <t>ARMAMPET SA DE CV</t>
        </is>
      </c>
      <c r="K14" t="inlineStr">
        <is>
          <t>N30</t>
        </is>
      </c>
      <c r="L14" t="inlineStr">
        <is>
          <t>(AP) NAFIN 30 Dias</t>
        </is>
      </c>
      <c r="M14" t="n">
        <v>10000383</v>
      </c>
      <c r="N14" t="inlineStr">
        <is>
          <t>Grava Triturada Basalto 40 mm - 1 1/2"</t>
        </is>
      </c>
      <c r="O14" t="inlineStr">
        <is>
          <t>DW83</t>
        </is>
      </c>
      <c r="P14" t="inlineStr">
        <is>
          <t>MX-CED. VALLARTA</t>
        </is>
      </c>
      <c r="Q14" t="n">
        <v>20210801</v>
      </c>
      <c r="R14" t="n">
        <v>20291231</v>
      </c>
      <c r="S14" t="n">
        <v>20260601</v>
      </c>
      <c r="T14" t="n">
        <v>20301231</v>
      </c>
      <c r="U14" t="n">
        <v>367.93</v>
      </c>
      <c r="V14" t="inlineStr">
        <is>
          <t>MXN</t>
        </is>
      </c>
      <c r="W14" t="inlineStr">
        <is>
          <t>M3</t>
        </is>
      </c>
      <c r="X14" t="n">
        <v>168.37</v>
      </c>
      <c r="Y14" t="inlineStr">
        <is>
          <t>MXN</t>
        </is>
      </c>
      <c r="Z14" t="inlineStr">
        <is>
          <t>M3</t>
        </is>
      </c>
      <c r="AA14" t="inlineStr">
        <is>
          <t>D386</t>
        </is>
      </c>
      <c r="AB14" t="inlineStr">
        <is>
          <t>PD0563 PUNTA DE MITA</t>
        </is>
      </c>
      <c r="AC14" t="n">
        <v>56103637</v>
      </c>
      <c r="AD14" t="n">
        <v>6644411540</v>
      </c>
      <c r="AE14" t="n">
        <v>4</v>
      </c>
      <c r="AF14" t="inlineStr">
        <is>
          <t>ENTREGA DIRECTA</t>
        </is>
      </c>
      <c r="AG14" t="n">
        <v>1.359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20260615</v>
      </c>
      <c r="AM14" t="inlineStr">
        <is>
          <t>DW83-900004830-D386-10000383-4</t>
        </is>
      </c>
    </row>
    <row r="15">
      <c r="A15" t="inlineStr">
        <is>
          <t>900004830DW83D38610000377</t>
        </is>
      </c>
      <c r="B15" t="inlineStr">
        <is>
          <t>4600050438-110</t>
        </is>
      </c>
      <c r="C15" t="n">
        <v>4600050438</v>
      </c>
      <c r="D15" t="n">
        <v>110</v>
      </c>
      <c r="E15" t="inlineStr">
        <is>
          <t>MXPO</t>
        </is>
      </c>
      <c r="F15" t="inlineStr">
        <is>
          <t>MXL</t>
        </is>
      </c>
      <c r="G15" t="n">
        <v>900004830</v>
      </c>
      <c r="H15" t="inlineStr">
        <is>
          <t>TC-ED ARMAMPET LAS VARAS</t>
        </is>
      </c>
      <c r="I15" t="n">
        <v>5061801</v>
      </c>
      <c r="J15" t="inlineStr">
        <is>
          <t>ARMAMPET SA DE CV</t>
        </is>
      </c>
      <c r="K15" t="inlineStr">
        <is>
          <t>N30</t>
        </is>
      </c>
      <c r="L15" t="inlineStr">
        <is>
          <t>(AP) NAFIN 30 Dias</t>
        </is>
      </c>
      <c r="M15" t="n">
        <v>10000377</v>
      </c>
      <c r="N15" t="inlineStr">
        <is>
          <t>Grava Triturada Basalto 10 mm - 3/8"</t>
        </is>
      </c>
      <c r="O15" t="inlineStr">
        <is>
          <t>DW83</t>
        </is>
      </c>
      <c r="P15" t="inlineStr">
        <is>
          <t>MX-CED. VALLARTA</t>
        </is>
      </c>
      <c r="Q15" t="n">
        <v>20210801</v>
      </c>
      <c r="R15" t="n">
        <v>20291231</v>
      </c>
      <c r="S15" t="n">
        <v>20260601</v>
      </c>
      <c r="T15" t="n">
        <v>20301231</v>
      </c>
      <c r="U15" t="n">
        <v>334.48</v>
      </c>
      <c r="V15" t="inlineStr">
        <is>
          <t>MXN</t>
        </is>
      </c>
      <c r="W15" t="inlineStr">
        <is>
          <t>M3</t>
        </is>
      </c>
      <c r="X15" t="n">
        <v>170.62</v>
      </c>
      <c r="Y15" t="inlineStr">
        <is>
          <t>MXN</t>
        </is>
      </c>
      <c r="Z15" t="inlineStr">
        <is>
          <t>M3</t>
        </is>
      </c>
      <c r="AA15" t="inlineStr">
        <is>
          <t>D386</t>
        </is>
      </c>
      <c r="AB15" t="inlineStr">
        <is>
          <t>PD0563 PUNTA DE MITA</t>
        </is>
      </c>
      <c r="AC15" t="n">
        <v>56103637</v>
      </c>
      <c r="AD15" t="n">
        <v>6644411540</v>
      </c>
      <c r="AE15" t="n">
        <v>4</v>
      </c>
      <c r="AF15" t="inlineStr">
        <is>
          <t>ENTREGA DIRECTA</t>
        </is>
      </c>
      <c r="AG15" t="n">
        <v>1.458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20260615</v>
      </c>
      <c r="AM15" t="inlineStr">
        <is>
          <t>DW83-900004830-D386-10000377-4</t>
        </is>
      </c>
    </row>
    <row r="16">
      <c r="A16" t="inlineStr">
        <is>
          <t>900004830DW83D03310000383</t>
        </is>
      </c>
      <c r="B16" t="inlineStr">
        <is>
          <t>4600050438-20</t>
        </is>
      </c>
      <c r="C16" t="n">
        <v>4600050438</v>
      </c>
      <c r="D16" t="n">
        <v>20</v>
      </c>
      <c r="E16" t="inlineStr">
        <is>
          <t>MXPO</t>
        </is>
      </c>
      <c r="F16" t="inlineStr">
        <is>
          <t>MXL</t>
        </is>
      </c>
      <c r="G16" t="n">
        <v>900004830</v>
      </c>
      <c r="H16" t="inlineStr">
        <is>
          <t>TC-ED ARMAMPET LAS VARAS</t>
        </is>
      </c>
      <c r="I16" t="n">
        <v>5061801</v>
      </c>
      <c r="J16" t="inlineStr">
        <is>
          <t>ARMAMPET SA DE CV</t>
        </is>
      </c>
      <c r="K16" t="inlineStr">
        <is>
          <t>N30</t>
        </is>
      </c>
      <c r="L16" t="inlineStr">
        <is>
          <t>(AP) NAFIN 30 Dias</t>
        </is>
      </c>
      <c r="M16" t="n">
        <v>10000383</v>
      </c>
      <c r="N16" t="inlineStr">
        <is>
          <t>Grava Triturada Basalto 40 mm - 1 1/2"</t>
        </is>
      </c>
      <c r="O16" t="inlineStr">
        <is>
          <t>DW83</t>
        </is>
      </c>
      <c r="P16" t="inlineStr">
        <is>
          <t>MX-CED. VALLARTA</t>
        </is>
      </c>
      <c r="Q16" t="n">
        <v>20210801</v>
      </c>
      <c r="R16" t="n">
        <v>20291231</v>
      </c>
      <c r="S16" t="n">
        <v>20260601</v>
      </c>
      <c r="T16" t="n">
        <v>20301231</v>
      </c>
      <c r="U16" t="n">
        <v>303.01</v>
      </c>
      <c r="V16" t="inlineStr">
        <is>
          <t>MXN</t>
        </is>
      </c>
      <c r="W16" t="inlineStr">
        <is>
          <t>M3</t>
        </is>
      </c>
      <c r="X16" t="n">
        <v>103.46</v>
      </c>
      <c r="Y16" t="inlineStr">
        <is>
          <t>MXN</t>
        </is>
      </c>
      <c r="Z16" t="inlineStr">
        <is>
          <t>M3</t>
        </is>
      </c>
      <c r="AA16" t="inlineStr">
        <is>
          <t>D033</t>
        </is>
      </c>
      <c r="AB16" t="inlineStr">
        <is>
          <t>PD0446 TUNELES GUAMUCHIL</t>
        </is>
      </c>
      <c r="AC16" t="n">
        <v>56103637</v>
      </c>
      <c r="AD16" t="n">
        <v>6644411540</v>
      </c>
      <c r="AE16" t="n">
        <v>4</v>
      </c>
      <c r="AF16" t="inlineStr">
        <is>
          <t>ENTREGA DIRECTA</t>
        </is>
      </c>
      <c r="AG16" t="n">
        <v>1.359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20260615</v>
      </c>
      <c r="AM16" t="inlineStr">
        <is>
          <t>DW83-900004830-D033-10000383-4</t>
        </is>
      </c>
    </row>
    <row r="17">
      <c r="A17" t="inlineStr">
        <is>
          <t>900004830DW83D38610192197</t>
        </is>
      </c>
      <c r="B17" t="inlineStr">
        <is>
          <t>4600050438-160</t>
        </is>
      </c>
      <c r="C17" t="n">
        <v>4600050438</v>
      </c>
      <c r="D17" t="n">
        <v>160</v>
      </c>
      <c r="E17" t="inlineStr">
        <is>
          <t>MXPO</t>
        </is>
      </c>
      <c r="F17" t="inlineStr">
        <is>
          <t>MXL</t>
        </is>
      </c>
      <c r="G17" t="n">
        <v>900004830</v>
      </c>
      <c r="H17" t="inlineStr">
        <is>
          <t>TC-ED ARMAMPET LAS VARAS</t>
        </is>
      </c>
      <c r="I17" t="n">
        <v>5061801</v>
      </c>
      <c r="J17" t="inlineStr">
        <is>
          <t>ARMAMPET SA DE CV</t>
        </is>
      </c>
      <c r="K17" t="inlineStr">
        <is>
          <t>N30</t>
        </is>
      </c>
      <c r="L17" t="inlineStr">
        <is>
          <t>(AP) NAFIN 30 Dias</t>
        </is>
      </c>
      <c r="M17" t="n">
        <v>10192197</v>
      </c>
      <c r="N17" t="inlineStr">
        <is>
          <t>ARENA CLASIFICADA RIO MALLA 5</t>
        </is>
      </c>
      <c r="O17" t="inlineStr">
        <is>
          <t>DW83</t>
        </is>
      </c>
      <c r="P17" t="inlineStr">
        <is>
          <t>MX-CED. VALLARTA</t>
        </is>
      </c>
      <c r="Q17" t="n">
        <v>20210801</v>
      </c>
      <c r="R17" t="n">
        <v>20291231</v>
      </c>
      <c r="S17" t="n">
        <v>20260601</v>
      </c>
      <c r="T17" t="n">
        <v>20301231</v>
      </c>
      <c r="U17" t="n">
        <v>282.49</v>
      </c>
      <c r="V17" t="inlineStr">
        <is>
          <t>MXN</t>
        </is>
      </c>
      <c r="W17" t="inlineStr">
        <is>
          <t>M3</t>
        </is>
      </c>
      <c r="X17" t="n">
        <v>127.99</v>
      </c>
      <c r="Y17" t="inlineStr">
        <is>
          <t>MXN</t>
        </is>
      </c>
      <c r="Z17" t="inlineStr">
        <is>
          <t>M3</t>
        </is>
      </c>
      <c r="AA17" t="inlineStr">
        <is>
          <t>D386</t>
        </is>
      </c>
      <c r="AB17" t="inlineStr">
        <is>
          <t>PD0563 PUNTA DE MITA</t>
        </is>
      </c>
      <c r="AC17" t="n">
        <v>56103638</v>
      </c>
      <c r="AD17" t="n">
        <v>6644411540</v>
      </c>
      <c r="AE17" t="n">
        <v>4</v>
      </c>
      <c r="AF17" t="inlineStr">
        <is>
          <t>ENTREGA DIRECTA</t>
        </is>
      </c>
      <c r="AG17" t="n">
        <v>1.443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20260615</v>
      </c>
      <c r="AM17" t="inlineStr">
        <is>
          <t>DW83-900004830-D386-10192197-4</t>
        </is>
      </c>
    </row>
    <row r="18">
      <c r="A18" t="inlineStr">
        <is>
          <t>900000045DW83D26910000383</t>
        </is>
      </c>
      <c r="B18" t="inlineStr">
        <is>
          <t>4600050401-20</t>
        </is>
      </c>
      <c r="C18" t="n">
        <v>4600050401</v>
      </c>
      <c r="D18" t="n">
        <v>20</v>
      </c>
      <c r="E18" t="inlineStr">
        <is>
          <t>MXPO</t>
        </is>
      </c>
      <c r="F18" t="inlineStr">
        <is>
          <t>MXL</t>
        </is>
      </c>
      <c r="G18" t="n">
        <v>900000045</v>
      </c>
      <c r="H18" t="inlineStr">
        <is>
          <t>TC-ED SALDAÑA MORONES</t>
        </is>
      </c>
      <c r="I18" t="n">
        <v>5002163</v>
      </c>
      <c r="J18" t="inlineStr">
        <is>
          <t>SALDANA MORONES HERIBERTO</t>
        </is>
      </c>
      <c r="K18" t="inlineStr">
        <is>
          <t>N30</t>
        </is>
      </c>
      <c r="L18" t="inlineStr">
        <is>
          <t>(AP) NAFIN 30 Dias</t>
        </is>
      </c>
      <c r="M18" t="n">
        <v>10000383</v>
      </c>
      <c r="N18" t="inlineStr">
        <is>
          <t>Grava Triturada Basalto 40 mm - 1 1/2"</t>
        </is>
      </c>
      <c r="O18" t="inlineStr">
        <is>
          <t>DW83</t>
        </is>
      </c>
      <c r="P18" t="inlineStr">
        <is>
          <t>MX-CED. VALLARTA</t>
        </is>
      </c>
      <c r="Q18" t="n">
        <v>20210712</v>
      </c>
      <c r="R18" t="n">
        <v>20291231</v>
      </c>
      <c r="S18" t="n">
        <v>20260601</v>
      </c>
      <c r="T18" t="n">
        <v>20301231</v>
      </c>
      <c r="U18" t="n">
        <v>254.01</v>
      </c>
      <c r="V18" t="inlineStr">
        <is>
          <t>MXN</t>
        </is>
      </c>
      <c r="W18" t="inlineStr">
        <is>
          <t>M3</t>
        </is>
      </c>
      <c r="X18" t="n">
        <v>47.84</v>
      </c>
      <c r="Y18" t="inlineStr">
        <is>
          <t>MXN</t>
        </is>
      </c>
      <c r="Z18" t="inlineStr">
        <is>
          <t>M3</t>
        </is>
      </c>
      <c r="AA18" t="inlineStr">
        <is>
          <t>D269</t>
        </is>
      </c>
      <c r="AB18" t="inlineStr">
        <is>
          <t>PD0434 PLANTA MAYAN</t>
        </is>
      </c>
      <c r="AC18" t="n">
        <v>56103637</v>
      </c>
      <c r="AD18" t="n">
        <v>6644411540</v>
      </c>
      <c r="AE18" t="n">
        <v>4</v>
      </c>
      <c r="AF18" t="inlineStr">
        <is>
          <t>ENTREGA DIRECTA</t>
        </is>
      </c>
      <c r="AG18" t="n">
        <v>1.359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20260615</v>
      </c>
      <c r="AM18" t="inlineStr">
        <is>
          <t>DW83-900000045-D269-10000383-4</t>
        </is>
      </c>
    </row>
    <row r="19">
      <c r="A19" t="inlineStr">
        <is>
          <t>900003368DW83D55710000383</t>
        </is>
      </c>
      <c r="B19" t="inlineStr">
        <is>
          <t>4600050463-140</t>
        </is>
      </c>
      <c r="C19" t="n">
        <v>4600050463</v>
      </c>
      <c r="D19" t="n">
        <v>140</v>
      </c>
      <c r="E19" t="inlineStr">
        <is>
          <t>MXPO</t>
        </is>
      </c>
      <c r="F19" t="inlineStr">
        <is>
          <t>MXL</t>
        </is>
      </c>
      <c r="G19" t="n">
        <v>900003368</v>
      </c>
      <c r="H19" t="inlineStr">
        <is>
          <t>TC-ED SALDAÑA PORVENIR</t>
        </is>
      </c>
      <c r="I19" t="n">
        <v>5002163</v>
      </c>
      <c r="J19" t="inlineStr">
        <is>
          <t>SALDANA MORONES HERIBERTO</t>
        </is>
      </c>
      <c r="K19" t="inlineStr">
        <is>
          <t>N30</t>
        </is>
      </c>
      <c r="L19" t="inlineStr">
        <is>
          <t>(AP) NAFIN 30 Dias</t>
        </is>
      </c>
      <c r="M19" t="n">
        <v>10000383</v>
      </c>
      <c r="N19" t="inlineStr">
        <is>
          <t>Grava Triturada Basalto 40 mm - 1 1/2"</t>
        </is>
      </c>
      <c r="O19" t="inlineStr">
        <is>
          <t>DW83</t>
        </is>
      </c>
      <c r="P19" t="inlineStr">
        <is>
          <t>MX-CED. VALLARTA</t>
        </is>
      </c>
      <c r="Q19" t="n">
        <v>20210801</v>
      </c>
      <c r="R19" t="n">
        <v>20291231</v>
      </c>
      <c r="S19" t="n">
        <v>20260601</v>
      </c>
      <c r="T19" t="n">
        <v>20301231</v>
      </c>
      <c r="U19" t="n">
        <v>424.44</v>
      </c>
      <c r="V19" t="inlineStr">
        <is>
          <t>MXN</t>
        </is>
      </c>
      <c r="W19" t="inlineStr">
        <is>
          <t>M3</t>
        </is>
      </c>
      <c r="X19" t="n">
        <v>224.89</v>
      </c>
      <c r="Y19" t="inlineStr">
        <is>
          <t>MXN</t>
        </is>
      </c>
      <c r="Z19" t="inlineStr">
        <is>
          <t>M3</t>
        </is>
      </c>
      <c r="AA19" t="inlineStr">
        <is>
          <t>D557</t>
        </is>
      </c>
      <c r="AB19" t="inlineStr">
        <is>
          <t>PD0432 TRONCAL SAN PANCHO</t>
        </is>
      </c>
      <c r="AC19" t="n">
        <v>56103637</v>
      </c>
      <c r="AD19" t="n">
        <v>6644411540</v>
      </c>
      <c r="AE19" t="n">
        <v>4</v>
      </c>
      <c r="AF19" t="inlineStr">
        <is>
          <t>ENTREGA DIRECTA</t>
        </is>
      </c>
      <c r="AG19" t="n">
        <v>1.359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20260615</v>
      </c>
      <c r="AM19" t="inlineStr">
        <is>
          <t>DW83-900003368-D557-10000383-4</t>
        </is>
      </c>
    </row>
    <row r="20">
      <c r="A20" t="inlineStr">
        <is>
          <t>900003368DW83D55710000719</t>
        </is>
      </c>
      <c r="B20" t="inlineStr">
        <is>
          <t>4600050463-100</t>
        </is>
      </c>
      <c r="C20" t="n">
        <v>4600050463</v>
      </c>
      <c r="D20" t="n">
        <v>100</v>
      </c>
      <c r="E20" t="inlineStr">
        <is>
          <t>MXPO</t>
        </is>
      </c>
      <c r="F20" t="inlineStr">
        <is>
          <t>MXL</t>
        </is>
      </c>
      <c r="G20" t="n">
        <v>900003368</v>
      </c>
      <c r="H20" t="inlineStr">
        <is>
          <t>TC-ED SALDAÑA PORVENIR</t>
        </is>
      </c>
      <c r="I20" t="n">
        <v>5002163</v>
      </c>
      <c r="J20" t="inlineStr">
        <is>
          <t>SALDANA MORONES HERIBERTO</t>
        </is>
      </c>
      <c r="K20" t="inlineStr">
        <is>
          <t>N30</t>
        </is>
      </c>
      <c r="L20" t="inlineStr">
        <is>
          <t>(AP) NAFIN 30 Dias</t>
        </is>
      </c>
      <c r="M20" t="n">
        <v>10000719</v>
      </c>
      <c r="N20" t="inlineStr">
        <is>
          <t>Arena Clasificada Río Malla 8</t>
        </is>
      </c>
      <c r="O20" t="inlineStr">
        <is>
          <t>DW83</t>
        </is>
      </c>
      <c r="P20" t="inlineStr">
        <is>
          <t>MX-CED. VALLARTA</t>
        </is>
      </c>
      <c r="Q20" t="n">
        <v>20210801</v>
      </c>
      <c r="R20" t="n">
        <v>20291231</v>
      </c>
      <c r="S20" t="n">
        <v>20260601</v>
      </c>
      <c r="T20" t="n">
        <v>20301231</v>
      </c>
      <c r="U20" t="n">
        <v>431.63</v>
      </c>
      <c r="V20" t="inlineStr">
        <is>
          <t>MXN</t>
        </is>
      </c>
      <c r="W20" t="inlineStr">
        <is>
          <t>M3</t>
        </is>
      </c>
      <c r="X20" t="n">
        <v>277.14</v>
      </c>
      <c r="Y20" t="inlineStr">
        <is>
          <t>MXN</t>
        </is>
      </c>
      <c r="Z20" t="inlineStr">
        <is>
          <t>M3</t>
        </is>
      </c>
      <c r="AA20" t="inlineStr">
        <is>
          <t>D557</t>
        </is>
      </c>
      <c r="AB20" t="inlineStr">
        <is>
          <t>PD0432 TRONCAL SAN PANCHO</t>
        </is>
      </c>
      <c r="AC20" t="n">
        <v>56103638</v>
      </c>
      <c r="AD20" t="n">
        <v>6644411540</v>
      </c>
      <c r="AE20" t="n">
        <v>4</v>
      </c>
      <c r="AF20" t="inlineStr">
        <is>
          <t>ENTREGA DIRECTA</t>
        </is>
      </c>
      <c r="AG20" t="n">
        <v>1.442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20260615</v>
      </c>
      <c r="AM20" t="inlineStr">
        <is>
          <t>DW83-900003368-D557-10000719-4</t>
        </is>
      </c>
    </row>
    <row r="21">
      <c r="A21" t="inlineStr">
        <is>
          <t>900000434DW8310000320</t>
        </is>
      </c>
      <c r="B21" t="inlineStr">
        <is>
          <t>4600050409-40</t>
        </is>
      </c>
      <c r="C21" t="n">
        <v>4600050409</v>
      </c>
      <c r="D21" t="n">
        <v>40</v>
      </c>
      <c r="E21" t="inlineStr">
        <is>
          <t>MXPO</t>
        </is>
      </c>
      <c r="F21" t="inlineStr">
        <is>
          <t>MXL</t>
        </is>
      </c>
      <c r="G21" t="n">
        <v>900000434</v>
      </c>
      <c r="H21" t="inlineStr">
        <is>
          <t>TC-SALDAÑA SANTA FE</t>
        </is>
      </c>
      <c r="I21" t="n">
        <v>5002163</v>
      </c>
      <c r="J21" t="inlineStr">
        <is>
          <t>SALDANA MORONES HERIBERTO</t>
        </is>
      </c>
      <c r="K21" t="inlineStr">
        <is>
          <t>N30</t>
        </is>
      </c>
      <c r="L21" t="inlineStr">
        <is>
          <t>(AP) NAFIN 30 Dias</t>
        </is>
      </c>
      <c r="M21" t="n">
        <v>10000320</v>
      </c>
      <c r="N21" t="inlineStr">
        <is>
          <t>Arena Triturada Caliza Malla 4</t>
        </is>
      </c>
      <c r="O21" t="inlineStr">
        <is>
          <t>DW83</t>
        </is>
      </c>
      <c r="P21" t="inlineStr">
        <is>
          <t>MX-CED. VALLARTA</t>
        </is>
      </c>
      <c r="Q21" t="n">
        <v>20210712</v>
      </c>
      <c r="R21" t="n">
        <v>20291231</v>
      </c>
      <c r="S21" t="n">
        <v>20260301</v>
      </c>
      <c r="T21" t="n">
        <v>20301231</v>
      </c>
      <c r="U21" t="n">
        <v>132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56103638</v>
      </c>
      <c r="AD21" t="n">
        <v>6644411540</v>
      </c>
      <c r="AE21" t="n">
        <v>1</v>
      </c>
      <c r="AF21" t="inlineStr">
        <is>
          <t>ENTREGADO</t>
        </is>
      </c>
      <c r="AG21" t="n">
        <v>1.512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20260619</v>
      </c>
      <c r="AM21" t="inlineStr">
        <is>
          <t>DW83-900000434-10000320</t>
        </is>
      </c>
    </row>
    <row r="22">
      <c r="A22" t="inlineStr">
        <is>
          <t>900000045DW83D26910192197</t>
        </is>
      </c>
      <c r="B22" t="inlineStr">
        <is>
          <t>4600050401-10</t>
        </is>
      </c>
      <c r="C22" t="n">
        <v>4600050401</v>
      </c>
      <c r="D22" t="n">
        <v>10</v>
      </c>
      <c r="E22" t="inlineStr">
        <is>
          <t>MXPO</t>
        </is>
      </c>
      <c r="F22" t="inlineStr">
        <is>
          <t>MXL</t>
        </is>
      </c>
      <c r="G22" t="n">
        <v>900000045</v>
      </c>
      <c r="H22" t="inlineStr">
        <is>
          <t>TC-ED SALDAÑA MORONES</t>
        </is>
      </c>
      <c r="I22" t="n">
        <v>5002163</v>
      </c>
      <c r="J22" t="inlineStr">
        <is>
          <t>SALDANA MORONES HERIBERTO</t>
        </is>
      </c>
      <c r="K22" t="inlineStr">
        <is>
          <t>N30</t>
        </is>
      </c>
      <c r="L22" t="inlineStr">
        <is>
          <t>(AP) NAFIN 30 Dias</t>
        </is>
      </c>
      <c r="M22" t="n">
        <v>10192197</v>
      </c>
      <c r="N22" t="inlineStr">
        <is>
          <t>ARENA CLASIFICADA RIO MALLA 5</t>
        </is>
      </c>
      <c r="O22" t="inlineStr">
        <is>
          <t>DW83</t>
        </is>
      </c>
      <c r="P22" t="inlineStr">
        <is>
          <t>MX-CED. VALLARTA</t>
        </is>
      </c>
      <c r="Q22" t="n">
        <v>20210712</v>
      </c>
      <c r="R22" t="n">
        <v>20291231</v>
      </c>
      <c r="S22" t="n">
        <v>20260601</v>
      </c>
      <c r="T22" t="n">
        <v>20301231</v>
      </c>
      <c r="U22" t="n">
        <v>195.63</v>
      </c>
      <c r="V22" t="inlineStr">
        <is>
          <t>MXN</t>
        </is>
      </c>
      <c r="W22" t="inlineStr">
        <is>
          <t>M3</t>
        </is>
      </c>
      <c r="X22" t="n">
        <v>36.01</v>
      </c>
      <c r="Y22" t="inlineStr">
        <is>
          <t>MXN</t>
        </is>
      </c>
      <c r="Z22" t="inlineStr">
        <is>
          <t>M3</t>
        </is>
      </c>
      <c r="AA22" t="inlineStr">
        <is>
          <t>D269</t>
        </is>
      </c>
      <c r="AB22" t="inlineStr">
        <is>
          <t>PD0434 PLANTA MAYAN</t>
        </is>
      </c>
      <c r="AC22" t="n">
        <v>56103638</v>
      </c>
      <c r="AD22" t="n">
        <v>6644411540</v>
      </c>
      <c r="AE22" t="n">
        <v>4</v>
      </c>
      <c r="AF22" t="inlineStr">
        <is>
          <t>ENTREGA DIRECTA</t>
        </is>
      </c>
      <c r="AG22" t="n">
        <v>1.443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20260615</v>
      </c>
      <c r="AM22" t="inlineStr">
        <is>
          <t>DW83-900000045-D269-10192197-4</t>
        </is>
      </c>
    </row>
    <row r="23">
      <c r="A23" t="inlineStr">
        <is>
          <t>900000434DW8310000379</t>
        </is>
      </c>
      <c r="B23" t="inlineStr">
        <is>
          <t>4600050409-20</t>
        </is>
      </c>
      <c r="C23" t="n">
        <v>4600050409</v>
      </c>
      <c r="D23" t="n">
        <v>20</v>
      </c>
      <c r="E23" t="inlineStr">
        <is>
          <t>MXPO</t>
        </is>
      </c>
      <c r="F23" t="inlineStr">
        <is>
          <t>MXL</t>
        </is>
      </c>
      <c r="G23" t="n">
        <v>900000434</v>
      </c>
      <c r="H23" t="inlineStr">
        <is>
          <t>TC-SALDAÑA SANTA FE</t>
        </is>
      </c>
      <c r="I23" t="n">
        <v>5002163</v>
      </c>
      <c r="J23" t="inlineStr">
        <is>
          <t>SALDANA MORONES HERIBERTO</t>
        </is>
      </c>
      <c r="K23" t="inlineStr">
        <is>
          <t>N30</t>
        </is>
      </c>
      <c r="L23" t="inlineStr">
        <is>
          <t>(AP) NAFIN 30 Dias</t>
        </is>
      </c>
      <c r="M23" t="n">
        <v>10000379</v>
      </c>
      <c r="N23" t="inlineStr">
        <is>
          <t>Grava Triturada Basalto 20 mm - 3/4"</t>
        </is>
      </c>
      <c r="O23" t="inlineStr">
        <is>
          <t>DW83</t>
        </is>
      </c>
      <c r="P23" t="inlineStr">
        <is>
          <t>MX-CED. VALLARTA</t>
        </is>
      </c>
      <c r="Q23" t="n">
        <v>20210712</v>
      </c>
      <c r="R23" t="n">
        <v>20291231</v>
      </c>
      <c r="S23" t="n">
        <v>20260601</v>
      </c>
      <c r="T23" t="n">
        <v>20301231</v>
      </c>
      <c r="U23" t="n">
        <v>199.56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56103637</v>
      </c>
      <c r="AD23" t="n">
        <v>6644411540</v>
      </c>
      <c r="AE23" t="n">
        <v>1</v>
      </c>
      <c r="AF23" t="inlineStr">
        <is>
          <t>ENTREGADO</t>
        </is>
      </c>
      <c r="AG23" t="n">
        <v>1.43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20260619</v>
      </c>
      <c r="AM23" t="inlineStr">
        <is>
          <t>DW83-900000434-10000379</t>
        </is>
      </c>
    </row>
    <row r="24">
      <c r="A24" t="inlineStr">
        <is>
          <t>900000045DW83D26910000719</t>
        </is>
      </c>
      <c r="B24" t="inlineStr">
        <is>
          <t>4600050401-60</t>
        </is>
      </c>
      <c r="C24" t="n">
        <v>4600050401</v>
      </c>
      <c r="D24" t="n">
        <v>60</v>
      </c>
      <c r="E24" t="inlineStr">
        <is>
          <t>MXPO</t>
        </is>
      </c>
      <c r="F24" t="inlineStr">
        <is>
          <t>MXL</t>
        </is>
      </c>
      <c r="G24" t="n">
        <v>900000045</v>
      </c>
      <c r="H24" t="inlineStr">
        <is>
          <t>TC-ED SALDAÑA MORONES</t>
        </is>
      </c>
      <c r="I24" t="n">
        <v>5002163</v>
      </c>
      <c r="J24" t="inlineStr">
        <is>
          <t>SALDANA MORONES HERIBERTO</t>
        </is>
      </c>
      <c r="K24" t="inlineStr">
        <is>
          <t>N30</t>
        </is>
      </c>
      <c r="L24" t="inlineStr">
        <is>
          <t>(AP) NAFIN 30 Dias</t>
        </is>
      </c>
      <c r="M24" t="n">
        <v>10000719</v>
      </c>
      <c r="N24" t="inlineStr">
        <is>
          <t>Arena Clasificada Río Malla 8</t>
        </is>
      </c>
      <c r="O24" t="inlineStr">
        <is>
          <t>DW83</t>
        </is>
      </c>
      <c r="P24" t="inlineStr">
        <is>
          <t>MX-CED. VALLARTA</t>
        </is>
      </c>
      <c r="Q24" t="n">
        <v>20210712</v>
      </c>
      <c r="R24" t="n">
        <v>20291231</v>
      </c>
      <c r="S24" t="n">
        <v>20260601</v>
      </c>
      <c r="T24" t="n">
        <v>20301231</v>
      </c>
      <c r="U24" t="n">
        <v>192.23</v>
      </c>
      <c r="V24" t="inlineStr">
        <is>
          <t>MXN</t>
        </is>
      </c>
      <c r="W24" t="inlineStr">
        <is>
          <t>M3</t>
        </is>
      </c>
      <c r="X24" t="n">
        <v>22.94</v>
      </c>
      <c r="Y24" t="inlineStr">
        <is>
          <t>MXN</t>
        </is>
      </c>
      <c r="Z24" t="inlineStr">
        <is>
          <t>M3</t>
        </is>
      </c>
      <c r="AA24" t="inlineStr">
        <is>
          <t>D269</t>
        </is>
      </c>
      <c r="AB24" t="inlineStr">
        <is>
          <t>PD0434 PLANTA MAYAN</t>
        </is>
      </c>
      <c r="AC24" t="n">
        <v>56103638</v>
      </c>
      <c r="AD24" t="n">
        <v>6644411540</v>
      </c>
      <c r="AE24" t="n">
        <v>4</v>
      </c>
      <c r="AF24" t="inlineStr">
        <is>
          <t>ENTREGA DIRECTA</t>
        </is>
      </c>
      <c r="AG24" t="n">
        <v>1.442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20260615</v>
      </c>
      <c r="AM24" t="inlineStr">
        <is>
          <t>DW83-900000045-D269-10000719-4</t>
        </is>
      </c>
    </row>
    <row r="25">
      <c r="A25" t="inlineStr">
        <is>
          <t>900000434DW8310000383</t>
        </is>
      </c>
      <c r="B25" t="inlineStr">
        <is>
          <t>4600050409-30</t>
        </is>
      </c>
      <c r="C25" t="n">
        <v>4600050409</v>
      </c>
      <c r="D25" t="n">
        <v>30</v>
      </c>
      <c r="E25" t="inlineStr">
        <is>
          <t>MXPO</t>
        </is>
      </c>
      <c r="F25" t="inlineStr">
        <is>
          <t>MXL</t>
        </is>
      </c>
      <c r="G25" t="n">
        <v>900000434</v>
      </c>
      <c r="H25" t="inlineStr">
        <is>
          <t>TC-SALDAÑA SANTA FE</t>
        </is>
      </c>
      <c r="I25" t="n">
        <v>5002163</v>
      </c>
      <c r="J25" t="inlineStr">
        <is>
          <t>SALDANA MORONES HERIBERTO</t>
        </is>
      </c>
      <c r="K25" t="inlineStr">
        <is>
          <t>N30</t>
        </is>
      </c>
      <c r="L25" t="inlineStr">
        <is>
          <t>(AP) NAFIN 30 Dias</t>
        </is>
      </c>
      <c r="M25" t="n">
        <v>10000383</v>
      </c>
      <c r="N25" t="inlineStr">
        <is>
          <t>Grava Triturada Basalto 40 mm - 1 1/2"</t>
        </is>
      </c>
      <c r="O25" t="inlineStr">
        <is>
          <t>DW83</t>
        </is>
      </c>
      <c r="P25" t="inlineStr">
        <is>
          <t>MX-CED. VALLARTA</t>
        </is>
      </c>
      <c r="Q25" t="n">
        <v>20210712</v>
      </c>
      <c r="R25" t="n">
        <v>20291231</v>
      </c>
      <c r="S25" t="n">
        <v>20260601</v>
      </c>
      <c r="T25" t="n">
        <v>20301231</v>
      </c>
      <c r="U25" t="n">
        <v>199.56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56103637</v>
      </c>
      <c r="AD25" t="n">
        <v>6644411540</v>
      </c>
      <c r="AE25" t="n">
        <v>1</v>
      </c>
      <c r="AF25" t="inlineStr">
        <is>
          <t>ENTREGADO</t>
        </is>
      </c>
      <c r="AG25" t="n">
        <v>1.359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20260619</v>
      </c>
      <c r="AM25" t="inlineStr">
        <is>
          <t>DW83-900000434-10000383</t>
        </is>
      </c>
    </row>
    <row r="26">
      <c r="A26" t="inlineStr">
        <is>
          <t>900000434DW8310192197</t>
        </is>
      </c>
      <c r="B26" t="inlineStr">
        <is>
          <t>4600050409-50</t>
        </is>
      </c>
      <c r="C26" t="n">
        <v>4600050409</v>
      </c>
      <c r="D26" t="n">
        <v>50</v>
      </c>
      <c r="E26" t="inlineStr">
        <is>
          <t>MXPO</t>
        </is>
      </c>
      <c r="F26" t="inlineStr">
        <is>
          <t>MXL</t>
        </is>
      </c>
      <c r="G26" t="n">
        <v>900000434</v>
      </c>
      <c r="H26" t="inlineStr">
        <is>
          <t>TC-SALDAÑA SANTA FE</t>
        </is>
      </c>
      <c r="I26" t="n">
        <v>5002163</v>
      </c>
      <c r="J26" t="inlineStr">
        <is>
          <t>SALDANA MORONES HERIBERTO</t>
        </is>
      </c>
      <c r="K26" t="inlineStr">
        <is>
          <t>N30</t>
        </is>
      </c>
      <c r="L26" t="inlineStr">
        <is>
          <t>(AP) NAFIN 30 Dias</t>
        </is>
      </c>
      <c r="M26" t="n">
        <v>10192197</v>
      </c>
      <c r="N26" t="inlineStr">
        <is>
          <t>ARENA CLASIFICADA RIO MALLA 5</t>
        </is>
      </c>
      <c r="O26" t="inlineStr">
        <is>
          <t>DW83</t>
        </is>
      </c>
      <c r="P26" t="inlineStr">
        <is>
          <t>MX-CED. VALLARTA</t>
        </is>
      </c>
      <c r="Q26" t="n">
        <v>20210712</v>
      </c>
      <c r="R26" t="n">
        <v>20291231</v>
      </c>
      <c r="S26" t="n">
        <v>20260601</v>
      </c>
      <c r="T26" t="n">
        <v>20301231</v>
      </c>
      <c r="U26" t="n">
        <v>154.49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56103638</v>
      </c>
      <c r="AD26" t="n">
        <v>6644411540</v>
      </c>
      <c r="AE26" t="n">
        <v>1</v>
      </c>
      <c r="AF26" t="inlineStr">
        <is>
          <t>ENTREGADO</t>
        </is>
      </c>
      <c r="AG26" t="n">
        <v>1.443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20260622</v>
      </c>
      <c r="AM26" t="inlineStr">
        <is>
          <t>DW83-900000434-10192197</t>
        </is>
      </c>
    </row>
    <row r="27">
      <c r="A27" t="inlineStr">
        <is>
          <t>900003368DW83D21510000719</t>
        </is>
      </c>
      <c r="B27" t="inlineStr">
        <is>
          <t>4600050463-10</t>
        </is>
      </c>
      <c r="C27" t="n">
        <v>4600050463</v>
      </c>
      <c r="D27" t="n">
        <v>10</v>
      </c>
      <c r="E27" t="inlineStr">
        <is>
          <t>MXPO</t>
        </is>
      </c>
      <c r="F27" t="inlineStr">
        <is>
          <t>MXL</t>
        </is>
      </c>
      <c r="G27" t="n">
        <v>900003368</v>
      </c>
      <c r="H27" t="inlineStr">
        <is>
          <t>TC-ED SALDAÑA PORVENIR</t>
        </is>
      </c>
      <c r="I27" t="n">
        <v>5002163</v>
      </c>
      <c r="J27" t="inlineStr">
        <is>
          <t>SALDANA MORONES HERIBERTO</t>
        </is>
      </c>
      <c r="K27" t="inlineStr">
        <is>
          <t>N30</t>
        </is>
      </c>
      <c r="L27" t="inlineStr">
        <is>
          <t>(AP) NAFIN 30 Dias</t>
        </is>
      </c>
      <c r="M27" t="n">
        <v>10000719</v>
      </c>
      <c r="N27" t="inlineStr">
        <is>
          <t>Arena Clasificada Río Malla 8</t>
        </is>
      </c>
      <c r="O27" t="inlineStr">
        <is>
          <t>DW83</t>
        </is>
      </c>
      <c r="P27" t="inlineStr">
        <is>
          <t>MX-CED. VALLARTA</t>
        </is>
      </c>
      <c r="Q27" t="n">
        <v>20210801</v>
      </c>
      <c r="R27" t="n">
        <v>20291231</v>
      </c>
      <c r="S27" t="n">
        <v>20260601</v>
      </c>
      <c r="T27" t="n">
        <v>20301231</v>
      </c>
      <c r="U27" t="n">
        <v>276.02</v>
      </c>
      <c r="V27" t="inlineStr">
        <is>
          <t>MXN</t>
        </is>
      </c>
      <c r="W27" t="inlineStr">
        <is>
          <t>M3</t>
        </is>
      </c>
      <c r="X27" t="n">
        <v>121.53</v>
      </c>
      <c r="Y27" t="inlineStr">
        <is>
          <t>MXN</t>
        </is>
      </c>
      <c r="Z27" t="inlineStr">
        <is>
          <t>M3</t>
        </is>
      </c>
      <c r="AA27" t="inlineStr">
        <is>
          <t>D215</t>
        </is>
      </c>
      <c r="AB27" t="inlineStr">
        <is>
          <t>PD0159 PUERTO VALLARTA</t>
        </is>
      </c>
      <c r="AC27" t="n">
        <v>56103638</v>
      </c>
      <c r="AD27" t="n">
        <v>6644411540</v>
      </c>
      <c r="AE27" t="n">
        <v>4</v>
      </c>
      <c r="AF27" t="inlineStr">
        <is>
          <t>ENTREGA DIRECTA</t>
        </is>
      </c>
      <c r="AG27" t="n">
        <v>1.442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20260615</v>
      </c>
      <c r="AM27" t="inlineStr">
        <is>
          <t>DW83-900003368-D215-10000719-4</t>
        </is>
      </c>
    </row>
    <row r="28">
      <c r="A28" t="inlineStr">
        <is>
          <t>900004830DW83D03310000377</t>
        </is>
      </c>
      <c r="B28" t="inlineStr">
        <is>
          <t>4600050438-230</t>
        </is>
      </c>
      <c r="C28" t="n">
        <v>4600050438</v>
      </c>
      <c r="D28" t="n">
        <v>230</v>
      </c>
      <c r="E28" t="inlineStr">
        <is>
          <t>MXPO</t>
        </is>
      </c>
      <c r="F28" t="inlineStr">
        <is>
          <t>MXL</t>
        </is>
      </c>
      <c r="G28" t="n">
        <v>900004830</v>
      </c>
      <c r="H28" t="inlineStr">
        <is>
          <t>TC-ED ARMAMPET LAS VARAS</t>
        </is>
      </c>
      <c r="I28" t="n">
        <v>5061801</v>
      </c>
      <c r="J28" t="inlineStr">
        <is>
          <t>ARMAMPET SA DE CV</t>
        </is>
      </c>
      <c r="K28" t="inlineStr">
        <is>
          <t>N30</t>
        </is>
      </c>
      <c r="L28" t="inlineStr">
        <is>
          <t>(AP) NAFIN 30 Dias</t>
        </is>
      </c>
      <c r="M28" t="n">
        <v>10000377</v>
      </c>
      <c r="N28" t="inlineStr">
        <is>
          <t>Grava Triturada Basalto 10 mm - 3/8"</t>
        </is>
      </c>
      <c r="O28" t="inlineStr">
        <is>
          <t>DW83</t>
        </is>
      </c>
      <c r="P28" t="inlineStr">
        <is>
          <t>MX-CED. VALLARTA</t>
        </is>
      </c>
      <c r="Q28" t="n">
        <v>20210801</v>
      </c>
      <c r="R28" t="n">
        <v>20291231</v>
      </c>
      <c r="S28" t="n">
        <v>20260601</v>
      </c>
      <c r="T28" t="n">
        <v>20301231</v>
      </c>
      <c r="U28" t="n">
        <v>273.07</v>
      </c>
      <c r="V28" t="inlineStr">
        <is>
          <t>MXN</t>
        </is>
      </c>
      <c r="W28" t="inlineStr">
        <is>
          <t>M3</t>
        </is>
      </c>
      <c r="X28" t="n">
        <v>139.19</v>
      </c>
      <c r="Y28" t="inlineStr">
        <is>
          <t>MXN</t>
        </is>
      </c>
      <c r="Z28" t="inlineStr">
        <is>
          <t>M3</t>
        </is>
      </c>
      <c r="AA28" t="inlineStr">
        <is>
          <t>D033</t>
        </is>
      </c>
      <c r="AB28" t="inlineStr">
        <is>
          <t>PD0446 TUNELES GUAMUCHIL</t>
        </is>
      </c>
      <c r="AC28" t="n">
        <v>56103637</v>
      </c>
      <c r="AD28" t="n">
        <v>6644411540</v>
      </c>
      <c r="AE28" t="n">
        <v>4</v>
      </c>
      <c r="AF28" t="inlineStr">
        <is>
          <t>ENTREGA DIRECTA</t>
        </is>
      </c>
      <c r="AG28" t="n">
        <v>1.458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20260615</v>
      </c>
      <c r="AM28" t="inlineStr">
        <is>
          <t>DW83-900004830-D033-10000377-4</t>
        </is>
      </c>
    </row>
    <row r="29">
      <c r="A29" t="inlineStr">
        <is>
          <t>900004830DW83D03310000379</t>
        </is>
      </c>
      <c r="B29" t="inlineStr">
        <is>
          <t>4600050438-30</t>
        </is>
      </c>
      <c r="C29" t="n">
        <v>4600050438</v>
      </c>
      <c r="D29" t="n">
        <v>30</v>
      </c>
      <c r="E29" t="inlineStr">
        <is>
          <t>MXPO</t>
        </is>
      </c>
      <c r="F29" t="inlineStr">
        <is>
          <t>MXL</t>
        </is>
      </c>
      <c r="G29" t="n">
        <v>900004830</v>
      </c>
      <c r="H29" t="inlineStr">
        <is>
          <t>TC-ED ARMAMPET LAS VARAS</t>
        </is>
      </c>
      <c r="I29" t="n">
        <v>5061801</v>
      </c>
      <c r="J29" t="inlineStr">
        <is>
          <t>ARMAMPET SA DE CV</t>
        </is>
      </c>
      <c r="K29" t="inlineStr">
        <is>
          <t>N30</t>
        </is>
      </c>
      <c r="L29" t="inlineStr">
        <is>
          <t>(AP) NAFIN 30 Dias</t>
        </is>
      </c>
      <c r="M29" t="n">
        <v>10000379</v>
      </c>
      <c r="N29" t="inlineStr">
        <is>
          <t>Grava Triturada Basalto 20 mm - 3/4"</t>
        </is>
      </c>
      <c r="O29" t="inlineStr">
        <is>
          <t>DW83</t>
        </is>
      </c>
      <c r="P29" t="inlineStr">
        <is>
          <t>MX-CED. VALLARTA</t>
        </is>
      </c>
      <c r="Q29" t="n">
        <v>20210801</v>
      </c>
      <c r="R29" t="n">
        <v>20291231</v>
      </c>
      <c r="S29" t="n">
        <v>20260601</v>
      </c>
      <c r="T29" t="n">
        <v>20301231</v>
      </c>
      <c r="U29" t="n">
        <v>303.01</v>
      </c>
      <c r="V29" t="inlineStr">
        <is>
          <t>MXN</t>
        </is>
      </c>
      <c r="W29" t="inlineStr">
        <is>
          <t>M3</t>
        </is>
      </c>
      <c r="X29" t="n">
        <v>103.46</v>
      </c>
      <c r="Y29" t="inlineStr">
        <is>
          <t>MXN</t>
        </is>
      </c>
      <c r="Z29" t="inlineStr">
        <is>
          <t>M3</t>
        </is>
      </c>
      <c r="AA29" t="inlineStr">
        <is>
          <t>D033</t>
        </is>
      </c>
      <c r="AB29" t="inlineStr">
        <is>
          <t>PD0446 TUNELES GUAMUCHIL</t>
        </is>
      </c>
      <c r="AC29" t="n">
        <v>56103637</v>
      </c>
      <c r="AD29" t="n">
        <v>6644411540</v>
      </c>
      <c r="AE29" t="n">
        <v>4</v>
      </c>
      <c r="AF29" t="inlineStr">
        <is>
          <t>ENTREGA DIRECTA</t>
        </is>
      </c>
      <c r="AG29" t="n">
        <v>1.43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20260615</v>
      </c>
      <c r="AM29" t="inlineStr">
        <is>
          <t>DW83-900004830-D033-10000379-4</t>
        </is>
      </c>
    </row>
    <row r="30">
      <c r="A30" t="inlineStr">
        <is>
          <t>900004830DW83D03310000719</t>
        </is>
      </c>
      <c r="B30" t="inlineStr">
        <is>
          <t>4600050438-220</t>
        </is>
      </c>
      <c r="C30" t="n">
        <v>4600050438</v>
      </c>
      <c r="D30" t="n">
        <v>220</v>
      </c>
      <c r="E30" t="inlineStr">
        <is>
          <t>MXPO</t>
        </is>
      </c>
      <c r="F30" t="inlineStr">
        <is>
          <t>MXL</t>
        </is>
      </c>
      <c r="G30" t="n">
        <v>900004830</v>
      </c>
      <c r="H30" t="inlineStr">
        <is>
          <t>TC-ED ARMAMPET LAS VARAS</t>
        </is>
      </c>
      <c r="I30" t="n">
        <v>5061801</v>
      </c>
      <c r="J30" t="inlineStr">
        <is>
          <t>ARMAMPET SA DE CV</t>
        </is>
      </c>
      <c r="K30" t="inlineStr">
        <is>
          <t>N30</t>
        </is>
      </c>
      <c r="L30" t="inlineStr">
        <is>
          <t>(AP) NAFIN 30 Dias</t>
        </is>
      </c>
      <c r="M30" t="n">
        <v>10000719</v>
      </c>
      <c r="N30" t="inlineStr">
        <is>
          <t>Arena Clasificada Río Malla 8</t>
        </is>
      </c>
      <c r="O30" t="inlineStr">
        <is>
          <t>DW83</t>
        </is>
      </c>
      <c r="P30" t="inlineStr">
        <is>
          <t>MX-CED. VALLARTA</t>
        </is>
      </c>
      <c r="Q30" t="n">
        <v>20210801</v>
      </c>
      <c r="R30" t="n">
        <v>20291231</v>
      </c>
      <c r="S30" t="n">
        <v>20260601</v>
      </c>
      <c r="T30" t="n">
        <v>20301231</v>
      </c>
      <c r="U30" t="n">
        <v>282.27</v>
      </c>
      <c r="V30" t="inlineStr">
        <is>
          <t>MXN</t>
        </is>
      </c>
      <c r="W30" t="inlineStr">
        <is>
          <t>M3</t>
        </is>
      </c>
      <c r="X30" t="n">
        <v>127.77</v>
      </c>
      <c r="Y30" t="inlineStr">
        <is>
          <t>MXN</t>
        </is>
      </c>
      <c r="Z30" t="inlineStr">
        <is>
          <t>M3</t>
        </is>
      </c>
      <c r="AA30" t="inlineStr">
        <is>
          <t>D033</t>
        </is>
      </c>
      <c r="AB30" t="inlineStr">
        <is>
          <t>PD0446 TUNELES GUAMUCHIL</t>
        </is>
      </c>
      <c r="AC30" t="n">
        <v>56103638</v>
      </c>
      <c r="AD30" t="n">
        <v>6644411540</v>
      </c>
      <c r="AE30" t="n">
        <v>4</v>
      </c>
      <c r="AF30" t="inlineStr">
        <is>
          <t>ENTREGA DIRECTA</t>
        </is>
      </c>
      <c r="AG30" t="n">
        <v>1.442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20260615</v>
      </c>
      <c r="AM30" t="inlineStr">
        <is>
          <t>DW83-900004830-D033-10000719-4</t>
        </is>
      </c>
    </row>
    <row r="31">
      <c r="A31" t="inlineStr">
        <is>
          <t>900004830DW83D03310192197</t>
        </is>
      </c>
      <c r="B31" t="inlineStr">
        <is>
          <t>4600050438-140</t>
        </is>
      </c>
      <c r="C31" t="n">
        <v>4600050438</v>
      </c>
      <c r="D31" t="n">
        <v>140</v>
      </c>
      <c r="E31" t="inlineStr">
        <is>
          <t>MXPO</t>
        </is>
      </c>
      <c r="F31" t="inlineStr">
        <is>
          <t>MXL</t>
        </is>
      </c>
      <c r="G31" t="n">
        <v>900004830</v>
      </c>
      <c r="H31" t="inlineStr">
        <is>
          <t>TC-ED ARMAMPET LAS VARAS</t>
        </is>
      </c>
      <c r="I31" t="n">
        <v>5061801</v>
      </c>
      <c r="J31" t="inlineStr">
        <is>
          <t>ARMAMPET SA DE CV</t>
        </is>
      </c>
      <c r="K31" t="inlineStr">
        <is>
          <t>N30</t>
        </is>
      </c>
      <c r="L31" t="inlineStr">
        <is>
          <t>(AP) NAFIN 30 Dias</t>
        </is>
      </c>
      <c r="M31" t="n">
        <v>10192197</v>
      </c>
      <c r="N31" t="inlineStr">
        <is>
          <t>ARENA CLASIFICADA RIO MALLA 5</t>
        </is>
      </c>
      <c r="O31" t="inlineStr">
        <is>
          <t>DW83</t>
        </is>
      </c>
      <c r="P31" t="inlineStr">
        <is>
          <t>MX-CED. VALLARTA</t>
        </is>
      </c>
      <c r="Q31" t="n">
        <v>20210801</v>
      </c>
      <c r="R31" t="n">
        <v>20291231</v>
      </c>
      <c r="S31" t="n">
        <v>20260601</v>
      </c>
      <c r="T31" t="n">
        <v>20301231</v>
      </c>
      <c r="U31" t="n">
        <v>221.55</v>
      </c>
      <c r="V31" t="inlineStr">
        <is>
          <t>MXN</t>
        </is>
      </c>
      <c r="W31" t="inlineStr">
        <is>
          <t>M3</t>
        </is>
      </c>
      <c r="X31" t="n">
        <v>67.04000000000001</v>
      </c>
      <c r="Y31" t="inlineStr">
        <is>
          <t>MXN</t>
        </is>
      </c>
      <c r="Z31" t="inlineStr">
        <is>
          <t>M3</t>
        </is>
      </c>
      <c r="AA31" t="inlineStr">
        <is>
          <t>D033</t>
        </is>
      </c>
      <c r="AB31" t="inlineStr">
        <is>
          <t>PD0446 TUNELES GUAMUCHIL</t>
        </is>
      </c>
      <c r="AC31" t="n">
        <v>56103638</v>
      </c>
      <c r="AD31" t="n">
        <v>6644411540</v>
      </c>
      <c r="AE31" t="n">
        <v>4</v>
      </c>
      <c r="AF31" t="inlineStr">
        <is>
          <t>ENTREGA DIRECTA</t>
        </is>
      </c>
      <c r="AG31" t="n">
        <v>1.443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20260615</v>
      </c>
      <c r="AM31" t="inlineStr">
        <is>
          <t>DW83-900004830-D033-10192197-4</t>
        </is>
      </c>
    </row>
    <row r="32">
      <c r="A32" t="inlineStr">
        <is>
          <t>900003368DW83D21510000377</t>
        </is>
      </c>
      <c r="B32" t="inlineStr">
        <is>
          <t>4600050463-20</t>
        </is>
      </c>
      <c r="C32" t="n">
        <v>4600050463</v>
      </c>
      <c r="D32" t="n">
        <v>20</v>
      </c>
      <c r="E32" t="inlineStr">
        <is>
          <t>MXPO</t>
        </is>
      </c>
      <c r="F32" t="inlineStr">
        <is>
          <t>MXL</t>
        </is>
      </c>
      <c r="G32" t="n">
        <v>900003368</v>
      </c>
      <c r="H32" t="inlineStr">
        <is>
          <t>TC-ED SALDAÑA PORVENIR</t>
        </is>
      </c>
      <c r="I32" t="n">
        <v>5002163</v>
      </c>
      <c r="J32" t="inlineStr">
        <is>
          <t>SALDANA MORONES HERIBERTO</t>
        </is>
      </c>
      <c r="K32" t="inlineStr">
        <is>
          <t>N30</t>
        </is>
      </c>
      <c r="L32" t="inlineStr">
        <is>
          <t>(AP) NAFIN 30 Dias</t>
        </is>
      </c>
      <c r="M32" t="n">
        <v>10000377</v>
      </c>
      <c r="N32" t="inlineStr">
        <is>
          <t>Grava Triturada Basalto 10 mm - 3/8"</t>
        </is>
      </c>
      <c r="O32" t="inlineStr">
        <is>
          <t>DW83</t>
        </is>
      </c>
      <c r="P32" t="inlineStr">
        <is>
          <t>MX-CED. VALLARTA</t>
        </is>
      </c>
      <c r="Q32" t="n">
        <v>20210801</v>
      </c>
      <c r="R32" t="n">
        <v>20291231</v>
      </c>
      <c r="S32" t="n">
        <v>20260601</v>
      </c>
      <c r="T32" t="n">
        <v>20301231</v>
      </c>
      <c r="U32" t="n">
        <v>216.22</v>
      </c>
      <c r="V32" t="inlineStr">
        <is>
          <t>MXN</t>
        </is>
      </c>
      <c r="W32" t="inlineStr">
        <is>
          <t>M3</t>
        </is>
      </c>
      <c r="X32" t="n">
        <v>82.33</v>
      </c>
      <c r="Y32" t="inlineStr">
        <is>
          <t>MXN</t>
        </is>
      </c>
      <c r="Z32" t="inlineStr">
        <is>
          <t>M3</t>
        </is>
      </c>
      <c r="AA32" t="inlineStr">
        <is>
          <t>D215</t>
        </is>
      </c>
      <c r="AB32" t="inlineStr">
        <is>
          <t>PD0159 PUERTO VALLARTA</t>
        </is>
      </c>
      <c r="AC32" t="n">
        <v>56103637</v>
      </c>
      <c r="AD32" t="n">
        <v>6644411540</v>
      </c>
      <c r="AE32" t="n">
        <v>4</v>
      </c>
      <c r="AF32" t="inlineStr">
        <is>
          <t>ENTREGA DIRECTA</t>
        </is>
      </c>
      <c r="AG32" t="n">
        <v>1.458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20260615</v>
      </c>
      <c r="AM32" t="inlineStr">
        <is>
          <t>DW83-900003368-D215-10000377-4</t>
        </is>
      </c>
    </row>
    <row r="33">
      <c r="A33" t="inlineStr">
        <is>
          <t>900007907DW83D21610258539</t>
        </is>
      </c>
      <c r="B33" t="inlineStr">
        <is>
          <t>4600056704-30</t>
        </is>
      </c>
      <c r="C33" t="n">
        <v>4600056704</v>
      </c>
      <c r="D33" t="n">
        <v>30</v>
      </c>
      <c r="E33" t="inlineStr">
        <is>
          <t>MXPO</t>
        </is>
      </c>
      <c r="F33" t="inlineStr">
        <is>
          <t>MXL</t>
        </is>
      </c>
      <c r="G33" t="n">
        <v>900007907</v>
      </c>
      <c r="H33" t="inlineStr">
        <is>
          <t>SF TC-ED- TEPYC LA REPISA</t>
        </is>
      </c>
      <c r="I33" t="n">
        <v>5006993</v>
      </c>
      <c r="J33" t="inlineStr">
        <is>
          <t>TERRACERIAS PAVIMENTOS Y CAMINOS SA</t>
        </is>
      </c>
      <c r="K33" t="inlineStr">
        <is>
          <t>Z04</t>
        </is>
      </c>
      <c r="L33" t="inlineStr">
        <is>
          <t>(AP) 30 Dias</t>
        </is>
      </c>
      <c r="M33" t="n">
        <v>10258539</v>
      </c>
      <c r="N33" t="inlineStr">
        <is>
          <t>ARENA TRITURADA BASALTO MALLA 5</t>
        </is>
      </c>
      <c r="O33" t="inlineStr">
        <is>
          <t>DW83</t>
        </is>
      </c>
      <c r="P33" t="inlineStr">
        <is>
          <t>MX-CED. VALLARTA</t>
        </is>
      </c>
      <c r="Q33" t="n">
        <v>20230227</v>
      </c>
      <c r="R33" t="n">
        <v>20291231</v>
      </c>
      <c r="S33" t="n">
        <v>20250301</v>
      </c>
      <c r="T33" t="n">
        <v>20301231</v>
      </c>
      <c r="U33" t="n">
        <v>580</v>
      </c>
      <c r="V33" t="inlineStr">
        <is>
          <t>MXN</t>
        </is>
      </c>
      <c r="W33" t="inlineStr">
        <is>
          <t>M3</t>
        </is>
      </c>
      <c r="X33" t="n">
        <v>165</v>
      </c>
      <c r="Y33" t="inlineStr">
        <is>
          <t>MXN</t>
        </is>
      </c>
      <c r="Z33" t="inlineStr">
        <is>
          <t>M3</t>
        </is>
      </c>
      <c r="AA33" t="inlineStr">
        <is>
          <t>D216</t>
        </is>
      </c>
      <c r="AB33" t="inlineStr">
        <is>
          <t>PD0130 TEPIC</t>
        </is>
      </c>
      <c r="AC33" t="n">
        <v>56103638</v>
      </c>
      <c r="AD33" t="n">
        <v>6644411540</v>
      </c>
      <c r="AE33" t="n">
        <v>4</v>
      </c>
      <c r="AF33" t="inlineStr">
        <is>
          <t>ENTREGA DIRECTA</t>
        </is>
      </c>
      <c r="AG33" t="n">
        <v>1.591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20250328</v>
      </c>
      <c r="AM33" t="inlineStr">
        <is>
          <t>DW83-900007907-D216-10258539-4</t>
        </is>
      </c>
    </row>
    <row r="34">
      <c r="A34" t="inlineStr">
        <is>
          <t>900007907DW83D21610000437</t>
        </is>
      </c>
      <c r="B34" t="inlineStr">
        <is>
          <t>4600056704-10</t>
        </is>
      </c>
      <c r="C34" t="n">
        <v>4600056704</v>
      </c>
      <c r="D34" t="n">
        <v>10</v>
      </c>
      <c r="E34" t="inlineStr">
        <is>
          <t>MXPO</t>
        </is>
      </c>
      <c r="F34" t="inlineStr">
        <is>
          <t>MXL</t>
        </is>
      </c>
      <c r="G34" t="n">
        <v>900007907</v>
      </c>
      <c r="H34" t="inlineStr">
        <is>
          <t>SF TC-ED- TEPYC LA REPISA</t>
        </is>
      </c>
      <c r="I34" t="n">
        <v>5006993</v>
      </c>
      <c r="J34" t="inlineStr">
        <is>
          <t>TERRACERIAS PAVIMENTOS Y CAMINOS SA</t>
        </is>
      </c>
      <c r="K34" t="inlineStr">
        <is>
          <t>Z04</t>
        </is>
      </c>
      <c r="L34" t="inlineStr">
        <is>
          <t>(AP) 30 Dias</t>
        </is>
      </c>
      <c r="M34" t="n">
        <v>10000437</v>
      </c>
      <c r="N34" t="inlineStr">
        <is>
          <t>Grava Triturada Basalto 20 mm - 3/4"</t>
        </is>
      </c>
      <c r="O34" t="inlineStr">
        <is>
          <t>DW83</t>
        </is>
      </c>
      <c r="P34" t="inlineStr">
        <is>
          <t>MX-CED. VALLARTA</t>
        </is>
      </c>
      <c r="Q34" t="n">
        <v>20230227</v>
      </c>
      <c r="R34" t="n">
        <v>20291231</v>
      </c>
      <c r="S34" t="n">
        <v>20250301</v>
      </c>
      <c r="T34" t="n">
        <v>20301231</v>
      </c>
      <c r="U34" t="n">
        <v>580</v>
      </c>
      <c r="V34" t="inlineStr">
        <is>
          <t>MXN</t>
        </is>
      </c>
      <c r="W34" t="inlineStr">
        <is>
          <t>M3</t>
        </is>
      </c>
      <c r="X34" t="n">
        <v>165</v>
      </c>
      <c r="Y34" t="inlineStr">
        <is>
          <t>MXN</t>
        </is>
      </c>
      <c r="Z34" t="inlineStr">
        <is>
          <t>M3</t>
        </is>
      </c>
      <c r="AA34" t="inlineStr">
        <is>
          <t>D216</t>
        </is>
      </c>
      <c r="AB34" t="inlineStr">
        <is>
          <t>PD0130 TEPIC</t>
        </is>
      </c>
      <c r="AC34" t="n">
        <v>56103637</v>
      </c>
      <c r="AD34" t="n">
        <v>6644411540</v>
      </c>
      <c r="AE34" t="n">
        <v>4</v>
      </c>
      <c r="AF34" t="inlineStr">
        <is>
          <t>ENTREGA DIRECTA</t>
        </is>
      </c>
      <c r="AG34" t="n">
        <v>1.505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20250328</v>
      </c>
      <c r="AM34" t="inlineStr">
        <is>
          <t>DW83-900007907-D216-10000437-4</t>
        </is>
      </c>
    </row>
    <row r="35">
      <c r="A35" t="inlineStr">
        <is>
          <t>900000434DW8310000719</t>
        </is>
      </c>
      <c r="B35" t="inlineStr">
        <is>
          <t>4600050409-60</t>
        </is>
      </c>
      <c r="C35" t="n">
        <v>4600050409</v>
      </c>
      <c r="D35" t="n">
        <v>60</v>
      </c>
      <c r="E35" t="inlineStr">
        <is>
          <t>MXPO</t>
        </is>
      </c>
      <c r="F35" t="inlineStr">
        <is>
          <t>MXL</t>
        </is>
      </c>
      <c r="G35" t="n">
        <v>900000434</v>
      </c>
      <c r="H35" t="inlineStr">
        <is>
          <t>TC-SALDAÑA SANTA FE</t>
        </is>
      </c>
      <c r="I35" t="n">
        <v>5002163</v>
      </c>
      <c r="J35" t="inlineStr">
        <is>
          <t>SALDANA MORONES HERIBERTO</t>
        </is>
      </c>
      <c r="K35" t="inlineStr">
        <is>
          <t>N30</t>
        </is>
      </c>
      <c r="L35" t="inlineStr">
        <is>
          <t>(AP) NAFIN 30 Dias</t>
        </is>
      </c>
      <c r="M35" t="n">
        <v>10000719</v>
      </c>
      <c r="N35" t="inlineStr">
        <is>
          <t>Arena Clasificada Río Malla 8</t>
        </is>
      </c>
      <c r="O35" t="inlineStr">
        <is>
          <t>DW83</t>
        </is>
      </c>
      <c r="P35" t="inlineStr">
        <is>
          <t>MX-CED. VALLARTA</t>
        </is>
      </c>
      <c r="Q35" t="n">
        <v>20210712</v>
      </c>
      <c r="R35" t="n">
        <v>20291231</v>
      </c>
      <c r="S35" t="n">
        <v>20230424</v>
      </c>
      <c r="T35" t="n">
        <v>20281231</v>
      </c>
      <c r="U35" t="n">
        <v>165</v>
      </c>
      <c r="V35" t="inlineStr">
        <is>
          <t>MXN</t>
        </is>
      </c>
      <c r="W35" t="inlineStr">
        <is>
          <t>M3</t>
        </is>
      </c>
      <c r="X35" t="n">
        <v>0</v>
      </c>
      <c r="Y35" t="inlineStr">
        <is>
          <t>MXN</t>
        </is>
      </c>
      <c r="Z35" t="inlineStr">
        <is>
          <t>M3</t>
        </is>
      </c>
      <c r="AC35" t="n">
        <v>56103638</v>
      </c>
      <c r="AD35" t="n">
        <v>6644411540</v>
      </c>
      <c r="AE35" t="n">
        <v>1</v>
      </c>
      <c r="AF35" t="inlineStr">
        <is>
          <t>ENTREGADO</t>
        </is>
      </c>
      <c r="AG35" t="n">
        <v>1.442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DW83-900000434-10000719</t>
        </is>
      </c>
    </row>
    <row r="36">
      <c r="A36" t="inlineStr">
        <is>
          <t>900000434DW8310000377</t>
        </is>
      </c>
      <c r="B36" t="inlineStr">
        <is>
          <t>4600050409-10</t>
        </is>
      </c>
      <c r="C36" t="n">
        <v>4600050409</v>
      </c>
      <c r="D36" t="n">
        <v>10</v>
      </c>
      <c r="E36" t="inlineStr">
        <is>
          <t>MXPO</t>
        </is>
      </c>
      <c r="F36" t="inlineStr">
        <is>
          <t>MXL</t>
        </is>
      </c>
      <c r="G36" t="n">
        <v>900000434</v>
      </c>
      <c r="H36" t="inlineStr">
        <is>
          <t>TC-SALDAÑA SANTA FE</t>
        </is>
      </c>
      <c r="I36" t="n">
        <v>5002163</v>
      </c>
      <c r="J36" t="inlineStr">
        <is>
          <t>SALDANA MORONES HERIBERTO</t>
        </is>
      </c>
      <c r="K36" t="inlineStr">
        <is>
          <t>N30</t>
        </is>
      </c>
      <c r="L36" t="inlineStr">
        <is>
          <t>(AP) NAFIN 30 Dias</t>
        </is>
      </c>
      <c r="M36" t="n">
        <v>10000377</v>
      </c>
      <c r="N36" t="inlineStr">
        <is>
          <t>Grava Triturada Basalto 10 mm - 3/8"</t>
        </is>
      </c>
      <c r="O36" t="inlineStr">
        <is>
          <t>DW83</t>
        </is>
      </c>
      <c r="P36" t="inlineStr">
        <is>
          <t>MX-CED. VALLARTA</t>
        </is>
      </c>
      <c r="Q36" t="n">
        <v>20210712</v>
      </c>
      <c r="R36" t="n">
        <v>20291231</v>
      </c>
      <c r="S36" t="n">
        <v>20230301</v>
      </c>
      <c r="T36" t="n">
        <v>20281231</v>
      </c>
      <c r="U36" t="n">
        <v>114.4</v>
      </c>
      <c r="V36" t="inlineStr">
        <is>
          <t>MXN</t>
        </is>
      </c>
      <c r="W36" t="inlineStr">
        <is>
          <t>M3</t>
        </is>
      </c>
      <c r="X36" t="n">
        <v>0</v>
      </c>
      <c r="Y36" t="inlineStr">
        <is>
          <t>MXN</t>
        </is>
      </c>
      <c r="Z36" t="inlineStr">
        <is>
          <t>M3</t>
        </is>
      </c>
      <c r="AC36" t="n">
        <v>56103637</v>
      </c>
      <c r="AD36" t="n">
        <v>6644411540</v>
      </c>
      <c r="AE36" t="n">
        <v>1</v>
      </c>
      <c r="AF36" t="inlineStr">
        <is>
          <t>ENTREGADO</t>
        </is>
      </c>
      <c r="AG36" t="n">
        <v>1.458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DW83-900000434-10000377</t>
        </is>
      </c>
    </row>
    <row r="37">
      <c r="A37" t="inlineStr">
        <is>
          <t>900007615DW8310049556</t>
        </is>
      </c>
      <c r="B37" t="inlineStr">
        <is>
          <t>4600054016-30</t>
        </is>
      </c>
      <c r="C37" t="n">
        <v>4600054016</v>
      </c>
      <c r="D37" t="n">
        <v>30</v>
      </c>
      <c r="E37" t="inlineStr">
        <is>
          <t>MXPO</t>
        </is>
      </c>
      <c r="F37" t="inlineStr">
        <is>
          <t>MXL</t>
        </is>
      </c>
      <c r="G37" t="n">
        <v>900007615</v>
      </c>
      <c r="H37" t="inlineStr">
        <is>
          <t>SF TC- ARMAMPET LAS VARAS</t>
        </is>
      </c>
      <c r="I37" t="n">
        <v>5061801</v>
      </c>
      <c r="J37" t="inlineStr">
        <is>
          <t>ARMAMPET SA DE CV</t>
        </is>
      </c>
      <c r="K37" t="inlineStr">
        <is>
          <t>N30</t>
        </is>
      </c>
      <c r="L37" t="inlineStr">
        <is>
          <t>(AP) NAFIN 30 Dias</t>
        </is>
      </c>
      <c r="M37" t="n">
        <v>10049556</v>
      </c>
      <c r="N37" t="inlineStr">
        <is>
          <t>Grava Triturada Basalto 10 mm - 3/8"</t>
        </is>
      </c>
      <c r="O37" t="inlineStr">
        <is>
          <t>DW83</t>
        </is>
      </c>
      <c r="P37" t="inlineStr">
        <is>
          <t>MX-CED. VALLARTA</t>
        </is>
      </c>
      <c r="Q37" t="n">
        <v>20220523</v>
      </c>
      <c r="R37" t="n">
        <v>20281231</v>
      </c>
      <c r="S37" t="n">
        <v>20220523</v>
      </c>
      <c r="T37" t="n">
        <v>20271231</v>
      </c>
      <c r="U37" t="n">
        <v>220</v>
      </c>
      <c r="V37" t="inlineStr">
        <is>
          <t>MXN</t>
        </is>
      </c>
      <c r="W37" t="inlineStr">
        <is>
          <t>M3</t>
        </is>
      </c>
      <c r="X37" t="n">
        <v>0</v>
      </c>
      <c r="Y37" t="inlineStr">
        <is>
          <t>MXN</t>
        </is>
      </c>
      <c r="Z37" t="inlineStr">
        <is>
          <t>M3</t>
        </is>
      </c>
      <c r="AC37" t="n">
        <v>56103637</v>
      </c>
      <c r="AD37" t="n">
        <v>6644411540</v>
      </c>
      <c r="AE37" t="n">
        <v>1</v>
      </c>
      <c r="AF37" t="inlineStr">
        <is>
          <t>ENTREGADO</t>
        </is>
      </c>
      <c r="AG37" t="n">
        <v>1.328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DW83-900007615-10049556</t>
        </is>
      </c>
    </row>
    <row r="38">
      <c r="A38" t="inlineStr">
        <is>
          <t>900007706DW8310000554</t>
        </is>
      </c>
      <c r="B38" t="inlineStr">
        <is>
          <t>4600054398-30</t>
        </is>
      </c>
      <c r="C38" t="n">
        <v>4600054398</v>
      </c>
      <c r="D38" t="n">
        <v>30</v>
      </c>
      <c r="E38" t="inlineStr">
        <is>
          <t>MXPO</t>
        </is>
      </c>
      <c r="F38" t="inlineStr">
        <is>
          <t>MXL</t>
        </is>
      </c>
      <c r="G38" t="n">
        <v>900007706</v>
      </c>
      <c r="H38" t="inlineStr">
        <is>
          <t>SF TC- CLADIMACO</t>
        </is>
      </c>
      <c r="I38" t="n">
        <v>5002330</v>
      </c>
      <c r="J38" t="inlineStr">
        <is>
          <t>CLASIFICADORA Y DISTR DE MAT P/CONS</t>
        </is>
      </c>
      <c r="K38" t="inlineStr">
        <is>
          <t>Z03</t>
        </is>
      </c>
      <c r="L38" t="inlineStr">
        <is>
          <t>(AP) 15 Dias</t>
        </is>
      </c>
      <c r="M38" t="n">
        <v>10000554</v>
      </c>
      <c r="N38" t="inlineStr">
        <is>
          <t>Grava Triturada Caliza 40 mm - 1 1/2"</t>
        </is>
      </c>
      <c r="O38" t="inlineStr">
        <is>
          <t>DW83</t>
        </is>
      </c>
      <c r="P38" t="inlineStr">
        <is>
          <t>MX-CED. VALLARTA</t>
        </is>
      </c>
      <c r="Q38" t="n">
        <v>20220704</v>
      </c>
      <c r="R38" t="n">
        <v>20271231</v>
      </c>
      <c r="S38" t="n">
        <v>20220704</v>
      </c>
      <c r="T38" t="n">
        <v>20271231</v>
      </c>
      <c r="U38" t="n">
        <v>282.55</v>
      </c>
      <c r="V38" t="inlineStr">
        <is>
          <t>MXN</t>
        </is>
      </c>
      <c r="W38" t="inlineStr">
        <is>
          <t>M3</t>
        </is>
      </c>
      <c r="X38" t="n">
        <v>0</v>
      </c>
      <c r="Y38" t="inlineStr">
        <is>
          <t>MXN</t>
        </is>
      </c>
      <c r="Z38" t="inlineStr">
        <is>
          <t>M3</t>
        </is>
      </c>
      <c r="AC38" t="n">
        <v>56103637</v>
      </c>
      <c r="AD38" t="n">
        <v>6644411540</v>
      </c>
      <c r="AE38" t="n">
        <v>1</v>
      </c>
      <c r="AF38" t="inlineStr">
        <is>
          <t>ENTREGADO</t>
        </is>
      </c>
      <c r="AG38" t="n">
        <v>1.37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20230920</v>
      </c>
      <c r="AM38" t="inlineStr">
        <is>
          <t>DW83-900007706-10000554</t>
        </is>
      </c>
    </row>
    <row r="39">
      <c r="A39" t="inlineStr">
        <is>
          <t>900007706DW8310045015</t>
        </is>
      </c>
      <c r="B39" t="inlineStr">
        <is>
          <t>4600054398-50</t>
        </is>
      </c>
      <c r="C39" t="n">
        <v>4600054398</v>
      </c>
      <c r="D39" t="n">
        <v>50</v>
      </c>
      <c r="E39" t="inlineStr">
        <is>
          <t>MXPO</t>
        </is>
      </c>
      <c r="F39" t="inlineStr">
        <is>
          <t>MXL</t>
        </is>
      </c>
      <c r="G39" t="n">
        <v>900007706</v>
      </c>
      <c r="H39" t="inlineStr">
        <is>
          <t>SF TC- CLADIMACO</t>
        </is>
      </c>
      <c r="I39" t="n">
        <v>5002330</v>
      </c>
      <c r="J39" t="inlineStr">
        <is>
          <t>CLASIFICADORA Y DISTR DE MAT P/CONS</t>
        </is>
      </c>
      <c r="K39" t="inlineStr">
        <is>
          <t>Z03</t>
        </is>
      </c>
      <c r="L39" t="inlineStr">
        <is>
          <t>(AP) 15 Dias</t>
        </is>
      </c>
      <c r="M39" t="n">
        <v>10045015</v>
      </c>
      <c r="N39" t="inlineStr">
        <is>
          <t>Sello Triturado Caliza 13 mm - 1/2"</t>
        </is>
      </c>
      <c r="O39" t="inlineStr">
        <is>
          <t>DW83</t>
        </is>
      </c>
      <c r="P39" t="inlineStr">
        <is>
          <t>MX-CED. VALLARTA</t>
        </is>
      </c>
      <c r="Q39" t="n">
        <v>20220704</v>
      </c>
      <c r="R39" t="n">
        <v>20271231</v>
      </c>
      <c r="S39" t="n">
        <v>20220704</v>
      </c>
      <c r="T39" t="n">
        <v>20271231</v>
      </c>
      <c r="U39" t="n">
        <v>420.95</v>
      </c>
      <c r="V39" t="inlineStr">
        <is>
          <t>MXN</t>
        </is>
      </c>
      <c r="W39" t="inlineStr">
        <is>
          <t>M3</t>
        </is>
      </c>
      <c r="X39" t="n">
        <v>0</v>
      </c>
      <c r="Y39" t="inlineStr">
        <is>
          <t>MXN</t>
        </is>
      </c>
      <c r="Z39" t="inlineStr">
        <is>
          <t>M3</t>
        </is>
      </c>
      <c r="AC39" t="n">
        <v>56103637</v>
      </c>
      <c r="AD39" t="n">
        <v>6644411540</v>
      </c>
      <c r="AE39" t="n">
        <v>1</v>
      </c>
      <c r="AF39" t="inlineStr">
        <is>
          <t>ENTREGADO</t>
        </is>
      </c>
      <c r="AG39" t="n">
        <v>1.43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DW83-900007706-10045015</t>
        </is>
      </c>
    </row>
    <row r="40">
      <c r="A40" t="inlineStr">
        <is>
          <t>900007706DW8310000332</t>
        </is>
      </c>
      <c r="B40" t="inlineStr">
        <is>
          <t>4600054398-60</t>
        </is>
      </c>
      <c r="C40" t="n">
        <v>4600054398</v>
      </c>
      <c r="D40" t="n">
        <v>60</v>
      </c>
      <c r="E40" t="inlineStr">
        <is>
          <t>MXPO</t>
        </is>
      </c>
      <c r="F40" t="inlineStr">
        <is>
          <t>MXL</t>
        </is>
      </c>
      <c r="G40" t="n">
        <v>900007706</v>
      </c>
      <c r="H40" t="inlineStr">
        <is>
          <t>SF TC- CLADIMACO</t>
        </is>
      </c>
      <c r="I40" t="n">
        <v>5002330</v>
      </c>
      <c r="J40" t="inlineStr">
        <is>
          <t>CLASIFICADORA Y DISTR DE MAT P/CONS</t>
        </is>
      </c>
      <c r="K40" t="inlineStr">
        <is>
          <t>Z03</t>
        </is>
      </c>
      <c r="L40" t="inlineStr">
        <is>
          <t>(AP) 15 Dias</t>
        </is>
      </c>
      <c r="M40" t="n">
        <v>10000332</v>
      </c>
      <c r="N40" t="inlineStr">
        <is>
          <t>Grava Triturada Pomez - Jal 20 mm - 3/4"</t>
        </is>
      </c>
      <c r="O40" t="inlineStr">
        <is>
          <t>DW83</t>
        </is>
      </c>
      <c r="P40" t="inlineStr">
        <is>
          <t>MX-CED. VALLARTA</t>
        </is>
      </c>
      <c r="Q40" t="n">
        <v>20220704</v>
      </c>
      <c r="R40" t="n">
        <v>20271231</v>
      </c>
      <c r="S40" t="n">
        <v>20220704</v>
      </c>
      <c r="T40" t="n">
        <v>20271231</v>
      </c>
      <c r="U40" t="n">
        <v>108.93</v>
      </c>
      <c r="V40" t="inlineStr">
        <is>
          <t>MXN</t>
        </is>
      </c>
      <c r="W40" t="inlineStr">
        <is>
          <t>M3</t>
        </is>
      </c>
      <c r="X40" t="n">
        <v>0</v>
      </c>
      <c r="Y40" t="inlineStr">
        <is>
          <t>MXN</t>
        </is>
      </c>
      <c r="Z40" t="inlineStr">
        <is>
          <t>M3</t>
        </is>
      </c>
      <c r="AC40" t="n">
        <v>56103637</v>
      </c>
      <c r="AD40" t="n">
        <v>6644411540</v>
      </c>
      <c r="AE40" t="n">
        <v>1</v>
      </c>
      <c r="AF40" t="inlineStr">
        <is>
          <t>ENTREGADO</t>
        </is>
      </c>
      <c r="AG40" t="n">
        <v>0.8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DW83-900007706-10000332</t>
        </is>
      </c>
    </row>
    <row r="41">
      <c r="A41" t="inlineStr">
        <is>
          <t>900007706DW8310000320</t>
        </is>
      </c>
      <c r="B41" t="inlineStr">
        <is>
          <t>4600054398-10</t>
        </is>
      </c>
      <c r="C41" t="n">
        <v>4600054398</v>
      </c>
      <c r="D41" t="n">
        <v>10</v>
      </c>
      <c r="E41" t="inlineStr">
        <is>
          <t>MXPO</t>
        </is>
      </c>
      <c r="F41" t="inlineStr">
        <is>
          <t>MXL</t>
        </is>
      </c>
      <c r="G41" t="n">
        <v>900007706</v>
      </c>
      <c r="H41" t="inlineStr">
        <is>
          <t>SF TC- CLADIMACO</t>
        </is>
      </c>
      <c r="I41" t="n">
        <v>5002330</v>
      </c>
      <c r="J41" t="inlineStr">
        <is>
          <t>CLASIFICADORA Y DISTR DE MAT P/CONS</t>
        </is>
      </c>
      <c r="K41" t="inlineStr">
        <is>
          <t>Z03</t>
        </is>
      </c>
      <c r="L41" t="inlineStr">
        <is>
          <t>(AP) 15 Dias</t>
        </is>
      </c>
      <c r="M41" t="n">
        <v>10000320</v>
      </c>
      <c r="N41" t="inlineStr">
        <is>
          <t>Arena Triturada Caliza Malla 4</t>
        </is>
      </c>
      <c r="O41" t="inlineStr">
        <is>
          <t>DW83</t>
        </is>
      </c>
      <c r="P41" t="inlineStr">
        <is>
          <t>MX-CED. VALLARTA</t>
        </is>
      </c>
      <c r="Q41" t="n">
        <v>20220704</v>
      </c>
      <c r="R41" t="n">
        <v>20271231</v>
      </c>
      <c r="S41" t="n">
        <v>20220704</v>
      </c>
      <c r="T41" t="n">
        <v>20271231</v>
      </c>
      <c r="U41" t="n">
        <v>301.38</v>
      </c>
      <c r="V41" t="inlineStr">
        <is>
          <t>MXN</t>
        </is>
      </c>
      <c r="W41" t="inlineStr">
        <is>
          <t>M3</t>
        </is>
      </c>
      <c r="X41" t="n">
        <v>0</v>
      </c>
      <c r="Y41" t="inlineStr">
        <is>
          <t>MXN</t>
        </is>
      </c>
      <c r="Z41" t="inlineStr">
        <is>
          <t>M3</t>
        </is>
      </c>
      <c r="AC41" t="n">
        <v>56103638</v>
      </c>
      <c r="AD41" t="n">
        <v>6644411540</v>
      </c>
      <c r="AE41" t="n">
        <v>1</v>
      </c>
      <c r="AF41" t="inlineStr">
        <is>
          <t>ENTREGADO</t>
        </is>
      </c>
      <c r="AG41" t="n">
        <v>1.512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20230920</v>
      </c>
      <c r="AM41" t="inlineStr">
        <is>
          <t>DW83-900007706-10000320</t>
        </is>
      </c>
    </row>
    <row r="42">
      <c r="A42" t="inlineStr">
        <is>
          <t>900007706DW8310000237</t>
        </is>
      </c>
      <c r="B42" t="inlineStr">
        <is>
          <t>4600054398-40</t>
        </is>
      </c>
      <c r="C42" t="n">
        <v>4600054398</v>
      </c>
      <c r="D42" t="n">
        <v>40</v>
      </c>
      <c r="E42" t="inlineStr">
        <is>
          <t>MXPO</t>
        </is>
      </c>
      <c r="F42" t="inlineStr">
        <is>
          <t>MXL</t>
        </is>
      </c>
      <c r="G42" t="n">
        <v>900007706</v>
      </c>
      <c r="H42" t="inlineStr">
        <is>
          <t>SF TC- CLADIMACO</t>
        </is>
      </c>
      <c r="I42" t="n">
        <v>5002330</v>
      </c>
      <c r="J42" t="inlineStr">
        <is>
          <t>CLASIFICADORA Y DISTR DE MAT P/CONS</t>
        </is>
      </c>
      <c r="K42" t="inlineStr">
        <is>
          <t>Z03</t>
        </is>
      </c>
      <c r="L42" t="inlineStr">
        <is>
          <t>(AP) 15 Dias</t>
        </is>
      </c>
      <c r="M42" t="n">
        <v>10000237</v>
      </c>
      <c r="N42" t="inlineStr">
        <is>
          <t>Grava Triturada Caliza 10 mm - 3/8"</t>
        </is>
      </c>
      <c r="O42" t="inlineStr">
        <is>
          <t>DW83</t>
        </is>
      </c>
      <c r="P42" t="inlineStr">
        <is>
          <t>MX-CED. VALLARTA</t>
        </is>
      </c>
      <c r="Q42" t="n">
        <v>20220704</v>
      </c>
      <c r="R42" t="n">
        <v>20271231</v>
      </c>
      <c r="S42" t="n">
        <v>20220704</v>
      </c>
      <c r="T42" t="n">
        <v>20271231</v>
      </c>
      <c r="U42" t="n">
        <v>420.95</v>
      </c>
      <c r="V42" t="inlineStr">
        <is>
          <t>MXN</t>
        </is>
      </c>
      <c r="W42" t="inlineStr">
        <is>
          <t>M3</t>
        </is>
      </c>
      <c r="X42" t="n">
        <v>0</v>
      </c>
      <c r="Y42" t="inlineStr">
        <is>
          <t>MXN</t>
        </is>
      </c>
      <c r="Z42" t="inlineStr">
        <is>
          <t>M3</t>
        </is>
      </c>
      <c r="AC42" t="n">
        <v>56103637</v>
      </c>
      <c r="AD42" t="n">
        <v>6644411540</v>
      </c>
      <c r="AE42" t="n">
        <v>1</v>
      </c>
      <c r="AF42" t="inlineStr">
        <is>
          <t>ENTREGADO</t>
        </is>
      </c>
      <c r="AG42" t="n">
        <v>1.562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20230920</v>
      </c>
      <c r="AM42" t="inlineStr">
        <is>
          <t>DW83-900007706-10000237</t>
        </is>
      </c>
    </row>
    <row r="43">
      <c r="A43" t="inlineStr">
        <is>
          <t>900007615DW8310000383</t>
        </is>
      </c>
      <c r="B43" t="inlineStr">
        <is>
          <t>4600054016-20</t>
        </is>
      </c>
      <c r="C43" t="n">
        <v>4600054016</v>
      </c>
      <c r="D43" t="n">
        <v>20</v>
      </c>
      <c r="E43" t="inlineStr">
        <is>
          <t>MXPO</t>
        </is>
      </c>
      <c r="F43" t="inlineStr">
        <is>
          <t>MXL</t>
        </is>
      </c>
      <c r="G43" t="n">
        <v>900007615</v>
      </c>
      <c r="H43" t="inlineStr">
        <is>
          <t>SF TC- ARMAMPET LAS VARAS</t>
        </is>
      </c>
      <c r="I43" t="n">
        <v>5061801</v>
      </c>
      <c r="J43" t="inlineStr">
        <is>
          <t>ARMAMPET SA DE CV</t>
        </is>
      </c>
      <c r="K43" t="inlineStr">
        <is>
          <t>N30</t>
        </is>
      </c>
      <c r="L43" t="inlineStr">
        <is>
          <t>(AP) NAFIN 30 Dias</t>
        </is>
      </c>
      <c r="M43" t="n">
        <v>10000383</v>
      </c>
      <c r="N43" t="inlineStr">
        <is>
          <t>Grava Triturada Basalto 40 mm - 1 1/2"</t>
        </is>
      </c>
      <c r="O43" t="inlineStr">
        <is>
          <t>DW83</t>
        </is>
      </c>
      <c r="P43" t="inlineStr">
        <is>
          <t>MX-CED. VALLARTA</t>
        </is>
      </c>
      <c r="Q43" t="n">
        <v>20220523</v>
      </c>
      <c r="R43" t="n">
        <v>20281231</v>
      </c>
      <c r="S43" t="n">
        <v>20220523</v>
      </c>
      <c r="T43" t="n">
        <v>20271231</v>
      </c>
      <c r="U43" t="n">
        <v>220</v>
      </c>
      <c r="V43" t="inlineStr">
        <is>
          <t>MXN</t>
        </is>
      </c>
      <c r="W43" t="inlineStr">
        <is>
          <t>M3</t>
        </is>
      </c>
      <c r="X43" t="n">
        <v>0</v>
      </c>
      <c r="Y43" t="inlineStr">
        <is>
          <t>MXN</t>
        </is>
      </c>
      <c r="Z43" t="inlineStr">
        <is>
          <t>M3</t>
        </is>
      </c>
      <c r="AC43" t="n">
        <v>56103637</v>
      </c>
      <c r="AD43" t="n">
        <v>6644411540</v>
      </c>
      <c r="AE43" t="n">
        <v>1</v>
      </c>
      <c r="AF43" t="inlineStr">
        <is>
          <t>ENTREGADO</t>
        </is>
      </c>
      <c r="AG43" t="n">
        <v>1.359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20230920</v>
      </c>
      <c r="AM43" t="inlineStr">
        <is>
          <t>DW83-900007615-10000383</t>
        </is>
      </c>
    </row>
    <row r="44">
      <c r="A44" t="inlineStr">
        <is>
          <t>900007615DW8310000320</t>
        </is>
      </c>
      <c r="B44" t="inlineStr">
        <is>
          <t>4600054016-40</t>
        </is>
      </c>
      <c r="C44" t="n">
        <v>4600054016</v>
      </c>
      <c r="D44" t="n">
        <v>40</v>
      </c>
      <c r="E44" t="inlineStr">
        <is>
          <t>MXPO</t>
        </is>
      </c>
      <c r="F44" t="inlineStr">
        <is>
          <t>MXL</t>
        </is>
      </c>
      <c r="G44" t="n">
        <v>900007615</v>
      </c>
      <c r="H44" t="inlineStr">
        <is>
          <t>SF TC- ARMAMPET LAS VARAS</t>
        </is>
      </c>
      <c r="I44" t="n">
        <v>5061801</v>
      </c>
      <c r="J44" t="inlineStr">
        <is>
          <t>ARMAMPET SA DE CV</t>
        </is>
      </c>
      <c r="K44" t="inlineStr">
        <is>
          <t>N30</t>
        </is>
      </c>
      <c r="L44" t="inlineStr">
        <is>
          <t>(AP) NAFIN 30 Dias</t>
        </is>
      </c>
      <c r="M44" t="n">
        <v>10000320</v>
      </c>
      <c r="N44" t="inlineStr">
        <is>
          <t>Arena Triturada Caliza Malla 4</t>
        </is>
      </c>
      <c r="O44" t="inlineStr">
        <is>
          <t>DW83</t>
        </is>
      </c>
      <c r="P44" t="inlineStr">
        <is>
          <t>MX-CED. VALLARTA</t>
        </is>
      </c>
      <c r="Q44" t="n">
        <v>20220523</v>
      </c>
      <c r="R44" t="n">
        <v>20281231</v>
      </c>
      <c r="S44" t="n">
        <v>20230714</v>
      </c>
      <c r="T44" t="n">
        <v>20281231</v>
      </c>
      <c r="U44" t="n">
        <v>386</v>
      </c>
      <c r="V44" t="inlineStr">
        <is>
          <t>MXN</t>
        </is>
      </c>
      <c r="W44" t="inlineStr">
        <is>
          <t>M3</t>
        </is>
      </c>
      <c r="X44" t="n">
        <v>0</v>
      </c>
      <c r="Y44" t="inlineStr">
        <is>
          <t>MXN</t>
        </is>
      </c>
      <c r="Z44" t="inlineStr">
        <is>
          <t>M3</t>
        </is>
      </c>
      <c r="AC44" t="n">
        <v>56103638</v>
      </c>
      <c r="AD44" t="n">
        <v>6644411540</v>
      </c>
      <c r="AE44" t="n">
        <v>1</v>
      </c>
      <c r="AF44" t="inlineStr">
        <is>
          <t>ENTREGADO</t>
        </is>
      </c>
      <c r="AG44" t="n">
        <v>1.512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DW83-900007615-10000320</t>
        </is>
      </c>
    </row>
    <row r="45">
      <c r="A45" t="inlineStr">
        <is>
          <t>900007616DW8310000379</t>
        </is>
      </c>
      <c r="B45" t="inlineStr">
        <is>
          <t>4600054018-10</t>
        </is>
      </c>
      <c r="C45" t="n">
        <v>4600054018</v>
      </c>
      <c r="D45" t="n">
        <v>10</v>
      </c>
      <c r="E45" t="inlineStr">
        <is>
          <t>MXPO</t>
        </is>
      </c>
      <c r="F45" t="inlineStr">
        <is>
          <t>MXL</t>
        </is>
      </c>
      <c r="G45" t="n">
        <v>900007616</v>
      </c>
      <c r="H45" t="inlineStr">
        <is>
          <t>SF TC- SALDANA LAS VARAS</t>
        </is>
      </c>
      <c r="I45" t="n">
        <v>5002163</v>
      </c>
      <c r="J45" t="inlineStr">
        <is>
          <t>SALDANA MORONES HERIBERTO</t>
        </is>
      </c>
      <c r="K45" t="inlineStr">
        <is>
          <t>N30</t>
        </is>
      </c>
      <c r="L45" t="inlineStr">
        <is>
          <t>(AP) NAFIN 30 Dias</t>
        </is>
      </c>
      <c r="M45" t="n">
        <v>10000379</v>
      </c>
      <c r="N45" t="inlineStr">
        <is>
          <t>Grava Triturada Basalto 20 mm - 3/4"</t>
        </is>
      </c>
      <c r="O45" t="inlineStr">
        <is>
          <t>DW83</t>
        </is>
      </c>
      <c r="P45" t="inlineStr">
        <is>
          <t>MX-CED. VALLARTA</t>
        </is>
      </c>
      <c r="Q45" t="n">
        <v>20220523</v>
      </c>
      <c r="R45" t="n">
        <v>20281231</v>
      </c>
      <c r="S45" t="n">
        <v>20220523</v>
      </c>
      <c r="T45" t="n">
        <v>20271231</v>
      </c>
      <c r="U45" t="n">
        <v>220</v>
      </c>
      <c r="V45" t="inlineStr">
        <is>
          <t>MXN</t>
        </is>
      </c>
      <c r="W45" t="inlineStr">
        <is>
          <t>M3</t>
        </is>
      </c>
      <c r="X45" t="n">
        <v>0</v>
      </c>
      <c r="Y45" t="inlineStr">
        <is>
          <t>MXN</t>
        </is>
      </c>
      <c r="Z45" t="inlineStr">
        <is>
          <t>M3</t>
        </is>
      </c>
      <c r="AC45" t="n">
        <v>56103637</v>
      </c>
      <c r="AD45" t="n">
        <v>6644411540</v>
      </c>
      <c r="AE45" t="n">
        <v>1</v>
      </c>
      <c r="AF45" t="inlineStr">
        <is>
          <t>ENTREGADO</t>
        </is>
      </c>
      <c r="AG45" t="n">
        <v>1.43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DW83-900007616-10000379</t>
        </is>
      </c>
    </row>
    <row r="46">
      <c r="A46" t="inlineStr">
        <is>
          <t>900007616DW8310000383</t>
        </is>
      </c>
      <c r="B46" t="inlineStr">
        <is>
          <t>4600054018-20</t>
        </is>
      </c>
      <c r="C46" t="n">
        <v>4600054018</v>
      </c>
      <c r="D46" t="n">
        <v>20</v>
      </c>
      <c r="E46" t="inlineStr">
        <is>
          <t>MXPO</t>
        </is>
      </c>
      <c r="F46" t="inlineStr">
        <is>
          <t>MXL</t>
        </is>
      </c>
      <c r="G46" t="n">
        <v>900007616</v>
      </c>
      <c r="H46" t="inlineStr">
        <is>
          <t>SF TC- SALDANA LAS VARAS</t>
        </is>
      </c>
      <c r="I46" t="n">
        <v>5002163</v>
      </c>
      <c r="J46" t="inlineStr">
        <is>
          <t>SALDANA MORONES HERIBERTO</t>
        </is>
      </c>
      <c r="K46" t="inlineStr">
        <is>
          <t>N30</t>
        </is>
      </c>
      <c r="L46" t="inlineStr">
        <is>
          <t>(AP) NAFIN 30 Dias</t>
        </is>
      </c>
      <c r="M46" t="n">
        <v>10000383</v>
      </c>
      <c r="N46" t="inlineStr">
        <is>
          <t>Grava Triturada Basalto 40 mm - 1 1/2"</t>
        </is>
      </c>
      <c r="O46" t="inlineStr">
        <is>
          <t>DW83</t>
        </is>
      </c>
      <c r="P46" t="inlineStr">
        <is>
          <t>MX-CED. VALLARTA</t>
        </is>
      </c>
      <c r="Q46" t="n">
        <v>20220523</v>
      </c>
      <c r="R46" t="n">
        <v>20281231</v>
      </c>
      <c r="S46" t="n">
        <v>20220523</v>
      </c>
      <c r="T46" t="n">
        <v>20271231</v>
      </c>
      <c r="U46" t="n">
        <v>220</v>
      </c>
      <c r="V46" t="inlineStr">
        <is>
          <t>MXN</t>
        </is>
      </c>
      <c r="W46" t="inlineStr">
        <is>
          <t>M3</t>
        </is>
      </c>
      <c r="X46" t="n">
        <v>0</v>
      </c>
      <c r="Y46" t="inlineStr">
        <is>
          <t>MXN</t>
        </is>
      </c>
      <c r="Z46" t="inlineStr">
        <is>
          <t>M3</t>
        </is>
      </c>
      <c r="AC46" t="n">
        <v>56103637</v>
      </c>
      <c r="AD46" t="n">
        <v>6644411540</v>
      </c>
      <c r="AE46" t="n">
        <v>1</v>
      </c>
      <c r="AF46" t="inlineStr">
        <is>
          <t>ENTREGADO</t>
        </is>
      </c>
      <c r="AG46" t="n">
        <v>1.359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DW83-900007616-10000383</t>
        </is>
      </c>
    </row>
    <row r="47">
      <c r="A47" t="inlineStr">
        <is>
          <t>900007706DW8310000318</t>
        </is>
      </c>
      <c r="B47" t="inlineStr">
        <is>
          <t>4600054398-20</t>
        </is>
      </c>
      <c r="C47" t="n">
        <v>4600054398</v>
      </c>
      <c r="D47" t="n">
        <v>20</v>
      </c>
      <c r="E47" t="inlineStr">
        <is>
          <t>MXPO</t>
        </is>
      </c>
      <c r="F47" t="inlineStr">
        <is>
          <t>MXL</t>
        </is>
      </c>
      <c r="G47" t="n">
        <v>900007706</v>
      </c>
      <c r="H47" t="inlineStr">
        <is>
          <t>SF TC- CLADIMACO</t>
        </is>
      </c>
      <c r="I47" t="n">
        <v>5002330</v>
      </c>
      <c r="J47" t="inlineStr">
        <is>
          <t>CLASIFICADORA Y DISTR DE MAT P/CONS</t>
        </is>
      </c>
      <c r="K47" t="inlineStr">
        <is>
          <t>Z03</t>
        </is>
      </c>
      <c r="L47" t="inlineStr">
        <is>
          <t>(AP) 15 Dias</t>
        </is>
      </c>
      <c r="M47" t="n">
        <v>10000318</v>
      </c>
      <c r="N47" t="inlineStr">
        <is>
          <t>Grava Triturada Caliza 20 mm - 3/4"</t>
        </is>
      </c>
      <c r="O47" t="inlineStr">
        <is>
          <t>DW83</t>
        </is>
      </c>
      <c r="P47" t="inlineStr">
        <is>
          <t>MX-CED. VALLARTA</t>
        </is>
      </c>
      <c r="Q47" t="n">
        <v>20220704</v>
      </c>
      <c r="R47" t="n">
        <v>20271231</v>
      </c>
      <c r="S47" t="n">
        <v>20220704</v>
      </c>
      <c r="T47" t="n">
        <v>20271231</v>
      </c>
      <c r="U47" t="n">
        <v>282.55</v>
      </c>
      <c r="V47" t="inlineStr">
        <is>
          <t>MXN</t>
        </is>
      </c>
      <c r="W47" t="inlineStr">
        <is>
          <t>M3</t>
        </is>
      </c>
      <c r="X47" t="n">
        <v>0</v>
      </c>
      <c r="Y47" t="inlineStr">
        <is>
          <t>MXN</t>
        </is>
      </c>
      <c r="Z47" t="inlineStr">
        <is>
          <t>M3</t>
        </is>
      </c>
      <c r="AC47" t="n">
        <v>56103637</v>
      </c>
      <c r="AD47" t="n">
        <v>6644411540</v>
      </c>
      <c r="AE47" t="n">
        <v>1</v>
      </c>
      <c r="AF47" t="inlineStr">
        <is>
          <t>ENTREGADO</t>
        </is>
      </c>
      <c r="AG47" t="n">
        <v>1.35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DW83-900007706-10000318</t>
        </is>
      </c>
    </row>
    <row r="48">
      <c r="A48" t="inlineStr">
        <is>
          <t>900007615DW8310000379</t>
        </is>
      </c>
      <c r="B48" t="inlineStr">
        <is>
          <t>4600054016-10</t>
        </is>
      </c>
      <c r="C48" t="n">
        <v>4600054016</v>
      </c>
      <c r="D48" t="n">
        <v>10</v>
      </c>
      <c r="E48" t="inlineStr">
        <is>
          <t>MXPO</t>
        </is>
      </c>
      <c r="F48" t="inlineStr">
        <is>
          <t>MXL</t>
        </is>
      </c>
      <c r="G48" t="n">
        <v>900007615</v>
      </c>
      <c r="H48" t="inlineStr">
        <is>
          <t>SF TC- ARMAMPET LAS VARAS</t>
        </is>
      </c>
      <c r="I48" t="n">
        <v>5061801</v>
      </c>
      <c r="J48" t="inlineStr">
        <is>
          <t>ARMAMPET SA DE CV</t>
        </is>
      </c>
      <c r="K48" t="inlineStr">
        <is>
          <t>N30</t>
        </is>
      </c>
      <c r="L48" t="inlineStr">
        <is>
          <t>(AP) NAFIN 30 Dias</t>
        </is>
      </c>
      <c r="M48" t="n">
        <v>10000379</v>
      </c>
      <c r="N48" t="inlineStr">
        <is>
          <t>Grava Triturada Basalto 20 mm - 3/4"</t>
        </is>
      </c>
      <c r="O48" t="inlineStr">
        <is>
          <t>DW83</t>
        </is>
      </c>
      <c r="P48" t="inlineStr">
        <is>
          <t>MX-CED. VALLARTA</t>
        </is>
      </c>
      <c r="Q48" t="n">
        <v>20220523</v>
      </c>
      <c r="R48" t="n">
        <v>20281231</v>
      </c>
      <c r="S48" t="n">
        <v>20220523</v>
      </c>
      <c r="T48" t="n">
        <v>20271231</v>
      </c>
      <c r="U48" t="n">
        <v>220</v>
      </c>
      <c r="V48" t="inlineStr">
        <is>
          <t>MXN</t>
        </is>
      </c>
      <c r="W48" t="inlineStr">
        <is>
          <t>M3</t>
        </is>
      </c>
      <c r="X48" t="n">
        <v>0</v>
      </c>
      <c r="Y48" t="inlineStr">
        <is>
          <t>MXN</t>
        </is>
      </c>
      <c r="Z48" t="inlineStr">
        <is>
          <t>M3</t>
        </is>
      </c>
      <c r="AC48" t="n">
        <v>56103637</v>
      </c>
      <c r="AD48" t="n">
        <v>6644411540</v>
      </c>
      <c r="AE48" t="n">
        <v>1</v>
      </c>
      <c r="AF48" t="inlineStr">
        <is>
          <t>ENTREGADO</t>
        </is>
      </c>
      <c r="AG48" t="n">
        <v>1.43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DW83-900007615-10000379</t>
        </is>
      </c>
    </row>
    <row r="49">
      <c r="A49" t="inlineStr">
        <is>
          <t>900007616DW8310049556</t>
        </is>
      </c>
      <c r="B49" t="inlineStr">
        <is>
          <t>4600054018-30</t>
        </is>
      </c>
      <c r="C49" t="n">
        <v>4600054018</v>
      </c>
      <c r="D49" t="n">
        <v>30</v>
      </c>
      <c r="E49" t="inlineStr">
        <is>
          <t>MXPO</t>
        </is>
      </c>
      <c r="F49" t="inlineStr">
        <is>
          <t>MXL</t>
        </is>
      </c>
      <c r="G49" t="n">
        <v>900007616</v>
      </c>
      <c r="H49" t="inlineStr">
        <is>
          <t>SF TC- SALDANA LAS VARAS</t>
        </is>
      </c>
      <c r="I49" t="n">
        <v>5002163</v>
      </c>
      <c r="J49" t="inlineStr">
        <is>
          <t>SALDANA MORONES HERIBERTO</t>
        </is>
      </c>
      <c r="K49" t="inlineStr">
        <is>
          <t>N30</t>
        </is>
      </c>
      <c r="L49" t="inlineStr">
        <is>
          <t>(AP) NAFIN 30 Dias</t>
        </is>
      </c>
      <c r="M49" t="n">
        <v>10049556</v>
      </c>
      <c r="N49" t="inlineStr">
        <is>
          <t>Grava Triturada Basalto 10 mm - 3/8"</t>
        </is>
      </c>
      <c r="O49" t="inlineStr">
        <is>
          <t>DW83</t>
        </is>
      </c>
      <c r="P49" t="inlineStr">
        <is>
          <t>MX-CED. VALLARTA</t>
        </is>
      </c>
      <c r="Q49" t="n">
        <v>20220523</v>
      </c>
      <c r="R49" t="n">
        <v>20281231</v>
      </c>
      <c r="S49" t="n">
        <v>20220523</v>
      </c>
      <c r="T49" t="n">
        <v>20271231</v>
      </c>
      <c r="U49" t="n">
        <v>220</v>
      </c>
      <c r="V49" t="inlineStr">
        <is>
          <t>MXN</t>
        </is>
      </c>
      <c r="W49" t="inlineStr">
        <is>
          <t>M3</t>
        </is>
      </c>
      <c r="X49" t="n">
        <v>0</v>
      </c>
      <c r="Y49" t="inlineStr">
        <is>
          <t>MXN</t>
        </is>
      </c>
      <c r="Z49" t="inlineStr">
        <is>
          <t>M3</t>
        </is>
      </c>
      <c r="AC49" t="n">
        <v>56103637</v>
      </c>
      <c r="AD49" t="n">
        <v>6644411540</v>
      </c>
      <c r="AE49" t="n">
        <v>1</v>
      </c>
      <c r="AF49" t="inlineStr">
        <is>
          <t>ENTREGADO</t>
        </is>
      </c>
      <c r="AG49" t="n">
        <v>1.328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DW83-900007616-10049556</t>
        </is>
      </c>
    </row>
    <row r="50">
      <c r="A50" t="inlineStr">
        <is>
          <t>900007661DW83D21610000383</t>
        </is>
      </c>
      <c r="B50" t="inlineStr">
        <is>
          <t>4600054216-30</t>
        </is>
      </c>
      <c r="C50" t="n">
        <v>4600054216</v>
      </c>
      <c r="D50" t="n">
        <v>30</v>
      </c>
      <c r="E50" t="inlineStr">
        <is>
          <t>MXPO</t>
        </is>
      </c>
      <c r="F50" t="inlineStr">
        <is>
          <t>MXL</t>
        </is>
      </c>
      <c r="G50" t="n">
        <v>900007661</v>
      </c>
      <c r="H50" t="inlineStr">
        <is>
          <t>SF TC-ED- CASCO TEPIC</t>
        </is>
      </c>
      <c r="I50" t="n">
        <v>5086002</v>
      </c>
      <c r="J50" t="inlineStr">
        <is>
          <t>RENTAS Y CONSTRUCCIONES CASCO DE NA</t>
        </is>
      </c>
      <c r="K50" t="inlineStr">
        <is>
          <t>Z09</t>
        </is>
      </c>
      <c r="L50" t="inlineStr">
        <is>
          <t>(AP) 90 Dias</t>
        </is>
      </c>
      <c r="M50" t="n">
        <v>10000383</v>
      </c>
      <c r="N50" t="inlineStr">
        <is>
          <t>Grava Triturada Basalto 40 mm - 1 1/2"</t>
        </is>
      </c>
      <c r="O50" t="inlineStr">
        <is>
          <t>DW83</t>
        </is>
      </c>
      <c r="P50" t="inlineStr">
        <is>
          <t>MX-CED. VALLARTA</t>
        </is>
      </c>
      <c r="Q50" t="n">
        <v>20220613</v>
      </c>
      <c r="R50" t="n">
        <v>20281231</v>
      </c>
      <c r="S50" t="n">
        <v>20230602</v>
      </c>
      <c r="T50" t="n">
        <v>20281231</v>
      </c>
      <c r="U50" t="n">
        <v>453</v>
      </c>
      <c r="V50" t="inlineStr">
        <is>
          <t>MXN</t>
        </is>
      </c>
      <c r="W50" t="inlineStr">
        <is>
          <t>M3</t>
        </is>
      </c>
      <c r="X50" t="n">
        <v>73</v>
      </c>
      <c r="Y50" t="inlineStr">
        <is>
          <t>MXN</t>
        </is>
      </c>
      <c r="Z50" t="inlineStr">
        <is>
          <t>M3</t>
        </is>
      </c>
      <c r="AA50" t="inlineStr">
        <is>
          <t>D216</t>
        </is>
      </c>
      <c r="AB50" t="inlineStr">
        <is>
          <t>PD0130 TEPIC</t>
        </is>
      </c>
      <c r="AC50" t="n">
        <v>56103637</v>
      </c>
      <c r="AD50" t="n">
        <v>6644411540</v>
      </c>
      <c r="AE50" t="n">
        <v>4</v>
      </c>
      <c r="AF50" t="inlineStr">
        <is>
          <t>ENTREGA DIRECTA</t>
        </is>
      </c>
      <c r="AG50" t="n">
        <v>1.359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20230920</v>
      </c>
      <c r="AM50" t="inlineStr">
        <is>
          <t>DW83-900007661-D216-10000383-4</t>
        </is>
      </c>
    </row>
    <row r="51">
      <c r="A51" t="inlineStr">
        <is>
          <t>900008141DW83D21610000377</t>
        </is>
      </c>
      <c r="B51" t="inlineStr">
        <is>
          <t>4600057252-80</t>
        </is>
      </c>
      <c r="C51" t="n">
        <v>4600057252</v>
      </c>
      <c r="D51" t="n">
        <v>80</v>
      </c>
      <c r="E51" t="inlineStr">
        <is>
          <t>MXPO</t>
        </is>
      </c>
      <c r="F51" t="inlineStr">
        <is>
          <t>MXL</t>
        </is>
      </c>
      <c r="G51" t="n">
        <v>900008141</v>
      </c>
      <c r="H51" t="inlineStr">
        <is>
          <t>SF TC-ED TONY SILVA EL COLOMO</t>
        </is>
      </c>
      <c r="I51" t="n">
        <v>5011365</v>
      </c>
      <c r="J51" t="inlineStr">
        <is>
          <t>SILVA CARVAJAL MARCO ANTONIO</t>
        </is>
      </c>
      <c r="K51" t="inlineStr">
        <is>
          <t>Z03</t>
        </is>
      </c>
      <c r="L51" t="inlineStr">
        <is>
          <t>(AP) 15 Dias</t>
        </is>
      </c>
      <c r="M51" t="n">
        <v>10000377</v>
      </c>
      <c r="N51" t="inlineStr">
        <is>
          <t>Grava Triturada Basalto 10 mm - 3/8"</t>
        </is>
      </c>
      <c r="O51" t="inlineStr">
        <is>
          <t>DW83</t>
        </is>
      </c>
      <c r="P51" t="inlineStr">
        <is>
          <t>MX-CED. VALLARTA</t>
        </is>
      </c>
      <c r="Q51" t="n">
        <v>20230417</v>
      </c>
      <c r="R51" t="n">
        <v>20291231</v>
      </c>
      <c r="S51" t="n">
        <v>20230602</v>
      </c>
      <c r="T51" t="n">
        <v>20281231</v>
      </c>
      <c r="U51" t="n">
        <v>540</v>
      </c>
      <c r="V51" t="inlineStr">
        <is>
          <t>MXN</t>
        </is>
      </c>
      <c r="W51" t="inlineStr">
        <is>
          <t>M3</t>
        </is>
      </c>
      <c r="X51" t="n">
        <v>430</v>
      </c>
      <c r="Y51" t="inlineStr">
        <is>
          <t>MXN</t>
        </is>
      </c>
      <c r="Z51" t="inlineStr">
        <is>
          <t>M3</t>
        </is>
      </c>
      <c r="AA51" t="inlineStr">
        <is>
          <t>D216</t>
        </is>
      </c>
      <c r="AB51" t="inlineStr">
        <is>
          <t>PD0130 TEPIC</t>
        </is>
      </c>
      <c r="AC51" t="n">
        <v>56103637</v>
      </c>
      <c r="AD51" t="n">
        <v>6644411540</v>
      </c>
      <c r="AE51" t="n">
        <v>4</v>
      </c>
      <c r="AF51" t="inlineStr">
        <is>
          <t>ENTREGA DIRECTA</t>
        </is>
      </c>
      <c r="AG51" t="n">
        <v>1.458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DW83-900008141-D216-10000377-4</t>
        </is>
      </c>
    </row>
    <row r="52">
      <c r="A52" t="inlineStr">
        <is>
          <t>900007661DW83D21610000379</t>
        </is>
      </c>
      <c r="B52" t="inlineStr">
        <is>
          <t>4600054216-20</t>
        </is>
      </c>
      <c r="C52" t="n">
        <v>4600054216</v>
      </c>
      <c r="D52" t="n">
        <v>20</v>
      </c>
      <c r="E52" t="inlineStr">
        <is>
          <t>MXPO</t>
        </is>
      </c>
      <c r="F52" t="inlineStr">
        <is>
          <t>MXL</t>
        </is>
      </c>
      <c r="G52" t="n">
        <v>900007661</v>
      </c>
      <c r="H52" t="inlineStr">
        <is>
          <t>SF TC-ED- CASCO TEPIC</t>
        </is>
      </c>
      <c r="I52" t="n">
        <v>5086002</v>
      </c>
      <c r="J52" t="inlineStr">
        <is>
          <t>RENTAS Y CONSTRUCCIONES CASCO DE NA</t>
        </is>
      </c>
      <c r="K52" t="inlineStr">
        <is>
          <t>Z09</t>
        </is>
      </c>
      <c r="L52" t="inlineStr">
        <is>
          <t>(AP) 90 Dias</t>
        </is>
      </c>
      <c r="M52" t="n">
        <v>10000379</v>
      </c>
      <c r="N52" t="inlineStr">
        <is>
          <t>Grava Triturada Basalto 20 mm - 3/4"</t>
        </is>
      </c>
      <c r="O52" t="inlineStr">
        <is>
          <t>DW83</t>
        </is>
      </c>
      <c r="P52" t="inlineStr">
        <is>
          <t>MX-CED. VALLARTA</t>
        </is>
      </c>
      <c r="Q52" t="n">
        <v>20220613</v>
      </c>
      <c r="R52" t="n">
        <v>20281231</v>
      </c>
      <c r="S52" t="n">
        <v>20230602</v>
      </c>
      <c r="T52" t="n">
        <v>20281231</v>
      </c>
      <c r="U52" t="n">
        <v>453</v>
      </c>
      <c r="V52" t="inlineStr">
        <is>
          <t>MXN</t>
        </is>
      </c>
      <c r="W52" t="inlineStr">
        <is>
          <t>M3</t>
        </is>
      </c>
      <c r="X52" t="n">
        <v>73</v>
      </c>
      <c r="Y52" t="inlineStr">
        <is>
          <t>MXN</t>
        </is>
      </c>
      <c r="Z52" t="inlineStr">
        <is>
          <t>M3</t>
        </is>
      </c>
      <c r="AA52" t="inlineStr">
        <is>
          <t>D216</t>
        </is>
      </c>
      <c r="AB52" t="inlineStr">
        <is>
          <t>PD0130 TEPIC</t>
        </is>
      </c>
      <c r="AC52" t="n">
        <v>56103637</v>
      </c>
      <c r="AD52" t="n">
        <v>6644411540</v>
      </c>
      <c r="AE52" t="n">
        <v>4</v>
      </c>
      <c r="AF52" t="inlineStr">
        <is>
          <t>ENTREGA DIRECTA</t>
        </is>
      </c>
      <c r="AG52" t="n">
        <v>1.43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DW83-900007661-D216-10000379-4</t>
        </is>
      </c>
    </row>
    <row r="53">
      <c r="A53" t="inlineStr">
        <is>
          <t>900007661DW83D21610000726</t>
        </is>
      </c>
      <c r="B53" t="inlineStr">
        <is>
          <t>4600054216-50</t>
        </is>
      </c>
      <c r="C53" t="n">
        <v>4600054216</v>
      </c>
      <c r="D53" t="n">
        <v>50</v>
      </c>
      <c r="E53" t="inlineStr">
        <is>
          <t>MXPO</t>
        </is>
      </c>
      <c r="F53" t="inlineStr">
        <is>
          <t>MXL</t>
        </is>
      </c>
      <c r="G53" t="n">
        <v>900007661</v>
      </c>
      <c r="H53" t="inlineStr">
        <is>
          <t>SF TC-ED- CASCO TEPIC</t>
        </is>
      </c>
      <c r="I53" t="n">
        <v>5086002</v>
      </c>
      <c r="J53" t="inlineStr">
        <is>
          <t>RENTAS Y CONSTRUCCIONES CASCO DE NA</t>
        </is>
      </c>
      <c r="K53" t="inlineStr">
        <is>
          <t>Z09</t>
        </is>
      </c>
      <c r="L53" t="inlineStr">
        <is>
          <t>(AP) 90 Dias</t>
        </is>
      </c>
      <c r="M53" t="n">
        <v>10000726</v>
      </c>
      <c r="N53" t="inlineStr">
        <is>
          <t>Grava Triturada Basalto  13 mm - 1/2"</t>
        </is>
      </c>
      <c r="O53" t="inlineStr">
        <is>
          <t>DW83</t>
        </is>
      </c>
      <c r="P53" t="inlineStr">
        <is>
          <t>MX-CED. VALLARTA</t>
        </is>
      </c>
      <c r="Q53" t="n">
        <v>20220613</v>
      </c>
      <c r="R53" t="n">
        <v>20281231</v>
      </c>
      <c r="S53" t="n">
        <v>20220704</v>
      </c>
      <c r="T53" t="n">
        <v>20271231</v>
      </c>
      <c r="U53" t="n">
        <v>427.5</v>
      </c>
      <c r="V53" t="inlineStr">
        <is>
          <t>MXN</t>
        </is>
      </c>
      <c r="W53" t="inlineStr">
        <is>
          <t>M3</t>
        </is>
      </c>
      <c r="X53" t="n">
        <v>87.5</v>
      </c>
      <c r="Y53" t="inlineStr">
        <is>
          <t>MXN</t>
        </is>
      </c>
      <c r="Z53" t="inlineStr">
        <is>
          <t>M3</t>
        </is>
      </c>
      <c r="AA53" t="inlineStr">
        <is>
          <t>D216</t>
        </is>
      </c>
      <c r="AB53" t="inlineStr">
        <is>
          <t>PD0130 TEPIC</t>
        </is>
      </c>
      <c r="AC53" t="n">
        <v>56103637</v>
      </c>
      <c r="AD53" t="n">
        <v>6644411540</v>
      </c>
      <c r="AE53" t="n">
        <v>4</v>
      </c>
      <c r="AF53" t="inlineStr">
        <is>
          <t>ENTREGA DIRECTA</t>
        </is>
      </c>
      <c r="AG53" t="n">
        <v>1.333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DW83-900007661-D216-10000726-4</t>
        </is>
      </c>
    </row>
    <row r="54">
      <c r="A54" t="inlineStr">
        <is>
          <t>900007631DW83D21610000318</t>
        </is>
      </c>
      <c r="B54" t="inlineStr">
        <is>
          <t>4600054083-20</t>
        </is>
      </c>
      <c r="C54" t="n">
        <v>4600054083</v>
      </c>
      <c r="D54" t="n">
        <v>20</v>
      </c>
      <c r="E54" t="inlineStr">
        <is>
          <t>MXPO</t>
        </is>
      </c>
      <c r="F54" t="inlineStr">
        <is>
          <t>MXL</t>
        </is>
      </c>
      <c r="G54" t="n">
        <v>900007631</v>
      </c>
      <c r="H54" t="inlineStr">
        <is>
          <t>SF TC-ED- ADAHAN CASAS</t>
        </is>
      </c>
      <c r="I54" t="n">
        <v>5038881</v>
      </c>
      <c r="K54" t="inlineStr">
        <is>
          <t>Z09</t>
        </is>
      </c>
      <c r="L54" t="inlineStr">
        <is>
          <t>(AP) 90 Dias</t>
        </is>
      </c>
      <c r="M54" t="n">
        <v>10000318</v>
      </c>
      <c r="N54" t="inlineStr">
        <is>
          <t>Grava Triturada Caliza 20 mm - 3/4"</t>
        </is>
      </c>
      <c r="O54" t="inlineStr">
        <is>
          <t>DW83</t>
        </is>
      </c>
      <c r="P54" t="inlineStr">
        <is>
          <t>MX-CED. VALLARTA</t>
        </is>
      </c>
      <c r="Q54" t="n">
        <v>20220526</v>
      </c>
      <c r="R54" t="n">
        <v>20271231</v>
      </c>
      <c r="S54" t="n">
        <v>20220526</v>
      </c>
      <c r="T54" t="n">
        <v>20271231</v>
      </c>
      <c r="U54" t="n">
        <v>387.5</v>
      </c>
      <c r="V54" t="inlineStr">
        <is>
          <t>MXN</t>
        </is>
      </c>
      <c r="W54" t="inlineStr">
        <is>
          <t>M3</t>
        </is>
      </c>
      <c r="X54" t="n">
        <v>87.5</v>
      </c>
      <c r="Y54" t="inlineStr">
        <is>
          <t>MXN</t>
        </is>
      </c>
      <c r="Z54" t="inlineStr">
        <is>
          <t>M3</t>
        </is>
      </c>
      <c r="AA54" t="inlineStr">
        <is>
          <t>D216</t>
        </is>
      </c>
      <c r="AB54" t="inlineStr">
        <is>
          <t>PD0130 TEPIC</t>
        </is>
      </c>
      <c r="AC54" t="n">
        <v>56103637</v>
      </c>
      <c r="AD54" t="n">
        <v>6644411540</v>
      </c>
      <c r="AE54" t="n">
        <v>4</v>
      </c>
      <c r="AF54" t="inlineStr">
        <is>
          <t>ENTREGA DIRECTA</t>
        </is>
      </c>
      <c r="AG54" t="n">
        <v>1.35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20230828</v>
      </c>
      <c r="AM54" t="inlineStr">
        <is>
          <t>DW83-900007631-D216-10000318-4</t>
        </is>
      </c>
    </row>
    <row r="55">
      <c r="A55" t="inlineStr">
        <is>
          <t>900007631DW83D21610000554</t>
        </is>
      </c>
      <c r="B55" t="inlineStr">
        <is>
          <t>4600054083-30</t>
        </is>
      </c>
      <c r="C55" t="n">
        <v>4600054083</v>
      </c>
      <c r="D55" t="n">
        <v>30</v>
      </c>
      <c r="E55" t="inlineStr">
        <is>
          <t>MXPO</t>
        </is>
      </c>
      <c r="F55" t="inlineStr">
        <is>
          <t>MXL</t>
        </is>
      </c>
      <c r="G55" t="n">
        <v>900007631</v>
      </c>
      <c r="H55" t="inlineStr">
        <is>
          <t>SF TC-ED- ADAHAN CASAS</t>
        </is>
      </c>
      <c r="I55" t="n">
        <v>5038881</v>
      </c>
      <c r="K55" t="inlineStr">
        <is>
          <t>Z09</t>
        </is>
      </c>
      <c r="L55" t="inlineStr">
        <is>
          <t>(AP) 90 Dias</t>
        </is>
      </c>
      <c r="M55" t="n">
        <v>10000554</v>
      </c>
      <c r="N55" t="inlineStr">
        <is>
          <t>Grava Triturada Caliza 40 mm - 1 1/2"</t>
        </is>
      </c>
      <c r="O55" t="inlineStr">
        <is>
          <t>DW83</t>
        </is>
      </c>
      <c r="P55" t="inlineStr">
        <is>
          <t>MX-CED. VALLARTA</t>
        </is>
      </c>
      <c r="Q55" t="n">
        <v>20220526</v>
      </c>
      <c r="R55" t="n">
        <v>20271231</v>
      </c>
      <c r="S55" t="n">
        <v>20220526</v>
      </c>
      <c r="T55" t="n">
        <v>20271231</v>
      </c>
      <c r="U55" t="n">
        <v>387.5</v>
      </c>
      <c r="V55" t="inlineStr">
        <is>
          <t>MXN</t>
        </is>
      </c>
      <c r="W55" t="inlineStr">
        <is>
          <t>M3</t>
        </is>
      </c>
      <c r="X55" t="n">
        <v>87.5</v>
      </c>
      <c r="Y55" t="inlineStr">
        <is>
          <t>MXN</t>
        </is>
      </c>
      <c r="Z55" t="inlineStr">
        <is>
          <t>M3</t>
        </is>
      </c>
      <c r="AA55" t="inlineStr">
        <is>
          <t>D216</t>
        </is>
      </c>
      <c r="AB55" t="inlineStr">
        <is>
          <t>PD0130 TEPIC</t>
        </is>
      </c>
      <c r="AC55" t="n">
        <v>56103637</v>
      </c>
      <c r="AD55" t="n">
        <v>6644411540</v>
      </c>
      <c r="AE55" t="n">
        <v>4</v>
      </c>
      <c r="AF55" t="inlineStr">
        <is>
          <t>ENTREGA DIRECTA</t>
        </is>
      </c>
      <c r="AG55" t="n">
        <v>1.37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20230828</v>
      </c>
      <c r="AM55" t="inlineStr">
        <is>
          <t>DW83-900007631-D216-10000554-4</t>
        </is>
      </c>
    </row>
    <row r="56">
      <c r="A56" t="inlineStr">
        <is>
          <t>900007661DW83D21610049556</t>
        </is>
      </c>
      <c r="B56" t="inlineStr">
        <is>
          <t>4600054216-40</t>
        </is>
      </c>
      <c r="C56" t="n">
        <v>4600054216</v>
      </c>
      <c r="D56" t="n">
        <v>40</v>
      </c>
      <c r="E56" t="inlineStr">
        <is>
          <t>MXPO</t>
        </is>
      </c>
      <c r="F56" t="inlineStr">
        <is>
          <t>MXL</t>
        </is>
      </c>
      <c r="G56" t="n">
        <v>900007661</v>
      </c>
      <c r="H56" t="inlineStr">
        <is>
          <t>SF TC-ED- CASCO TEPIC</t>
        </is>
      </c>
      <c r="I56" t="n">
        <v>5086002</v>
      </c>
      <c r="J56" t="inlineStr">
        <is>
          <t>RENTAS Y CONSTRUCCIONES CASCO DE NA</t>
        </is>
      </c>
      <c r="K56" t="inlineStr">
        <is>
          <t>Z09</t>
        </is>
      </c>
      <c r="L56" t="inlineStr">
        <is>
          <t>(AP) 90 Dias</t>
        </is>
      </c>
      <c r="M56" t="n">
        <v>10049556</v>
      </c>
      <c r="N56" t="inlineStr">
        <is>
          <t>Grava Triturada Basalto 10 mm - 3/8"</t>
        </is>
      </c>
      <c r="O56" t="inlineStr">
        <is>
          <t>DW83</t>
        </is>
      </c>
      <c r="P56" t="inlineStr">
        <is>
          <t>MX-CED. VALLARTA</t>
        </is>
      </c>
      <c r="Q56" t="n">
        <v>20220613</v>
      </c>
      <c r="R56" t="n">
        <v>20281231</v>
      </c>
      <c r="S56" t="n">
        <v>20230602</v>
      </c>
      <c r="T56" t="n">
        <v>20281231</v>
      </c>
      <c r="U56" t="n">
        <v>453</v>
      </c>
      <c r="V56" t="inlineStr">
        <is>
          <t>MXN</t>
        </is>
      </c>
      <c r="W56" t="inlineStr">
        <is>
          <t>M3</t>
        </is>
      </c>
      <c r="X56" t="n">
        <v>73</v>
      </c>
      <c r="Y56" t="inlineStr">
        <is>
          <t>MXN</t>
        </is>
      </c>
      <c r="Z56" t="inlineStr">
        <is>
          <t>M3</t>
        </is>
      </c>
      <c r="AA56" t="inlineStr">
        <is>
          <t>D216</t>
        </is>
      </c>
      <c r="AB56" t="inlineStr">
        <is>
          <t>PD0130 TEPIC</t>
        </is>
      </c>
      <c r="AC56" t="n">
        <v>56103637</v>
      </c>
      <c r="AD56" t="n">
        <v>6644411540</v>
      </c>
      <c r="AE56" t="n">
        <v>4</v>
      </c>
      <c r="AF56" t="inlineStr">
        <is>
          <t>ENTREGA DIRECTA</t>
        </is>
      </c>
      <c r="AG56" t="n">
        <v>1.328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DW83-900007661-D216-10049556-4</t>
        </is>
      </c>
    </row>
    <row r="57">
      <c r="A57" t="inlineStr">
        <is>
          <t>900008141DW83D21610000719</t>
        </is>
      </c>
      <c r="B57" t="inlineStr">
        <is>
          <t>4600057252-70</t>
        </is>
      </c>
      <c r="C57" t="n">
        <v>4600057252</v>
      </c>
      <c r="D57" t="n">
        <v>70</v>
      </c>
      <c r="E57" t="inlineStr">
        <is>
          <t>MXPO</t>
        </is>
      </c>
      <c r="F57" t="inlineStr">
        <is>
          <t>MXL</t>
        </is>
      </c>
      <c r="G57" t="n">
        <v>900008141</v>
      </c>
      <c r="H57" t="inlineStr">
        <is>
          <t>SF TC-ED TONY SILVA EL COLOMO</t>
        </is>
      </c>
      <c r="I57" t="n">
        <v>5011365</v>
      </c>
      <c r="J57" t="inlineStr">
        <is>
          <t>SILVA CARVAJAL MARCO ANTONIO</t>
        </is>
      </c>
      <c r="K57" t="inlineStr">
        <is>
          <t>Z03</t>
        </is>
      </c>
      <c r="L57" t="inlineStr">
        <is>
          <t>(AP) 15 Dias</t>
        </is>
      </c>
      <c r="M57" t="n">
        <v>10000719</v>
      </c>
      <c r="N57" t="inlineStr">
        <is>
          <t>Arena Clasificada Río Malla 8</t>
        </is>
      </c>
      <c r="O57" t="inlineStr">
        <is>
          <t>DW83</t>
        </is>
      </c>
      <c r="P57" t="inlineStr">
        <is>
          <t>MX-CED. VALLARTA</t>
        </is>
      </c>
      <c r="Q57" t="n">
        <v>20230417</v>
      </c>
      <c r="R57" t="n">
        <v>20291231</v>
      </c>
      <c r="S57" t="n">
        <v>20230602</v>
      </c>
      <c r="T57" t="n">
        <v>20281231</v>
      </c>
      <c r="U57" t="n">
        <v>590</v>
      </c>
      <c r="V57" t="inlineStr">
        <is>
          <t>MXN</t>
        </is>
      </c>
      <c r="W57" t="inlineStr">
        <is>
          <t>M3</t>
        </is>
      </c>
      <c r="X57" t="n">
        <v>430</v>
      </c>
      <c r="Y57" t="inlineStr">
        <is>
          <t>MXN</t>
        </is>
      </c>
      <c r="Z57" t="inlineStr">
        <is>
          <t>M3</t>
        </is>
      </c>
      <c r="AA57" t="inlineStr">
        <is>
          <t>D216</t>
        </is>
      </c>
      <c r="AB57" t="inlineStr">
        <is>
          <t>PD0130 TEPIC</t>
        </is>
      </c>
      <c r="AC57" t="n">
        <v>56103638</v>
      </c>
      <c r="AD57" t="n">
        <v>6644411540</v>
      </c>
      <c r="AE57" t="n">
        <v>4</v>
      </c>
      <c r="AF57" t="inlineStr">
        <is>
          <t>ENTREGA DIRECTA</t>
        </is>
      </c>
      <c r="AG57" t="n">
        <v>1.442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20230920</v>
      </c>
      <c r="AM57" t="inlineStr">
        <is>
          <t>DW83-900008141-D216-10000719-4</t>
        </is>
      </c>
    </row>
    <row r="58">
      <c r="A58" t="inlineStr">
        <is>
          <t>900007631DW83D21610000237</t>
        </is>
      </c>
      <c r="B58" t="inlineStr">
        <is>
          <t>4600054083-40</t>
        </is>
      </c>
      <c r="C58" t="n">
        <v>4600054083</v>
      </c>
      <c r="D58" t="n">
        <v>40</v>
      </c>
      <c r="E58" t="inlineStr">
        <is>
          <t>MXPO</t>
        </is>
      </c>
      <c r="F58" t="inlineStr">
        <is>
          <t>MXL</t>
        </is>
      </c>
      <c r="G58" t="n">
        <v>900007631</v>
      </c>
      <c r="H58" t="inlineStr">
        <is>
          <t>SF TC-ED- ADAHAN CASAS</t>
        </is>
      </c>
      <c r="I58" t="n">
        <v>5038881</v>
      </c>
      <c r="K58" t="inlineStr">
        <is>
          <t>Z09</t>
        </is>
      </c>
      <c r="L58" t="inlineStr">
        <is>
          <t>(AP) 90 Dias</t>
        </is>
      </c>
      <c r="M58" t="n">
        <v>10000237</v>
      </c>
      <c r="N58" t="inlineStr">
        <is>
          <t>Grava Triturada Caliza 10 mm - 3/8"</t>
        </is>
      </c>
      <c r="O58" t="inlineStr">
        <is>
          <t>DW83</t>
        </is>
      </c>
      <c r="P58" t="inlineStr">
        <is>
          <t>MX-CED. VALLARTA</t>
        </is>
      </c>
      <c r="Q58" t="n">
        <v>20220526</v>
      </c>
      <c r="R58" t="n">
        <v>20271231</v>
      </c>
      <c r="S58" t="n">
        <v>20220526</v>
      </c>
      <c r="T58" t="n">
        <v>20271231</v>
      </c>
      <c r="U58" t="n">
        <v>437.5</v>
      </c>
      <c r="V58" t="inlineStr">
        <is>
          <t>MXN</t>
        </is>
      </c>
      <c r="W58" t="inlineStr">
        <is>
          <t>M3</t>
        </is>
      </c>
      <c r="X58" t="n">
        <v>87.5</v>
      </c>
      <c r="Y58" t="inlineStr">
        <is>
          <t>MXN</t>
        </is>
      </c>
      <c r="Z58" t="inlineStr">
        <is>
          <t>M3</t>
        </is>
      </c>
      <c r="AA58" t="inlineStr">
        <is>
          <t>D216</t>
        </is>
      </c>
      <c r="AB58" t="inlineStr">
        <is>
          <t>PD0130 TEPIC</t>
        </is>
      </c>
      <c r="AC58" t="n">
        <v>56103637</v>
      </c>
      <c r="AD58" t="n">
        <v>6644411540</v>
      </c>
      <c r="AE58" t="n">
        <v>4</v>
      </c>
      <c r="AF58" t="inlineStr">
        <is>
          <t>ENTREGA DIRECTA</t>
        </is>
      </c>
      <c r="AG58" t="n">
        <v>1.562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20230828</v>
      </c>
      <c r="AM58" t="inlineStr">
        <is>
          <t>DW83-900007631-D216-10000237-4</t>
        </is>
      </c>
    </row>
    <row r="59">
      <c r="A59" t="inlineStr">
        <is>
          <t>900003368DW83D21610000719</t>
        </is>
      </c>
      <c r="B59" t="inlineStr">
        <is>
          <t>4600050463-70</t>
        </is>
      </c>
      <c r="C59" t="n">
        <v>4600050463</v>
      </c>
      <c r="D59" t="n">
        <v>70</v>
      </c>
      <c r="E59" t="inlineStr">
        <is>
          <t>MXPO</t>
        </is>
      </c>
      <c r="F59" t="inlineStr">
        <is>
          <t>MXL</t>
        </is>
      </c>
      <c r="G59" t="n">
        <v>900003368</v>
      </c>
      <c r="H59" t="inlineStr">
        <is>
          <t>TC-ED SALDAÑA PORVENIR</t>
        </is>
      </c>
      <c r="I59" t="n">
        <v>5002163</v>
      </c>
      <c r="J59" t="inlineStr">
        <is>
          <t>SALDANA MORONES HERIBERTO</t>
        </is>
      </c>
      <c r="K59" t="inlineStr">
        <is>
          <t>N30</t>
        </is>
      </c>
      <c r="L59" t="inlineStr">
        <is>
          <t>(AP) NAFIN 30 Dias</t>
        </is>
      </c>
      <c r="M59" t="n">
        <v>10000719</v>
      </c>
      <c r="N59" t="inlineStr">
        <is>
          <t>Arena Clasificada Río Malla 8</t>
        </is>
      </c>
      <c r="O59" t="inlineStr">
        <is>
          <t>DW83</t>
        </is>
      </c>
      <c r="P59" t="inlineStr">
        <is>
          <t>MX-CED. VALLARTA</t>
        </is>
      </c>
      <c r="Q59" t="n">
        <v>20210801</v>
      </c>
      <c r="R59" t="n">
        <v>20291231</v>
      </c>
      <c r="S59" t="n">
        <v>20230203</v>
      </c>
      <c r="T59" t="n">
        <v>20281231</v>
      </c>
      <c r="U59" t="n">
        <v>460</v>
      </c>
      <c r="V59" t="inlineStr">
        <is>
          <t>MXN</t>
        </is>
      </c>
      <c r="W59" t="inlineStr">
        <is>
          <t>M3</t>
        </is>
      </c>
      <c r="X59" t="n">
        <v>320</v>
      </c>
      <c r="Y59" t="inlineStr">
        <is>
          <t>MXN</t>
        </is>
      </c>
      <c r="Z59" t="inlineStr">
        <is>
          <t>M3</t>
        </is>
      </c>
      <c r="AA59" t="inlineStr">
        <is>
          <t>D216</t>
        </is>
      </c>
      <c r="AB59" t="inlineStr">
        <is>
          <t>PD0130 TEPIC</t>
        </is>
      </c>
      <c r="AC59" t="n">
        <v>56103638</v>
      </c>
      <c r="AD59" t="n">
        <v>6644411540</v>
      </c>
      <c r="AE59" t="n">
        <v>4</v>
      </c>
      <c r="AF59" t="inlineStr">
        <is>
          <t>ENTREGA DIRECTA</t>
        </is>
      </c>
      <c r="AG59" t="n">
        <v>1.442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20230920</v>
      </c>
      <c r="AM59" t="inlineStr">
        <is>
          <t>DW83-900003368-D216-10000719-4</t>
        </is>
      </c>
    </row>
    <row r="60">
      <c r="A60" t="inlineStr">
        <is>
          <t>900007631DW83D21610000320</t>
        </is>
      </c>
      <c r="B60" t="inlineStr">
        <is>
          <t>4600054083-10</t>
        </is>
      </c>
      <c r="C60" t="n">
        <v>4600054083</v>
      </c>
      <c r="D60" t="n">
        <v>10</v>
      </c>
      <c r="E60" t="inlineStr">
        <is>
          <t>MXPO</t>
        </is>
      </c>
      <c r="F60" t="inlineStr">
        <is>
          <t>MXL</t>
        </is>
      </c>
      <c r="G60" t="n">
        <v>900007631</v>
      </c>
      <c r="H60" t="inlineStr">
        <is>
          <t>SF TC-ED- ADAHAN CASAS</t>
        </is>
      </c>
      <c r="I60" t="n">
        <v>5038881</v>
      </c>
      <c r="K60" t="inlineStr">
        <is>
          <t>Z09</t>
        </is>
      </c>
      <c r="L60" t="inlineStr">
        <is>
          <t>(AP) 90 Dias</t>
        </is>
      </c>
      <c r="M60" t="n">
        <v>10000320</v>
      </c>
      <c r="N60" t="inlineStr">
        <is>
          <t>Arena Triturada Caliza Malla 4</t>
        </is>
      </c>
      <c r="O60" t="inlineStr">
        <is>
          <t>DW83</t>
        </is>
      </c>
      <c r="P60" t="inlineStr">
        <is>
          <t>MX-CED. VALLARTA</t>
        </is>
      </c>
      <c r="Q60" t="n">
        <v>20220526</v>
      </c>
      <c r="R60" t="n">
        <v>20271231</v>
      </c>
      <c r="S60" t="n">
        <v>20220526</v>
      </c>
      <c r="T60" t="n">
        <v>20271231</v>
      </c>
      <c r="U60" t="n">
        <v>407.5</v>
      </c>
      <c r="V60" t="inlineStr">
        <is>
          <t>MXN</t>
        </is>
      </c>
      <c r="W60" t="inlineStr">
        <is>
          <t>M3</t>
        </is>
      </c>
      <c r="X60" t="n">
        <v>87.5</v>
      </c>
      <c r="Y60" t="inlineStr">
        <is>
          <t>MXN</t>
        </is>
      </c>
      <c r="Z60" t="inlineStr">
        <is>
          <t>M3</t>
        </is>
      </c>
      <c r="AA60" t="inlineStr">
        <is>
          <t>D216</t>
        </is>
      </c>
      <c r="AB60" t="inlineStr">
        <is>
          <t>PD0130 TEPIC</t>
        </is>
      </c>
      <c r="AC60" t="n">
        <v>56103638</v>
      </c>
      <c r="AD60" t="n">
        <v>6644411540</v>
      </c>
      <c r="AE60" t="n">
        <v>4</v>
      </c>
      <c r="AF60" t="inlineStr">
        <is>
          <t>ENTREGA DIRECTA</t>
        </is>
      </c>
      <c r="AG60" t="n">
        <v>1.512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20230828</v>
      </c>
      <c r="AM60" t="inlineStr">
        <is>
          <t>DW83-900007631-D216-10000320-4</t>
        </is>
      </c>
    </row>
    <row r="61">
      <c r="A61" t="inlineStr">
        <is>
          <t>900007661DW83D21610000857</t>
        </is>
      </c>
      <c r="B61" t="inlineStr">
        <is>
          <t>4600054216-10</t>
        </is>
      </c>
      <c r="C61" t="n">
        <v>4600054216</v>
      </c>
      <c r="D61" t="n">
        <v>10</v>
      </c>
      <c r="E61" t="inlineStr">
        <is>
          <t>MXPO</t>
        </is>
      </c>
      <c r="F61" t="inlineStr">
        <is>
          <t>MXL</t>
        </is>
      </c>
      <c r="G61" t="n">
        <v>900007661</v>
      </c>
      <c r="H61" t="inlineStr">
        <is>
          <t>SF TC-ED- CASCO TEPIC</t>
        </is>
      </c>
      <c r="I61" t="n">
        <v>5086002</v>
      </c>
      <c r="J61" t="inlineStr">
        <is>
          <t>RENTAS Y CONSTRUCCIONES CASCO DE NA</t>
        </is>
      </c>
      <c r="K61" t="inlineStr">
        <is>
          <t>Z09</t>
        </is>
      </c>
      <c r="L61" t="inlineStr">
        <is>
          <t>(AP) 90 Dias</t>
        </is>
      </c>
      <c r="M61" t="n">
        <v>10000857</v>
      </c>
      <c r="N61" t="inlineStr">
        <is>
          <t>Arena Triturada Basalto  Malla 4</t>
        </is>
      </c>
      <c r="O61" t="inlineStr">
        <is>
          <t>DW83</t>
        </is>
      </c>
      <c r="P61" t="inlineStr">
        <is>
          <t>MX-CED. VALLARTA</t>
        </is>
      </c>
      <c r="Q61" t="n">
        <v>20220613</v>
      </c>
      <c r="R61" t="n">
        <v>20281231</v>
      </c>
      <c r="S61" t="n">
        <v>20230602</v>
      </c>
      <c r="T61" t="n">
        <v>20281231</v>
      </c>
      <c r="U61" t="n">
        <v>463</v>
      </c>
      <c r="V61" t="inlineStr">
        <is>
          <t>MXN</t>
        </is>
      </c>
      <c r="W61" t="inlineStr">
        <is>
          <t>M3</t>
        </is>
      </c>
      <c r="X61" t="n">
        <v>73</v>
      </c>
      <c r="Y61" t="inlineStr">
        <is>
          <t>MXN</t>
        </is>
      </c>
      <c r="Z61" t="inlineStr">
        <is>
          <t>M3</t>
        </is>
      </c>
      <c r="AA61" t="inlineStr">
        <is>
          <t>D216</t>
        </is>
      </c>
      <c r="AB61" t="inlineStr">
        <is>
          <t>PD0130 TEPIC</t>
        </is>
      </c>
      <c r="AC61" t="n">
        <v>56103638</v>
      </c>
      <c r="AD61" t="n">
        <v>6644411540</v>
      </c>
      <c r="AE61" t="n">
        <v>4</v>
      </c>
      <c r="AF61" t="inlineStr">
        <is>
          <t>ENTREGA DIRECTA</t>
        </is>
      </c>
      <c r="AG61" t="n">
        <v>1.51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20230920</v>
      </c>
      <c r="AM61" t="inlineStr">
        <is>
          <t>DW83-900007661-D216-10000857-4</t>
        </is>
      </c>
    </row>
    <row r="62">
      <c r="A62" t="inlineStr">
        <is>
          <t>900000050DW83D21610000332</t>
        </is>
      </c>
      <c r="B62" t="inlineStr">
        <is>
          <t>4600050402-20</t>
        </is>
      </c>
      <c r="C62" t="n">
        <v>4600050402</v>
      </c>
      <c r="D62" t="n">
        <v>20</v>
      </c>
      <c r="E62" t="inlineStr">
        <is>
          <t>MXPO</t>
        </is>
      </c>
      <c r="F62" t="inlineStr">
        <is>
          <t>MXL</t>
        </is>
      </c>
      <c r="G62" t="n">
        <v>900000050</v>
      </c>
      <c r="H62" t="inlineStr">
        <is>
          <t>TC-ED-CLADIMACO</t>
        </is>
      </c>
      <c r="I62" t="n">
        <v>5002330</v>
      </c>
      <c r="J62" t="inlineStr">
        <is>
          <t>CLASIFICADORA Y DISTR DE MAT P/CONS</t>
        </is>
      </c>
      <c r="K62" t="inlineStr">
        <is>
          <t>Z03</t>
        </is>
      </c>
      <c r="L62" t="inlineStr">
        <is>
          <t>(AP) 15 Dias</t>
        </is>
      </c>
      <c r="M62" t="n">
        <v>10000332</v>
      </c>
      <c r="N62" t="inlineStr">
        <is>
          <t>Grava Triturada Pomez - Jal 20 mm - 3/4"</t>
        </is>
      </c>
      <c r="O62" t="inlineStr">
        <is>
          <t>DW83</t>
        </is>
      </c>
      <c r="P62" t="inlineStr">
        <is>
          <t>MX-CED. VALLARTA</t>
        </is>
      </c>
      <c r="Q62" t="n">
        <v>20210712</v>
      </c>
      <c r="R62" t="n">
        <v>20271231</v>
      </c>
      <c r="S62" t="n">
        <v>20220701</v>
      </c>
      <c r="T62" t="n">
        <v>20251231</v>
      </c>
      <c r="U62" t="n">
        <v>157.45</v>
      </c>
      <c r="V62" t="inlineStr">
        <is>
          <t>MXN</t>
        </is>
      </c>
      <c r="W62" t="inlineStr">
        <is>
          <t>M3</t>
        </is>
      </c>
      <c r="X62" t="n">
        <v>48.52</v>
      </c>
      <c r="Y62" t="inlineStr">
        <is>
          <t>MXN</t>
        </is>
      </c>
      <c r="Z62" t="inlineStr">
        <is>
          <t>M3</t>
        </is>
      </c>
      <c r="AA62" t="inlineStr">
        <is>
          <t>D216</t>
        </is>
      </c>
      <c r="AB62" t="inlineStr">
        <is>
          <t>PD0130 TEPIC</t>
        </is>
      </c>
      <c r="AC62" t="n">
        <v>56103637</v>
      </c>
      <c r="AD62" t="n">
        <v>6644411540</v>
      </c>
      <c r="AE62" t="n">
        <v>4</v>
      </c>
      <c r="AF62" t="inlineStr">
        <is>
          <t>ENTREGA DIRECTA</t>
        </is>
      </c>
      <c r="AG62" t="n">
        <v>0.8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DW83-900000050-D216-10000332-4</t>
        </is>
      </c>
    </row>
    <row r="63">
      <c r="A63" t="inlineStr">
        <is>
          <t>900000050DW83D21610000237</t>
        </is>
      </c>
      <c r="B63" t="inlineStr">
        <is>
          <t>4600050402-50</t>
        </is>
      </c>
      <c r="C63" t="n">
        <v>4600050402</v>
      </c>
      <c r="D63" t="n">
        <v>50</v>
      </c>
      <c r="E63" t="inlineStr">
        <is>
          <t>MXPO</t>
        </is>
      </c>
      <c r="F63" t="inlineStr">
        <is>
          <t>MXL</t>
        </is>
      </c>
      <c r="G63" t="n">
        <v>900000050</v>
      </c>
      <c r="H63" t="inlineStr">
        <is>
          <t>TC-ED-CLADIMACO</t>
        </is>
      </c>
      <c r="I63" t="n">
        <v>5002330</v>
      </c>
      <c r="J63" t="inlineStr">
        <is>
          <t>CLASIFICADORA Y DISTR DE MAT P/CONS</t>
        </is>
      </c>
      <c r="K63" t="inlineStr">
        <is>
          <t>Z03</t>
        </is>
      </c>
      <c r="L63" t="inlineStr">
        <is>
          <t>(AP) 15 Dias</t>
        </is>
      </c>
      <c r="M63" t="n">
        <v>10000237</v>
      </c>
      <c r="N63" t="inlineStr">
        <is>
          <t>Grava Triturada Caliza 10 mm - 3/8"</t>
        </is>
      </c>
      <c r="O63" t="inlineStr">
        <is>
          <t>DW83</t>
        </is>
      </c>
      <c r="P63" t="inlineStr">
        <is>
          <t>MX-CED. VALLARTA</t>
        </is>
      </c>
      <c r="Q63" t="n">
        <v>20210712</v>
      </c>
      <c r="R63" t="n">
        <v>20271231</v>
      </c>
      <c r="S63" t="n">
        <v>20230201</v>
      </c>
      <c r="T63" t="n">
        <v>20271231</v>
      </c>
      <c r="U63" t="n">
        <v>510.14</v>
      </c>
      <c r="V63" t="inlineStr">
        <is>
          <t>MXN</t>
        </is>
      </c>
      <c r="W63" t="inlineStr">
        <is>
          <t>M3</t>
        </is>
      </c>
      <c r="X63" t="n">
        <v>59.71</v>
      </c>
      <c r="Y63" t="inlineStr">
        <is>
          <t>MXN</t>
        </is>
      </c>
      <c r="Z63" t="inlineStr">
        <is>
          <t>M3</t>
        </is>
      </c>
      <c r="AA63" t="inlineStr">
        <is>
          <t>D216</t>
        </is>
      </c>
      <c r="AB63" t="inlineStr">
        <is>
          <t>PD0130 TEPIC</t>
        </is>
      </c>
      <c r="AC63" t="n">
        <v>56103637</v>
      </c>
      <c r="AD63" t="n">
        <v>6644411540</v>
      </c>
      <c r="AE63" t="n">
        <v>4</v>
      </c>
      <c r="AF63" t="inlineStr">
        <is>
          <t>ENTREGA DIRECTA</t>
        </is>
      </c>
      <c r="AG63" t="n">
        <v>1.562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20230920</v>
      </c>
      <c r="AM63" t="inlineStr">
        <is>
          <t>DW83-900000050-D216-10000237-4</t>
        </is>
      </c>
    </row>
    <row r="64">
      <c r="A64" t="inlineStr">
        <is>
          <t>900000050DW83D21610000320</t>
        </is>
      </c>
      <c r="B64" t="inlineStr">
        <is>
          <t>4600050402-30</t>
        </is>
      </c>
      <c r="C64" t="n">
        <v>4600050402</v>
      </c>
      <c r="D64" t="n">
        <v>30</v>
      </c>
      <c r="E64" t="inlineStr">
        <is>
          <t>MXPO</t>
        </is>
      </c>
      <c r="F64" t="inlineStr">
        <is>
          <t>MXL</t>
        </is>
      </c>
      <c r="G64" t="n">
        <v>900000050</v>
      </c>
      <c r="H64" t="inlineStr">
        <is>
          <t>TC-ED-CLADIMACO</t>
        </is>
      </c>
      <c r="I64" t="n">
        <v>5002330</v>
      </c>
      <c r="J64" t="inlineStr">
        <is>
          <t>CLASIFICADORA Y DISTR DE MAT P/CONS</t>
        </is>
      </c>
      <c r="K64" t="inlineStr">
        <is>
          <t>Z03</t>
        </is>
      </c>
      <c r="L64" t="inlineStr">
        <is>
          <t>(AP) 15 Dias</t>
        </is>
      </c>
      <c r="M64" t="n">
        <v>10000320</v>
      </c>
      <c r="N64" t="inlineStr">
        <is>
          <t>Arena Triturada Caliza Malla 4</t>
        </is>
      </c>
      <c r="O64" t="inlineStr">
        <is>
          <t>DW83</t>
        </is>
      </c>
      <c r="P64" t="inlineStr">
        <is>
          <t>MX-CED. VALLARTA</t>
        </is>
      </c>
      <c r="Q64" t="n">
        <v>20210712</v>
      </c>
      <c r="R64" t="n">
        <v>20271231</v>
      </c>
      <c r="S64" t="n">
        <v>20230201</v>
      </c>
      <c r="T64" t="n">
        <v>20271231</v>
      </c>
      <c r="U64" t="n">
        <v>383.2</v>
      </c>
      <c r="V64" t="inlineStr">
        <is>
          <t>MXN</t>
        </is>
      </c>
      <c r="W64" t="inlineStr">
        <is>
          <t>M3</t>
        </is>
      </c>
      <c r="X64" t="n">
        <v>59.71</v>
      </c>
      <c r="Y64" t="inlineStr">
        <is>
          <t>MXN</t>
        </is>
      </c>
      <c r="Z64" t="inlineStr">
        <is>
          <t>M3</t>
        </is>
      </c>
      <c r="AA64" t="inlineStr">
        <is>
          <t>D216</t>
        </is>
      </c>
      <c r="AB64" t="inlineStr">
        <is>
          <t>PD0130 TEPIC</t>
        </is>
      </c>
      <c r="AC64" t="n">
        <v>56103638</v>
      </c>
      <c r="AD64" t="n">
        <v>6644411540</v>
      </c>
      <c r="AE64" t="n">
        <v>4</v>
      </c>
      <c r="AF64" t="inlineStr">
        <is>
          <t>ENTREGA DIRECTA</t>
        </is>
      </c>
      <c r="AG64" t="n">
        <v>1.512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DW83-900000050-D216-10000320-4</t>
        </is>
      </c>
    </row>
    <row r="65">
      <c r="A65" t="inlineStr">
        <is>
          <t>900000050DW83D21610000318</t>
        </is>
      </c>
      <c r="B65" t="inlineStr">
        <is>
          <t>4600050402-40</t>
        </is>
      </c>
      <c r="C65" t="n">
        <v>4600050402</v>
      </c>
      <c r="D65" t="n">
        <v>40</v>
      </c>
      <c r="E65" t="inlineStr">
        <is>
          <t>MXPO</t>
        </is>
      </c>
      <c r="F65" t="inlineStr">
        <is>
          <t>MXL</t>
        </is>
      </c>
      <c r="G65" t="n">
        <v>900000050</v>
      </c>
      <c r="H65" t="inlineStr">
        <is>
          <t>TC-ED-CLADIMACO</t>
        </is>
      </c>
      <c r="I65" t="n">
        <v>5002330</v>
      </c>
      <c r="J65" t="inlineStr">
        <is>
          <t>CLASIFICADORA Y DISTR DE MAT P/CONS</t>
        </is>
      </c>
      <c r="K65" t="inlineStr">
        <is>
          <t>Z03</t>
        </is>
      </c>
      <c r="L65" t="inlineStr">
        <is>
          <t>(AP) 15 Dias</t>
        </is>
      </c>
      <c r="M65" t="n">
        <v>10000318</v>
      </c>
      <c r="N65" t="inlineStr">
        <is>
          <t>Grava Triturada Caliza 20 mm - 3/4"</t>
        </is>
      </c>
      <c r="O65" t="inlineStr">
        <is>
          <t>DW83</t>
        </is>
      </c>
      <c r="P65" t="inlineStr">
        <is>
          <t>MX-CED. VALLARTA</t>
        </is>
      </c>
      <c r="Q65" t="n">
        <v>20210712</v>
      </c>
      <c r="R65" t="n">
        <v>20271231</v>
      </c>
      <c r="S65" t="n">
        <v>20230201</v>
      </c>
      <c r="T65" t="n">
        <v>20271231</v>
      </c>
      <c r="U65" t="n">
        <v>362.73</v>
      </c>
      <c r="V65" t="inlineStr">
        <is>
          <t>MXN</t>
        </is>
      </c>
      <c r="W65" t="inlineStr">
        <is>
          <t>M3</t>
        </is>
      </c>
      <c r="X65" t="n">
        <v>59.71</v>
      </c>
      <c r="Y65" t="inlineStr">
        <is>
          <t>MXN</t>
        </is>
      </c>
      <c r="Z65" t="inlineStr">
        <is>
          <t>M3</t>
        </is>
      </c>
      <c r="AA65" t="inlineStr">
        <is>
          <t>D216</t>
        </is>
      </c>
      <c r="AB65" t="inlineStr">
        <is>
          <t>PD0130 TEPIC</t>
        </is>
      </c>
      <c r="AC65" t="n">
        <v>56103637</v>
      </c>
      <c r="AD65" t="n">
        <v>6644411540</v>
      </c>
      <c r="AE65" t="n">
        <v>4</v>
      </c>
      <c r="AF65" t="inlineStr">
        <is>
          <t>ENTREGA DIRECTA</t>
        </is>
      </c>
      <c r="AG65" t="n">
        <v>1.35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20230920</v>
      </c>
      <c r="AM65" t="inlineStr">
        <is>
          <t>DW83-900000050-D216-10000318-4</t>
        </is>
      </c>
    </row>
    <row r="66">
      <c r="A66" t="inlineStr">
        <is>
          <t>900000050DW83D38610000332</t>
        </is>
      </c>
      <c r="B66" t="inlineStr">
        <is>
          <t>4600050402-70</t>
        </is>
      </c>
      <c r="C66" t="n">
        <v>4600050402</v>
      </c>
      <c r="D66" t="n">
        <v>70</v>
      </c>
      <c r="E66" t="inlineStr">
        <is>
          <t>MXPO</t>
        </is>
      </c>
      <c r="F66" t="inlineStr">
        <is>
          <t>MXL</t>
        </is>
      </c>
      <c r="G66" t="n">
        <v>900000050</v>
      </c>
      <c r="H66" t="inlineStr">
        <is>
          <t>TC-ED-CLADIMACO</t>
        </is>
      </c>
      <c r="I66" t="n">
        <v>5002330</v>
      </c>
      <c r="J66" t="inlineStr">
        <is>
          <t>CLASIFICADORA Y DISTR DE MAT P/CONS</t>
        </is>
      </c>
      <c r="K66" t="inlineStr">
        <is>
          <t>Z03</t>
        </is>
      </c>
      <c r="L66" t="inlineStr">
        <is>
          <t>(AP) 15 Dias</t>
        </is>
      </c>
      <c r="M66" t="n">
        <v>10000332</v>
      </c>
      <c r="N66" t="inlineStr">
        <is>
          <t>Grava Triturada Pomez - Jal 20 mm - 3/4"</t>
        </is>
      </c>
      <c r="O66" t="inlineStr">
        <is>
          <t>DW83</t>
        </is>
      </c>
      <c r="P66" t="inlineStr">
        <is>
          <t>MX-CED. VALLARTA</t>
        </is>
      </c>
      <c r="Q66" t="n">
        <v>20210712</v>
      </c>
      <c r="R66" t="n">
        <v>20271231</v>
      </c>
      <c r="S66" t="n">
        <v>20211125</v>
      </c>
      <c r="T66" t="n">
        <v>20261231</v>
      </c>
      <c r="U66" t="n">
        <v>461</v>
      </c>
      <c r="V66" t="inlineStr">
        <is>
          <t>MXN</t>
        </is>
      </c>
      <c r="W66" t="inlineStr">
        <is>
          <t>M3</t>
        </is>
      </c>
      <c r="X66" t="n">
        <v>382</v>
      </c>
      <c r="Y66" t="inlineStr">
        <is>
          <t>MXN</t>
        </is>
      </c>
      <c r="Z66" t="inlineStr">
        <is>
          <t>M3</t>
        </is>
      </c>
      <c r="AA66" t="inlineStr">
        <is>
          <t>D386</t>
        </is>
      </c>
      <c r="AB66" t="inlineStr">
        <is>
          <t>PD0563 PUNTA DE MITA</t>
        </is>
      </c>
      <c r="AC66" t="n">
        <v>56103637</v>
      </c>
      <c r="AD66" t="n">
        <v>6644411540</v>
      </c>
      <c r="AE66" t="n">
        <v>4</v>
      </c>
      <c r="AF66" t="inlineStr">
        <is>
          <t>ENTREGA DIRECTA</t>
        </is>
      </c>
      <c r="AG66" t="n">
        <v>0.8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20230920</v>
      </c>
      <c r="AM66" t="inlineStr">
        <is>
          <t>DW83-900000050-D386-10000332-4</t>
        </is>
      </c>
    </row>
    <row r="67">
      <c r="A67" t="inlineStr">
        <is>
          <t>900004830DW83D03310000726</t>
        </is>
      </c>
      <c r="B67" t="inlineStr">
        <is>
          <t>4600050438-10</t>
        </is>
      </c>
      <c r="C67" t="n">
        <v>4600050438</v>
      </c>
      <c r="D67" t="n">
        <v>10</v>
      </c>
      <c r="E67" t="inlineStr">
        <is>
          <t>MXPO</t>
        </is>
      </c>
      <c r="F67" t="inlineStr">
        <is>
          <t>MXL</t>
        </is>
      </c>
      <c r="G67" t="n">
        <v>900004830</v>
      </c>
      <c r="H67" t="inlineStr">
        <is>
          <t>TC-ED ARMAMPET LAS VARAS</t>
        </is>
      </c>
      <c r="I67" t="n">
        <v>5061801</v>
      </c>
      <c r="J67" t="inlineStr">
        <is>
          <t>ARMAMPET SA DE CV</t>
        </is>
      </c>
      <c r="K67" t="inlineStr">
        <is>
          <t>N30</t>
        </is>
      </c>
      <c r="L67" t="inlineStr">
        <is>
          <t>(AP) NAFIN 30 Dias</t>
        </is>
      </c>
      <c r="M67" t="n">
        <v>10000726</v>
      </c>
      <c r="N67" t="inlineStr">
        <is>
          <t>Grava Triturada Basalto  13 mm - 1/2"</t>
        </is>
      </c>
      <c r="O67" t="inlineStr">
        <is>
          <t>DW83</t>
        </is>
      </c>
      <c r="P67" t="inlineStr">
        <is>
          <t>MX-CED. VALLARTA</t>
        </is>
      </c>
      <c r="Q67" t="n">
        <v>20210801</v>
      </c>
      <c r="R67" t="n">
        <v>20291231</v>
      </c>
      <c r="S67" t="n">
        <v>20230301</v>
      </c>
      <c r="T67" t="n">
        <v>20281231</v>
      </c>
      <c r="U67" t="n">
        <v>348.38</v>
      </c>
      <c r="V67" t="inlineStr">
        <is>
          <t>MXN</t>
        </is>
      </c>
      <c r="W67" t="inlineStr">
        <is>
          <t>M3</t>
        </is>
      </c>
      <c r="X67" t="n">
        <v>183.38</v>
      </c>
      <c r="Y67" t="inlineStr">
        <is>
          <t>MXN</t>
        </is>
      </c>
      <c r="Z67" t="inlineStr">
        <is>
          <t>M3</t>
        </is>
      </c>
      <c r="AA67" t="inlineStr">
        <is>
          <t>D033</t>
        </is>
      </c>
      <c r="AB67" t="inlineStr">
        <is>
          <t>PD0446 TUNELES GUAMUCHIL</t>
        </is>
      </c>
      <c r="AC67" t="n">
        <v>56103637</v>
      </c>
      <c r="AD67" t="n">
        <v>6644411540</v>
      </c>
      <c r="AE67" t="n">
        <v>4</v>
      </c>
      <c r="AF67" t="inlineStr">
        <is>
          <t>ENTREGA DIRECTA</t>
        </is>
      </c>
      <c r="AG67" t="n">
        <v>1.333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DW83-900004830-D033-10000726-4</t>
        </is>
      </c>
    </row>
    <row r="68">
      <c r="A68" t="inlineStr">
        <is>
          <t>900004830DW83D21610000379</t>
        </is>
      </c>
      <c r="B68" t="inlineStr">
        <is>
          <t>4600050438-250</t>
        </is>
      </c>
      <c r="C68" t="n">
        <v>4600050438</v>
      </c>
      <c r="D68" t="n">
        <v>250</v>
      </c>
      <c r="E68" t="inlineStr">
        <is>
          <t>MXPO</t>
        </is>
      </c>
      <c r="F68" t="inlineStr">
        <is>
          <t>MXL</t>
        </is>
      </c>
      <c r="G68" t="n">
        <v>900004830</v>
      </c>
      <c r="H68" t="inlineStr">
        <is>
          <t>TC-ED ARMAMPET LAS VARAS</t>
        </is>
      </c>
      <c r="I68" t="n">
        <v>5061801</v>
      </c>
      <c r="J68" t="inlineStr">
        <is>
          <t>ARMAMPET SA DE CV</t>
        </is>
      </c>
      <c r="K68" t="inlineStr">
        <is>
          <t>N30</t>
        </is>
      </c>
      <c r="L68" t="inlineStr">
        <is>
          <t>(AP) NAFIN 30 Dias</t>
        </is>
      </c>
      <c r="M68" t="n">
        <v>10000379</v>
      </c>
      <c r="N68" t="inlineStr">
        <is>
          <t>Grava Triturada Basalto 20 mm - 3/4"</t>
        </is>
      </c>
      <c r="O68" t="inlineStr">
        <is>
          <t>DW83</t>
        </is>
      </c>
      <c r="P68" t="inlineStr">
        <is>
          <t>MX-CED. VALLARTA</t>
        </is>
      </c>
      <c r="Q68" t="n">
        <v>20210801</v>
      </c>
      <c r="R68" t="n">
        <v>20291231</v>
      </c>
      <c r="S68" t="n">
        <v>20230203</v>
      </c>
      <c r="T68" t="n">
        <v>20281231</v>
      </c>
      <c r="U68" t="n">
        <v>410</v>
      </c>
      <c r="V68" t="inlineStr">
        <is>
          <t>MXN</t>
        </is>
      </c>
      <c r="W68" t="inlineStr">
        <is>
          <t>M3</t>
        </is>
      </c>
      <c r="X68" t="n">
        <v>239.5</v>
      </c>
      <c r="Y68" t="inlineStr">
        <is>
          <t>MXN</t>
        </is>
      </c>
      <c r="Z68" t="inlineStr">
        <is>
          <t>M3</t>
        </is>
      </c>
      <c r="AA68" t="inlineStr">
        <is>
          <t>D216</t>
        </is>
      </c>
      <c r="AB68" t="inlineStr">
        <is>
          <t>PD0130 TEPIC</t>
        </is>
      </c>
      <c r="AC68" t="n">
        <v>56103637</v>
      </c>
      <c r="AD68" t="n">
        <v>6644411540</v>
      </c>
      <c r="AE68" t="n">
        <v>4</v>
      </c>
      <c r="AF68" t="inlineStr">
        <is>
          <t>ENTREGA DIRECTA</t>
        </is>
      </c>
      <c r="AG68" t="n">
        <v>1.43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20230920</v>
      </c>
      <c r="AM68" t="inlineStr">
        <is>
          <t>DW83-900004830-D216-10000379-4</t>
        </is>
      </c>
    </row>
    <row r="69">
      <c r="A69" t="inlineStr">
        <is>
          <t>900000050DW83D21610000554</t>
        </is>
      </c>
      <c r="B69" t="inlineStr">
        <is>
          <t>4600050402-10</t>
        </is>
      </c>
      <c r="C69" t="n">
        <v>4600050402</v>
      </c>
      <c r="D69" t="n">
        <v>10</v>
      </c>
      <c r="E69" t="inlineStr">
        <is>
          <t>MXPO</t>
        </is>
      </c>
      <c r="F69" t="inlineStr">
        <is>
          <t>MXL</t>
        </is>
      </c>
      <c r="G69" t="n">
        <v>900000050</v>
      </c>
      <c r="H69" t="inlineStr">
        <is>
          <t>TC-ED-CLADIMACO</t>
        </is>
      </c>
      <c r="I69" t="n">
        <v>5002330</v>
      </c>
      <c r="J69" t="inlineStr">
        <is>
          <t>CLASIFICADORA Y DISTR DE MAT P/CONS</t>
        </is>
      </c>
      <c r="K69" t="inlineStr">
        <is>
          <t>Z03</t>
        </is>
      </c>
      <c r="L69" t="inlineStr">
        <is>
          <t>(AP) 15 Dias</t>
        </is>
      </c>
      <c r="M69" t="n">
        <v>10000554</v>
      </c>
      <c r="N69" t="inlineStr">
        <is>
          <t>Grava Triturada Caliza 40 mm - 1 1/2"</t>
        </is>
      </c>
      <c r="O69" t="inlineStr">
        <is>
          <t>DW83</t>
        </is>
      </c>
      <c r="P69" t="inlineStr">
        <is>
          <t>MX-CED. VALLARTA</t>
        </is>
      </c>
      <c r="Q69" t="n">
        <v>20210712</v>
      </c>
      <c r="R69" t="n">
        <v>20271231</v>
      </c>
      <c r="S69" t="n">
        <v>20230201</v>
      </c>
      <c r="T69" t="n">
        <v>20271231</v>
      </c>
      <c r="U69" t="n">
        <v>362.73</v>
      </c>
      <c r="V69" t="inlineStr">
        <is>
          <t>MXN</t>
        </is>
      </c>
      <c r="W69" t="inlineStr">
        <is>
          <t>M3</t>
        </is>
      </c>
      <c r="X69" t="n">
        <v>59.71</v>
      </c>
      <c r="Y69" t="inlineStr">
        <is>
          <t>MXN</t>
        </is>
      </c>
      <c r="Z69" t="inlineStr">
        <is>
          <t>M3</t>
        </is>
      </c>
      <c r="AA69" t="inlineStr">
        <is>
          <t>D216</t>
        </is>
      </c>
      <c r="AB69" t="inlineStr">
        <is>
          <t>PD0130 TEPIC</t>
        </is>
      </c>
      <c r="AC69" t="n">
        <v>56103637</v>
      </c>
      <c r="AD69" t="n">
        <v>6644411540</v>
      </c>
      <c r="AE69" t="n">
        <v>4</v>
      </c>
      <c r="AF69" t="inlineStr">
        <is>
          <t>ENTREGA DIRECTA</t>
        </is>
      </c>
      <c r="AG69" t="n">
        <v>1.37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20230920</v>
      </c>
      <c r="AM69" t="inlineStr">
        <is>
          <t>DW83-900000050-D216-10000554-4</t>
        </is>
      </c>
    </row>
    <row r="70">
      <c r="A70" t="inlineStr">
        <is>
          <t>900000050DW83D21610045015</t>
        </is>
      </c>
      <c r="B70" t="inlineStr">
        <is>
          <t>4600050402-60</t>
        </is>
      </c>
      <c r="C70" t="n">
        <v>4600050402</v>
      </c>
      <c r="D70" t="n">
        <v>60</v>
      </c>
      <c r="E70" t="inlineStr">
        <is>
          <t>MXPO</t>
        </is>
      </c>
      <c r="F70" t="inlineStr">
        <is>
          <t>MXL</t>
        </is>
      </c>
      <c r="G70" t="n">
        <v>900000050</v>
      </c>
      <c r="H70" t="inlineStr">
        <is>
          <t>TC-ED-CLADIMACO</t>
        </is>
      </c>
      <c r="I70" t="n">
        <v>5002330</v>
      </c>
      <c r="J70" t="inlineStr">
        <is>
          <t>CLASIFICADORA Y DISTR DE MAT P/CONS</t>
        </is>
      </c>
      <c r="K70" t="inlineStr">
        <is>
          <t>Z03</t>
        </is>
      </c>
      <c r="L70" t="inlineStr">
        <is>
          <t>(AP) 15 Dias</t>
        </is>
      </c>
      <c r="M70" t="n">
        <v>10045015</v>
      </c>
      <c r="N70" t="inlineStr">
        <is>
          <t>Sello Triturado Caliza 13 mm - 1/2"</t>
        </is>
      </c>
      <c r="O70" t="inlineStr">
        <is>
          <t>DW83</t>
        </is>
      </c>
      <c r="P70" t="inlineStr">
        <is>
          <t>MX-CED. VALLARTA</t>
        </is>
      </c>
      <c r="Q70" t="n">
        <v>20210712</v>
      </c>
      <c r="R70" t="n">
        <v>20271231</v>
      </c>
      <c r="S70" t="n">
        <v>20220701</v>
      </c>
      <c r="T70" t="n">
        <v>20251231</v>
      </c>
      <c r="U70" t="n">
        <v>469.47</v>
      </c>
      <c r="V70" t="inlineStr">
        <is>
          <t>MXN</t>
        </is>
      </c>
      <c r="W70" t="inlineStr">
        <is>
          <t>M3</t>
        </is>
      </c>
      <c r="X70" t="n">
        <v>48.52</v>
      </c>
      <c r="Y70" t="inlineStr">
        <is>
          <t>MXN</t>
        </is>
      </c>
      <c r="Z70" t="inlineStr">
        <is>
          <t>M3</t>
        </is>
      </c>
      <c r="AA70" t="inlineStr">
        <is>
          <t>D216</t>
        </is>
      </c>
      <c r="AB70" t="inlineStr">
        <is>
          <t>PD0130 TEPIC</t>
        </is>
      </c>
      <c r="AC70" t="n">
        <v>56103637</v>
      </c>
      <c r="AD70" t="n">
        <v>6644411540</v>
      </c>
      <c r="AE70" t="n">
        <v>4</v>
      </c>
      <c r="AF70" t="inlineStr">
        <is>
          <t>ENTREGA DIRECTA</t>
        </is>
      </c>
      <c r="AG70" t="n">
        <v>1.43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20230920</v>
      </c>
      <c r="AM70" t="inlineStr">
        <is>
          <t>DW83-900000050-D216-10045015-4</t>
        </is>
      </c>
    </row>
    <row r="71">
      <c r="A71" t="inlineStr">
        <is>
          <t>900004830DW83D21610000383</t>
        </is>
      </c>
      <c r="B71" t="inlineStr">
        <is>
          <t>4600050438-240</t>
        </is>
      </c>
      <c r="C71" t="n">
        <v>4600050438</v>
      </c>
      <c r="D71" t="n">
        <v>240</v>
      </c>
      <c r="E71" t="inlineStr">
        <is>
          <t>MXPO</t>
        </is>
      </c>
      <c r="F71" t="inlineStr">
        <is>
          <t>MXL</t>
        </is>
      </c>
      <c r="G71" t="n">
        <v>900004830</v>
      </c>
      <c r="H71" t="inlineStr">
        <is>
          <t>TC-ED ARMAMPET LAS VARAS</t>
        </is>
      </c>
      <c r="I71" t="n">
        <v>5061801</v>
      </c>
      <c r="J71" t="inlineStr">
        <is>
          <t>ARMAMPET SA DE CV</t>
        </is>
      </c>
      <c r="K71" t="inlineStr">
        <is>
          <t>N30</t>
        </is>
      </c>
      <c r="L71" t="inlineStr">
        <is>
          <t>(AP) NAFIN 30 Dias</t>
        </is>
      </c>
      <c r="M71" t="n">
        <v>10000383</v>
      </c>
      <c r="N71" t="inlineStr">
        <is>
          <t>Grava Triturada Basalto 40 mm - 1 1/2"</t>
        </is>
      </c>
      <c r="O71" t="inlineStr">
        <is>
          <t>DW83</t>
        </is>
      </c>
      <c r="P71" t="inlineStr">
        <is>
          <t>MX-CED. VALLARTA</t>
        </is>
      </c>
      <c r="Q71" t="n">
        <v>20210801</v>
      </c>
      <c r="R71" t="n">
        <v>20291231</v>
      </c>
      <c r="S71" t="n">
        <v>20230203</v>
      </c>
      <c r="T71" t="n">
        <v>20281231</v>
      </c>
      <c r="U71" t="n">
        <v>410</v>
      </c>
      <c r="V71" t="inlineStr">
        <is>
          <t>MXN</t>
        </is>
      </c>
      <c r="W71" t="inlineStr">
        <is>
          <t>M3</t>
        </is>
      </c>
      <c r="X71" t="n">
        <v>239.5</v>
      </c>
      <c r="Y71" t="inlineStr">
        <is>
          <t>MXN</t>
        </is>
      </c>
      <c r="Z71" t="inlineStr">
        <is>
          <t>M3</t>
        </is>
      </c>
      <c r="AA71" t="inlineStr">
        <is>
          <t>D216</t>
        </is>
      </c>
      <c r="AB71" t="inlineStr">
        <is>
          <t>PD0130 TEPIC</t>
        </is>
      </c>
      <c r="AC71" t="n">
        <v>56103637</v>
      </c>
      <c r="AD71" t="n">
        <v>6644411540</v>
      </c>
      <c r="AE71" t="n">
        <v>4</v>
      </c>
      <c r="AF71" t="inlineStr">
        <is>
          <t>ENTREGA DIRECTA</t>
        </is>
      </c>
      <c r="AG71" t="n">
        <v>1.359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20230920</v>
      </c>
      <c r="AM71" t="inlineStr">
        <is>
          <t>DW83-900004830-D216-10000383-4</t>
        </is>
      </c>
    </row>
    <row r="72">
      <c r="A72" t="inlineStr">
        <is>
          <t>900007347DW83D21610000318</t>
        </is>
      </c>
      <c r="B72" t="inlineStr">
        <is>
          <t>4600052206-20</t>
        </is>
      </c>
      <c r="C72" t="n">
        <v>4600052206</v>
      </c>
      <c r="D72" t="n">
        <v>20</v>
      </c>
      <c r="E72" t="inlineStr">
        <is>
          <t>MXPO</t>
        </is>
      </c>
      <c r="F72" t="inlineStr">
        <is>
          <t>MXL</t>
        </is>
      </c>
      <c r="G72" t="n">
        <v>900007347</v>
      </c>
      <c r="H72" t="inlineStr">
        <is>
          <t>SF TC-ED- CLADIMACO 14</t>
        </is>
      </c>
      <c r="I72" t="n">
        <v>5002330</v>
      </c>
      <c r="J72" t="inlineStr">
        <is>
          <t>CLASIFICADORA Y DISTR DE MAT P/CONS</t>
        </is>
      </c>
      <c r="K72" t="inlineStr">
        <is>
          <t>Z03</t>
        </is>
      </c>
      <c r="L72" t="inlineStr">
        <is>
          <t>(AP) 15 Dias</t>
        </is>
      </c>
      <c r="M72" t="n">
        <v>10000318</v>
      </c>
      <c r="N72" t="inlineStr">
        <is>
          <t>Grava Triturada Caliza 20 mm - 3/4"</t>
        </is>
      </c>
      <c r="O72" t="inlineStr">
        <is>
          <t>DW83</t>
        </is>
      </c>
      <c r="P72" t="inlineStr">
        <is>
          <t>MX-CED. VALLARTA</t>
        </is>
      </c>
      <c r="Q72" t="n">
        <v>20211012</v>
      </c>
      <c r="R72" t="n">
        <v>20261231</v>
      </c>
      <c r="S72" t="n">
        <v>20211012</v>
      </c>
      <c r="T72" t="n">
        <v>20261231</v>
      </c>
      <c r="U72" t="n">
        <v>283.24</v>
      </c>
      <c r="V72" t="inlineStr">
        <is>
          <t>MXN</t>
        </is>
      </c>
      <c r="W72" t="inlineStr">
        <is>
          <t>M3</t>
        </is>
      </c>
      <c r="X72" t="n">
        <v>44.11</v>
      </c>
      <c r="Y72" t="inlineStr">
        <is>
          <t>MXN</t>
        </is>
      </c>
      <c r="Z72" t="inlineStr">
        <is>
          <t>M3</t>
        </is>
      </c>
      <c r="AA72" t="inlineStr">
        <is>
          <t>D216</t>
        </is>
      </c>
      <c r="AB72" t="inlineStr">
        <is>
          <t>PD0130 TEPIC</t>
        </is>
      </c>
      <c r="AC72" t="n">
        <v>56103637</v>
      </c>
      <c r="AD72" t="n">
        <v>6644411540</v>
      </c>
      <c r="AE72" t="n">
        <v>4</v>
      </c>
      <c r="AF72" t="inlineStr">
        <is>
          <t>ENTREGA DIRECTA</t>
        </is>
      </c>
      <c r="AG72" t="n">
        <v>1.35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20260108</v>
      </c>
      <c r="AM72" t="inlineStr">
        <is>
          <t>DW83-900007347-D216-10000318-4</t>
        </is>
      </c>
    </row>
    <row r="73">
      <c r="A73" t="inlineStr">
        <is>
          <t>900007868DW8310000191</t>
        </is>
      </c>
      <c r="B73" t="inlineStr">
        <is>
          <t>4600057014-10</t>
        </is>
      </c>
      <c r="C73" t="n">
        <v>4600057014</v>
      </c>
      <c r="D73" t="n">
        <v>10</v>
      </c>
      <c r="E73" t="inlineStr">
        <is>
          <t>MXPO</t>
        </is>
      </c>
      <c r="F73" t="inlineStr">
        <is>
          <t>MXL</t>
        </is>
      </c>
      <c r="G73" t="n">
        <v>900007868</v>
      </c>
      <c r="H73" t="inlineStr">
        <is>
          <t>SF TC- SAN MIGUEL CUYUTLAN</t>
        </is>
      </c>
      <c r="I73" t="n">
        <v>5002462</v>
      </c>
      <c r="J73" t="inlineStr">
        <is>
          <t>GRAVA Y ARENA DEL SALTO SA DE CV</t>
        </is>
      </c>
      <c r="K73" t="inlineStr">
        <is>
          <t>Z09</t>
        </is>
      </c>
      <c r="L73" t="inlineStr">
        <is>
          <t>(AP) 90 Dias</t>
        </is>
      </c>
      <c r="M73" t="n">
        <v>10000191</v>
      </c>
      <c r="N73" t="inlineStr">
        <is>
          <t>Grava Triturada Basalto 20 mm - 3/4"</t>
        </is>
      </c>
      <c r="O73" t="inlineStr">
        <is>
          <t>DW83</t>
        </is>
      </c>
      <c r="P73" t="inlineStr">
        <is>
          <t>MX-CED. VALLARTA</t>
        </is>
      </c>
      <c r="Q73" t="n">
        <v>20230324</v>
      </c>
      <c r="R73" t="n">
        <v>20291231</v>
      </c>
      <c r="S73" t="n">
        <v>20250224</v>
      </c>
      <c r="T73" t="n">
        <v>20301231</v>
      </c>
      <c r="U73" t="n">
        <v>251.9</v>
      </c>
      <c r="V73" t="inlineStr">
        <is>
          <t>MXN</t>
        </is>
      </c>
      <c r="W73" t="inlineStr">
        <is>
          <t>M3</t>
        </is>
      </c>
      <c r="X73" t="n">
        <v>0</v>
      </c>
      <c r="Y73" t="inlineStr">
        <is>
          <t>MXN</t>
        </is>
      </c>
      <c r="Z73" t="inlineStr">
        <is>
          <t>M3</t>
        </is>
      </c>
      <c r="AC73" t="n">
        <v>56103637</v>
      </c>
      <c r="AD73" t="n">
        <v>6644411540</v>
      </c>
      <c r="AE73" t="n">
        <v>1</v>
      </c>
      <c r="AF73" t="inlineStr">
        <is>
          <t>ENTREGADO</t>
        </is>
      </c>
      <c r="AG73" t="n">
        <v>1.41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20250310</v>
      </c>
      <c r="AM73" t="inlineStr">
        <is>
          <t>DW83-900007868-10000191</t>
        </is>
      </c>
    </row>
    <row r="74">
      <c r="A74" t="inlineStr">
        <is>
          <t>900007347DW83D21610000320</t>
        </is>
      </c>
      <c r="B74" t="inlineStr">
        <is>
          <t>4600052206-10</t>
        </is>
      </c>
      <c r="C74" t="n">
        <v>4600052206</v>
      </c>
      <c r="D74" t="n">
        <v>10</v>
      </c>
      <c r="E74" t="inlineStr">
        <is>
          <t>MXPO</t>
        </is>
      </c>
      <c r="F74" t="inlineStr">
        <is>
          <t>MXL</t>
        </is>
      </c>
      <c r="G74" t="n">
        <v>900007347</v>
      </c>
      <c r="H74" t="inlineStr">
        <is>
          <t>SF TC-ED- CLADIMACO 14</t>
        </is>
      </c>
      <c r="I74" t="n">
        <v>5002330</v>
      </c>
      <c r="J74" t="inlineStr">
        <is>
          <t>CLASIFICADORA Y DISTR DE MAT P/CONS</t>
        </is>
      </c>
      <c r="K74" t="inlineStr">
        <is>
          <t>Z03</t>
        </is>
      </c>
      <c r="L74" t="inlineStr">
        <is>
          <t>(AP) 15 Dias</t>
        </is>
      </c>
      <c r="M74" t="n">
        <v>10000320</v>
      </c>
      <c r="N74" t="inlineStr">
        <is>
          <t>Arena Triturada Caliza Malla 4</t>
        </is>
      </c>
      <c r="O74" t="inlineStr">
        <is>
          <t>DW83</t>
        </is>
      </c>
      <c r="P74" t="inlineStr">
        <is>
          <t>MX-CED. VALLARTA</t>
        </is>
      </c>
      <c r="Q74" t="n">
        <v>20211012</v>
      </c>
      <c r="R74" t="n">
        <v>20261231</v>
      </c>
      <c r="S74" t="n">
        <v>20211012</v>
      </c>
      <c r="T74" t="n">
        <v>20261231</v>
      </c>
      <c r="U74" t="n">
        <v>283.24</v>
      </c>
      <c r="V74" t="inlineStr">
        <is>
          <t>MXN</t>
        </is>
      </c>
      <c r="W74" t="inlineStr">
        <is>
          <t>M3</t>
        </is>
      </c>
      <c r="X74" t="n">
        <v>44.11</v>
      </c>
      <c r="Y74" t="inlineStr">
        <is>
          <t>MXN</t>
        </is>
      </c>
      <c r="Z74" t="inlineStr">
        <is>
          <t>M3</t>
        </is>
      </c>
      <c r="AA74" t="inlineStr">
        <is>
          <t>D216</t>
        </is>
      </c>
      <c r="AB74" t="inlineStr">
        <is>
          <t>PD0130 TEPIC</t>
        </is>
      </c>
      <c r="AC74" t="n">
        <v>56103638</v>
      </c>
      <c r="AD74" t="n">
        <v>6644411540</v>
      </c>
      <c r="AE74" t="n">
        <v>4</v>
      </c>
      <c r="AF74" t="inlineStr">
        <is>
          <t>ENTREGA DIRECTA</t>
        </is>
      </c>
      <c r="AG74" t="n">
        <v>1.512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20260108</v>
      </c>
      <c r="AM74" t="inlineStr">
        <is>
          <t>DW83-900007347-D216-10000320-4</t>
        </is>
      </c>
    </row>
    <row r="75">
      <c r="A75" t="inlineStr">
        <is>
          <t>900007868DW8310000388</t>
        </is>
      </c>
      <c r="B75" t="inlineStr">
        <is>
          <t>4600057014-20</t>
        </is>
      </c>
      <c r="C75" t="n">
        <v>4600057014</v>
      </c>
      <c r="D75" t="n">
        <v>20</v>
      </c>
      <c r="E75" t="inlineStr">
        <is>
          <t>MXPO</t>
        </is>
      </c>
      <c r="F75" t="inlineStr">
        <is>
          <t>MXL</t>
        </is>
      </c>
      <c r="G75" t="n">
        <v>900007868</v>
      </c>
      <c r="H75" t="inlineStr">
        <is>
          <t>SF TC- SAN MIGUEL CUYUTLAN</t>
        </is>
      </c>
      <c r="I75" t="n">
        <v>5002462</v>
      </c>
      <c r="J75" t="inlineStr">
        <is>
          <t>GRAVA Y ARENA DEL SALTO SA DE CV</t>
        </is>
      </c>
      <c r="K75" t="inlineStr">
        <is>
          <t>Z09</t>
        </is>
      </c>
      <c r="L75" t="inlineStr">
        <is>
          <t>(AP) 90 Dias</t>
        </is>
      </c>
      <c r="M75" t="n">
        <v>10000388</v>
      </c>
      <c r="N75" t="inlineStr">
        <is>
          <t>Grava Triturada Basalto  40 mm - 1 1/2"</t>
        </is>
      </c>
      <c r="O75" t="inlineStr">
        <is>
          <t>DW83</t>
        </is>
      </c>
      <c r="P75" t="inlineStr">
        <is>
          <t>MX-CED. VALLARTA</t>
        </is>
      </c>
      <c r="Q75" t="n">
        <v>20230324</v>
      </c>
      <c r="R75" t="n">
        <v>20291231</v>
      </c>
      <c r="S75" t="n">
        <v>20250224</v>
      </c>
      <c r="T75" t="n">
        <v>20301231</v>
      </c>
      <c r="U75" t="n">
        <v>251.91</v>
      </c>
      <c r="V75" t="inlineStr">
        <is>
          <t>MXN</t>
        </is>
      </c>
      <c r="W75" t="inlineStr">
        <is>
          <t>M3</t>
        </is>
      </c>
      <c r="X75" t="n">
        <v>0</v>
      </c>
      <c r="Y75" t="inlineStr">
        <is>
          <t>MXN</t>
        </is>
      </c>
      <c r="Z75" t="inlineStr">
        <is>
          <t>M3</t>
        </is>
      </c>
      <c r="AC75" t="n">
        <v>56103637</v>
      </c>
      <c r="AD75" t="n">
        <v>6644411540</v>
      </c>
      <c r="AE75" t="n">
        <v>1</v>
      </c>
      <c r="AF75" t="inlineStr">
        <is>
          <t>ENTREGADO</t>
        </is>
      </c>
      <c r="AG75" t="n">
        <v>1.395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20250310</v>
      </c>
      <c r="AM75" t="inlineStr">
        <is>
          <t>DW83-900007868-10000388</t>
        </is>
      </c>
    </row>
    <row r="76">
      <c r="A76" t="inlineStr">
        <is>
          <t>900008141DW83D21610192197</t>
        </is>
      </c>
      <c r="B76" t="inlineStr">
        <is>
          <t>4600057252-110</t>
        </is>
      </c>
      <c r="C76" t="n">
        <v>4600057252</v>
      </c>
      <c r="D76" t="n">
        <v>110</v>
      </c>
      <c r="E76" t="inlineStr">
        <is>
          <t>MXPO</t>
        </is>
      </c>
      <c r="F76" t="inlineStr">
        <is>
          <t>MXL</t>
        </is>
      </c>
      <c r="G76" t="n">
        <v>900008141</v>
      </c>
      <c r="H76" t="inlineStr">
        <is>
          <t>SF TC-ED TONY SILVA EL COLOMO</t>
        </is>
      </c>
      <c r="I76" t="n">
        <v>5011365</v>
      </c>
      <c r="J76" t="inlineStr">
        <is>
          <t>SILVA CARVAJAL MARCO ANTONIO</t>
        </is>
      </c>
      <c r="K76" t="inlineStr">
        <is>
          <t>Z03</t>
        </is>
      </c>
      <c r="L76" t="inlineStr">
        <is>
          <t>(AP) 15 Dias</t>
        </is>
      </c>
      <c r="M76" t="n">
        <v>10192197</v>
      </c>
      <c r="N76" t="inlineStr">
        <is>
          <t>ARENA CLASIFICADA RIO MALLA 5</t>
        </is>
      </c>
      <c r="O76" t="inlineStr">
        <is>
          <t>DW83</t>
        </is>
      </c>
      <c r="P76" t="inlineStr">
        <is>
          <t>MX-CED. VALLARTA</t>
        </is>
      </c>
      <c r="Q76" t="n">
        <v>20230417</v>
      </c>
      <c r="R76" t="n">
        <v>20291231</v>
      </c>
      <c r="S76" t="n">
        <v>20230705</v>
      </c>
      <c r="T76" t="n">
        <v>20281231</v>
      </c>
      <c r="U76" t="n">
        <v>560</v>
      </c>
      <c r="V76" t="inlineStr">
        <is>
          <t>MXN</t>
        </is>
      </c>
      <c r="W76" t="inlineStr">
        <is>
          <t>M3</t>
        </is>
      </c>
      <c r="X76" t="n">
        <v>428</v>
      </c>
      <c r="Y76" t="inlineStr">
        <is>
          <t>MXN</t>
        </is>
      </c>
      <c r="Z76" t="inlineStr">
        <is>
          <t>M3</t>
        </is>
      </c>
      <c r="AA76" t="inlineStr">
        <is>
          <t>D216</t>
        </is>
      </c>
      <c r="AB76" t="inlineStr">
        <is>
          <t>PD0130 TEPIC</t>
        </is>
      </c>
      <c r="AC76" t="n">
        <v>56103638</v>
      </c>
      <c r="AD76" t="n">
        <v>6644411540</v>
      </c>
      <c r="AE76" t="n">
        <v>4</v>
      </c>
      <c r="AF76" t="inlineStr">
        <is>
          <t>ENTREGA DIRECTA</t>
        </is>
      </c>
      <c r="AG76" t="n">
        <v>1.443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20230920</v>
      </c>
      <c r="AM76" t="inlineStr">
        <is>
          <t>DW83-900008141-D216-10192197-4</t>
        </is>
      </c>
    </row>
    <row r="77">
      <c r="A77" t="inlineStr">
        <is>
          <t>900008141DW83D21610000379</t>
        </is>
      </c>
      <c r="B77" t="inlineStr">
        <is>
          <t>4600057252-10</t>
        </is>
      </c>
      <c r="C77" t="n">
        <v>4600057252</v>
      </c>
      <c r="D77" t="n">
        <v>10</v>
      </c>
      <c r="E77" t="inlineStr">
        <is>
          <t>MXPO</t>
        </is>
      </c>
      <c r="F77" t="inlineStr">
        <is>
          <t>MXL</t>
        </is>
      </c>
      <c r="G77" t="n">
        <v>900008141</v>
      </c>
      <c r="H77" t="inlineStr">
        <is>
          <t>SF TC-ED TONY SILVA EL COLOMO</t>
        </is>
      </c>
      <c r="I77" t="n">
        <v>5011365</v>
      </c>
      <c r="J77" t="inlineStr">
        <is>
          <t>SILVA CARVAJAL MARCO ANTONIO</t>
        </is>
      </c>
      <c r="K77" t="inlineStr">
        <is>
          <t>Z03</t>
        </is>
      </c>
      <c r="L77" t="inlineStr">
        <is>
          <t>(AP) 15 Dias</t>
        </is>
      </c>
      <c r="M77" t="n">
        <v>10000379</v>
      </c>
      <c r="N77" t="inlineStr">
        <is>
          <t>Grava Triturada Basalto 20 mm - 3/4"</t>
        </is>
      </c>
      <c r="O77" t="inlineStr">
        <is>
          <t>DW83</t>
        </is>
      </c>
      <c r="P77" t="inlineStr">
        <is>
          <t>MX-CED. VALLARTA</t>
        </is>
      </c>
      <c r="Q77" t="n">
        <v>20230417</v>
      </c>
      <c r="R77" t="n">
        <v>20291231</v>
      </c>
      <c r="S77" t="n">
        <v>20230417</v>
      </c>
      <c r="T77" t="n">
        <v>20281231</v>
      </c>
      <c r="U77" t="n">
        <v>590</v>
      </c>
      <c r="V77" t="inlineStr">
        <is>
          <t>MXN</t>
        </is>
      </c>
      <c r="W77" t="inlineStr">
        <is>
          <t>M3</t>
        </is>
      </c>
      <c r="X77" t="n">
        <v>419.5</v>
      </c>
      <c r="Y77" t="inlineStr">
        <is>
          <t>MXN</t>
        </is>
      </c>
      <c r="Z77" t="inlineStr">
        <is>
          <t>M3</t>
        </is>
      </c>
      <c r="AA77" t="inlineStr">
        <is>
          <t>D216</t>
        </is>
      </c>
      <c r="AB77" t="inlineStr">
        <is>
          <t>PD0130 TEPIC</t>
        </is>
      </c>
      <c r="AC77" t="n">
        <v>56103637</v>
      </c>
      <c r="AD77" t="n">
        <v>6644411540</v>
      </c>
      <c r="AE77" t="n">
        <v>4</v>
      </c>
      <c r="AF77" t="inlineStr">
        <is>
          <t>ENTREGA DIRECTA</t>
        </is>
      </c>
      <c r="AG77" t="n">
        <v>1.43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20230920</v>
      </c>
      <c r="AM77" t="inlineStr">
        <is>
          <t>DW83-900008141-D216-10000379-4</t>
        </is>
      </c>
    </row>
    <row r="78">
      <c r="A78" t="inlineStr">
        <is>
          <t>900008141DW83D21610000383</t>
        </is>
      </c>
      <c r="B78" t="inlineStr">
        <is>
          <t>4600057252-20</t>
        </is>
      </c>
      <c r="C78" t="n">
        <v>4600057252</v>
      </c>
      <c r="D78" t="n">
        <v>20</v>
      </c>
      <c r="E78" t="inlineStr">
        <is>
          <t>MXPO</t>
        </is>
      </c>
      <c r="F78" t="inlineStr">
        <is>
          <t>MXL</t>
        </is>
      </c>
      <c r="G78" t="n">
        <v>900008141</v>
      </c>
      <c r="H78" t="inlineStr">
        <is>
          <t>SF TC-ED TONY SILVA EL COLOMO</t>
        </is>
      </c>
      <c r="I78" t="n">
        <v>5011365</v>
      </c>
      <c r="J78" t="inlineStr">
        <is>
          <t>SILVA CARVAJAL MARCO ANTONIO</t>
        </is>
      </c>
      <c r="K78" t="inlineStr">
        <is>
          <t>Z03</t>
        </is>
      </c>
      <c r="L78" t="inlineStr">
        <is>
          <t>(AP) 15 Dias</t>
        </is>
      </c>
      <c r="M78" t="n">
        <v>10000383</v>
      </c>
      <c r="N78" t="inlineStr">
        <is>
          <t>Grava Triturada Basalto 40 mm - 1 1/2"</t>
        </is>
      </c>
      <c r="O78" t="inlineStr">
        <is>
          <t>DW83</t>
        </is>
      </c>
      <c r="P78" t="inlineStr">
        <is>
          <t>MX-CED. VALLARTA</t>
        </is>
      </c>
      <c r="Q78" t="n">
        <v>20230417</v>
      </c>
      <c r="R78" t="n">
        <v>20291231</v>
      </c>
      <c r="S78" t="n">
        <v>20230417</v>
      </c>
      <c r="T78" t="n">
        <v>20281231</v>
      </c>
      <c r="U78" t="n">
        <v>590</v>
      </c>
      <c r="V78" t="inlineStr">
        <is>
          <t>MXN</t>
        </is>
      </c>
      <c r="W78" t="inlineStr">
        <is>
          <t>M3</t>
        </is>
      </c>
      <c r="X78" t="n">
        <v>419.5</v>
      </c>
      <c r="Y78" t="inlineStr">
        <is>
          <t>MXN</t>
        </is>
      </c>
      <c r="Z78" t="inlineStr">
        <is>
          <t>M3</t>
        </is>
      </c>
      <c r="AA78" t="inlineStr">
        <is>
          <t>D216</t>
        </is>
      </c>
      <c r="AB78" t="inlineStr">
        <is>
          <t>PD0130 TEPIC</t>
        </is>
      </c>
      <c r="AC78" t="n">
        <v>56103637</v>
      </c>
      <c r="AD78" t="n">
        <v>6644411540</v>
      </c>
      <c r="AE78" t="n">
        <v>4</v>
      </c>
      <c r="AF78" t="inlineStr">
        <is>
          <t>ENTREGA DIRECTA</t>
        </is>
      </c>
      <c r="AG78" t="n">
        <v>1.359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20230920</v>
      </c>
      <c r="AM78" t="inlineStr">
        <is>
          <t>DW83-900008141-D216-10000383-4</t>
        </is>
      </c>
    </row>
    <row r="79">
      <c r="A79" t="inlineStr">
        <is>
          <t>900008141DW83D21610000320</t>
        </is>
      </c>
      <c r="B79" t="inlineStr">
        <is>
          <t>4600057252-30</t>
        </is>
      </c>
      <c r="C79" t="n">
        <v>4600057252</v>
      </c>
      <c r="D79" t="n">
        <v>30</v>
      </c>
      <c r="E79" t="inlineStr">
        <is>
          <t>MXPO</t>
        </is>
      </c>
      <c r="F79" t="inlineStr">
        <is>
          <t>MXL</t>
        </is>
      </c>
      <c r="G79" t="n">
        <v>900008141</v>
      </c>
      <c r="H79" t="inlineStr">
        <is>
          <t>SF TC-ED TONY SILVA EL COLOMO</t>
        </is>
      </c>
      <c r="I79" t="n">
        <v>5011365</v>
      </c>
      <c r="J79" t="inlineStr">
        <is>
          <t>SILVA CARVAJAL MARCO ANTONIO</t>
        </is>
      </c>
      <c r="K79" t="inlineStr">
        <is>
          <t>Z03</t>
        </is>
      </c>
      <c r="L79" t="inlineStr">
        <is>
          <t>(AP) 15 Dias</t>
        </is>
      </c>
      <c r="M79" t="n">
        <v>10000320</v>
      </c>
      <c r="N79" t="inlineStr">
        <is>
          <t>Arena Triturada Caliza Malla 4</t>
        </is>
      </c>
      <c r="O79" t="inlineStr">
        <is>
          <t>DW83</t>
        </is>
      </c>
      <c r="P79" t="inlineStr">
        <is>
          <t>MX-CED. VALLARTA</t>
        </is>
      </c>
      <c r="Q79" t="n">
        <v>20230417</v>
      </c>
      <c r="R79" t="n">
        <v>20291231</v>
      </c>
      <c r="S79" t="n">
        <v>20230417</v>
      </c>
      <c r="T79" t="n">
        <v>20281231</v>
      </c>
      <c r="U79" t="n">
        <v>560</v>
      </c>
      <c r="V79" t="inlineStr">
        <is>
          <t>MXN</t>
        </is>
      </c>
      <c r="W79" t="inlineStr">
        <is>
          <t>M3</t>
        </is>
      </c>
      <c r="X79" t="n">
        <v>428</v>
      </c>
      <c r="Y79" t="inlineStr">
        <is>
          <t>MXN</t>
        </is>
      </c>
      <c r="Z79" t="inlineStr">
        <is>
          <t>M3</t>
        </is>
      </c>
      <c r="AA79" t="inlineStr">
        <is>
          <t>D216</t>
        </is>
      </c>
      <c r="AB79" t="inlineStr">
        <is>
          <t>PD0130 TEPIC</t>
        </is>
      </c>
      <c r="AC79" t="n">
        <v>56103638</v>
      </c>
      <c r="AD79" t="n">
        <v>6644411540</v>
      </c>
      <c r="AE79" t="n">
        <v>4</v>
      </c>
      <c r="AF79" t="inlineStr">
        <is>
          <t>ENTREGA DIRECTA</t>
        </is>
      </c>
      <c r="AG79" t="n">
        <v>1.512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20230920</v>
      </c>
      <c r="AM79" t="inlineStr">
        <is>
          <t>DW83-900008141-D216-10000320-4</t>
        </is>
      </c>
    </row>
    <row r="80">
      <c r="A80" t="inlineStr">
        <is>
          <t>900004995DW83D38610210656</t>
        </is>
      </c>
      <c r="B80" t="inlineStr">
        <is>
          <t>4600054529-10</t>
        </is>
      </c>
      <c r="C80" t="n">
        <v>4600054529</v>
      </c>
      <c r="D80" t="n">
        <v>10</v>
      </c>
      <c r="E80" t="inlineStr">
        <is>
          <t>MXPO</t>
        </is>
      </c>
      <c r="F80" t="inlineStr">
        <is>
          <t>MXL</t>
        </is>
      </c>
      <c r="G80" t="n">
        <v>900004995</v>
      </c>
      <c r="H80" t="inlineStr">
        <is>
          <t>TC-ED LA FUNDICION</t>
        </is>
      </c>
      <c r="I80" t="n">
        <v>5065714</v>
      </c>
      <c r="J80" t="inlineStr">
        <is>
          <t>GRUPO MINERO LA FUNDICION SA DE CV</t>
        </is>
      </c>
      <c r="K80" t="inlineStr">
        <is>
          <t>N60</t>
        </is>
      </c>
      <c r="L80" t="inlineStr">
        <is>
          <t>(AP) NAFIN 60 Dias</t>
        </is>
      </c>
      <c r="M80" t="n">
        <v>10210656</v>
      </c>
      <c r="N80" t="inlineStr">
        <is>
          <t>GRAVA TRITURADA POMEZ - JAL 20 MM - 3/4"</t>
        </is>
      </c>
      <c r="O80" t="inlineStr">
        <is>
          <t>DW83</t>
        </is>
      </c>
      <c r="P80" t="inlineStr">
        <is>
          <t>MX-CED. VALLARTA</t>
        </is>
      </c>
      <c r="Q80" t="n">
        <v>20220630</v>
      </c>
      <c r="R80" t="n">
        <v>20291231</v>
      </c>
      <c r="S80" t="n">
        <v>20240301</v>
      </c>
      <c r="T80" t="n">
        <v>20291231</v>
      </c>
      <c r="U80" t="n">
        <v>773.7</v>
      </c>
      <c r="V80" t="inlineStr">
        <is>
          <t>MXN</t>
        </is>
      </c>
      <c r="W80" t="inlineStr">
        <is>
          <t>M3</t>
        </is>
      </c>
      <c r="X80" t="n">
        <v>614.7</v>
      </c>
      <c r="Y80" t="inlineStr">
        <is>
          <t>MXN</t>
        </is>
      </c>
      <c r="Z80" t="inlineStr">
        <is>
          <t>M3</t>
        </is>
      </c>
      <c r="AA80" t="inlineStr">
        <is>
          <t>D386</t>
        </is>
      </c>
      <c r="AB80" t="inlineStr">
        <is>
          <t>PD0563 PUNTA DE MITA</t>
        </is>
      </c>
      <c r="AC80" t="n">
        <v>56103637</v>
      </c>
      <c r="AD80" t="n">
        <v>6644411540</v>
      </c>
      <c r="AE80" t="n">
        <v>4</v>
      </c>
      <c r="AF80" t="inlineStr">
        <is>
          <t>ENTREGA DIRECTA</t>
        </is>
      </c>
      <c r="AG80" t="n">
        <v>0.8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20240531</v>
      </c>
      <c r="AM80" t="inlineStr">
        <is>
          <t>DW83-900004995-D386-10210656-4</t>
        </is>
      </c>
    </row>
    <row r="81">
      <c r="A81" t="inlineStr">
        <is>
          <t>900008141DW83D21510000332</t>
        </is>
      </c>
      <c r="B81" t="inlineStr">
        <is>
          <t>4600057252-150</t>
        </is>
      </c>
      <c r="C81" t="n">
        <v>4600057252</v>
      </c>
      <c r="D81" t="n">
        <v>150</v>
      </c>
      <c r="E81" t="inlineStr">
        <is>
          <t>MXPO</t>
        </is>
      </c>
      <c r="F81" t="inlineStr">
        <is>
          <t>MXL</t>
        </is>
      </c>
      <c r="G81" t="n">
        <v>900008141</v>
      </c>
      <c r="H81" t="inlineStr">
        <is>
          <t>SF TC-ED TONY SILVA EL COLOMO</t>
        </is>
      </c>
      <c r="I81" t="n">
        <v>5011365</v>
      </c>
      <c r="J81" t="inlineStr">
        <is>
          <t>SILVA CARVAJAL MARCO ANTONIO</t>
        </is>
      </c>
      <c r="K81" t="inlineStr">
        <is>
          <t>Z03</t>
        </is>
      </c>
      <c r="L81" t="inlineStr">
        <is>
          <t>(AP) 15 Dias</t>
        </is>
      </c>
      <c r="M81" t="n">
        <v>10000332</v>
      </c>
      <c r="N81" t="inlineStr">
        <is>
          <t>Grava Triturada Pomez - Jal 20 mm - 3/4"</t>
        </is>
      </c>
      <c r="O81" t="inlineStr">
        <is>
          <t>DW83</t>
        </is>
      </c>
      <c r="P81" t="inlineStr">
        <is>
          <t>MX-CED. VALLARTA</t>
        </is>
      </c>
      <c r="Q81" t="n">
        <v>20230417</v>
      </c>
      <c r="R81" t="n">
        <v>20291231</v>
      </c>
      <c r="S81" t="n">
        <v>20240307</v>
      </c>
      <c r="T81" t="n">
        <v>20291231</v>
      </c>
      <c r="U81" t="n">
        <v>500</v>
      </c>
      <c r="V81" t="inlineStr">
        <is>
          <t>MXN</t>
        </is>
      </c>
      <c r="W81" t="inlineStr">
        <is>
          <t>M3</t>
        </is>
      </c>
      <c r="X81" t="n">
        <v>250</v>
      </c>
      <c r="Y81" t="inlineStr">
        <is>
          <t>MXN</t>
        </is>
      </c>
      <c r="Z81" t="inlineStr">
        <is>
          <t>M3</t>
        </is>
      </c>
      <c r="AA81" t="inlineStr">
        <is>
          <t>D215</t>
        </is>
      </c>
      <c r="AB81" t="inlineStr">
        <is>
          <t>PD0159 PUERTO VALLARTA</t>
        </is>
      </c>
      <c r="AC81" t="n">
        <v>56103637</v>
      </c>
      <c r="AD81" t="n">
        <v>6644411540</v>
      </c>
      <c r="AE81" t="n">
        <v>4</v>
      </c>
      <c r="AF81" t="inlineStr">
        <is>
          <t>ENTREGA DIRECTA</t>
        </is>
      </c>
      <c r="AG81" t="n">
        <v>0.8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20240312</v>
      </c>
      <c r="AM81" t="inlineStr">
        <is>
          <t>DW83-900008141-D215-10000332-4</t>
        </is>
      </c>
    </row>
    <row r="82">
      <c r="A82" t="inlineStr">
        <is>
          <t>900001405DW83D21510001867</t>
        </is>
      </c>
      <c r="B82" t="inlineStr">
        <is>
          <t>4600050415-10</t>
        </is>
      </c>
      <c r="C82" t="n">
        <v>4600050415</v>
      </c>
      <c r="D82" t="n">
        <v>10</v>
      </c>
      <c r="E82" t="inlineStr">
        <is>
          <t>MXPO</t>
        </is>
      </c>
      <c r="F82" t="inlineStr">
        <is>
          <t>MXL</t>
        </is>
      </c>
      <c r="G82" t="n">
        <v>900001405</v>
      </c>
      <c r="H82" t="inlineStr">
        <is>
          <t>TC-ED CALCIO Y MARMOLINAS</t>
        </is>
      </c>
      <c r="I82" t="n">
        <v>5002495</v>
      </c>
      <c r="J82" t="inlineStr">
        <is>
          <t>CALCIO Y MARMOLINAS SA DE CV</t>
        </is>
      </c>
      <c r="K82" t="inlineStr">
        <is>
          <t>Z09</t>
        </is>
      </c>
      <c r="L82" t="inlineStr">
        <is>
          <t>(AP) 90 Dias</t>
        </is>
      </c>
      <c r="M82" t="n">
        <v>10001867</v>
      </c>
      <c r="N82" t="inlineStr">
        <is>
          <t>GRAVA TRITURADA MARMOL 10 MM - 3/8"</t>
        </is>
      </c>
      <c r="O82" t="inlineStr">
        <is>
          <t>DW83</t>
        </is>
      </c>
      <c r="P82" t="inlineStr">
        <is>
          <t>MX-CED. VALLARTA</t>
        </is>
      </c>
      <c r="Q82" t="n">
        <v>20210712</v>
      </c>
      <c r="R82" t="n">
        <v>20261231</v>
      </c>
      <c r="S82" t="n">
        <v>20210712</v>
      </c>
      <c r="T82" t="n">
        <v>20261231</v>
      </c>
      <c r="U82" t="n">
        <v>1250</v>
      </c>
      <c r="V82" t="inlineStr">
        <is>
          <t>MXN</t>
        </is>
      </c>
      <c r="W82" t="inlineStr">
        <is>
          <t>TN</t>
        </is>
      </c>
      <c r="X82" t="n">
        <v>1000</v>
      </c>
      <c r="Y82" t="inlineStr">
        <is>
          <t>MXN</t>
        </is>
      </c>
      <c r="Z82" t="inlineStr">
        <is>
          <t>TN</t>
        </is>
      </c>
      <c r="AA82" t="inlineStr">
        <is>
          <t>D215</t>
        </is>
      </c>
      <c r="AB82" t="inlineStr">
        <is>
          <t>PD0159 PUERTO VALLARTA</t>
        </is>
      </c>
      <c r="AC82" t="n">
        <v>56103637</v>
      </c>
      <c r="AD82" t="n">
        <v>6644411540</v>
      </c>
      <c r="AE82" t="n">
        <v>4</v>
      </c>
      <c r="AF82" t="inlineStr">
        <is>
          <t>ENTREGA DIRECTA</t>
        </is>
      </c>
      <c r="AG82" t="n">
        <v>1</v>
      </c>
      <c r="AH82" t="inlineStr">
        <is>
          <t>TO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20260108</v>
      </c>
      <c r="AM82" t="inlineStr">
        <is>
          <t>DW83-900001405-D215-10001867-4</t>
        </is>
      </c>
    </row>
    <row r="83">
      <c r="A83" t="inlineStr">
        <is>
          <t>900008141DW83D55710000332</t>
        </is>
      </c>
      <c r="B83" t="inlineStr">
        <is>
          <t>4600057252-180</t>
        </is>
      </c>
      <c r="C83" t="n">
        <v>4600057252</v>
      </c>
      <c r="D83" t="n">
        <v>180</v>
      </c>
      <c r="E83" t="inlineStr">
        <is>
          <t>MXPO</t>
        </is>
      </c>
      <c r="F83" t="inlineStr">
        <is>
          <t>MXL</t>
        </is>
      </c>
      <c r="G83" t="n">
        <v>900008141</v>
      </c>
      <c r="H83" t="inlineStr">
        <is>
          <t>SF TC-ED TONY SILVA EL COLOMO</t>
        </is>
      </c>
      <c r="I83" t="n">
        <v>5011365</v>
      </c>
      <c r="J83" t="inlineStr">
        <is>
          <t>SILVA CARVAJAL MARCO ANTONIO</t>
        </is>
      </c>
      <c r="K83" t="inlineStr">
        <is>
          <t>Z03</t>
        </is>
      </c>
      <c r="L83" t="inlineStr">
        <is>
          <t>(AP) 15 Dias</t>
        </is>
      </c>
      <c r="M83" t="n">
        <v>10000332</v>
      </c>
      <c r="N83" t="inlineStr">
        <is>
          <t>Grava Triturada Pomez - Jal 20 mm - 3/4"</t>
        </is>
      </c>
      <c r="O83" t="inlineStr">
        <is>
          <t>DW83</t>
        </is>
      </c>
      <c r="P83" t="inlineStr">
        <is>
          <t>MX-CED. VALLARTA</t>
        </is>
      </c>
      <c r="Q83" t="n">
        <v>20230417</v>
      </c>
      <c r="R83" t="n">
        <v>20291231</v>
      </c>
      <c r="S83" t="n">
        <v>20240307</v>
      </c>
      <c r="T83" t="n">
        <v>20291231</v>
      </c>
      <c r="U83" t="n">
        <v>450</v>
      </c>
      <c r="V83" t="inlineStr">
        <is>
          <t>MXN</t>
        </is>
      </c>
      <c r="W83" t="inlineStr">
        <is>
          <t>M3</t>
        </is>
      </c>
      <c r="X83" t="n">
        <v>200</v>
      </c>
      <c r="Y83" t="inlineStr">
        <is>
          <t>MXN</t>
        </is>
      </c>
      <c r="Z83" t="inlineStr">
        <is>
          <t>M3</t>
        </is>
      </c>
      <c r="AA83" t="inlineStr">
        <is>
          <t>D557</t>
        </is>
      </c>
      <c r="AB83" t="inlineStr">
        <is>
          <t>PD0432 TRONCAL SAN PANCHO</t>
        </is>
      </c>
      <c r="AC83" t="n">
        <v>56103637</v>
      </c>
      <c r="AD83" t="n">
        <v>6644411540</v>
      </c>
      <c r="AE83" t="n">
        <v>4</v>
      </c>
      <c r="AF83" t="inlineStr">
        <is>
          <t>ENTREGA DIRECTA</t>
        </is>
      </c>
      <c r="AG83" t="n">
        <v>0.8</v>
      </c>
      <c r="AH83" t="inlineStr">
        <is>
          <t>M3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20240312</v>
      </c>
      <c r="AM83" t="inlineStr">
        <is>
          <t>DW83-900008141-D557-10000332-4</t>
        </is>
      </c>
    </row>
    <row r="84">
      <c r="A84" t="inlineStr">
        <is>
          <t>900008141DW83D03310000332</t>
        </is>
      </c>
      <c r="B84" t="inlineStr">
        <is>
          <t>4600057252-170</t>
        </is>
      </c>
      <c r="C84" t="n">
        <v>4600057252</v>
      </c>
      <c r="D84" t="n">
        <v>170</v>
      </c>
      <c r="E84" t="inlineStr">
        <is>
          <t>MXPO</t>
        </is>
      </c>
      <c r="F84" t="inlineStr">
        <is>
          <t>MXL</t>
        </is>
      </c>
      <c r="G84" t="n">
        <v>900008141</v>
      </c>
      <c r="H84" t="inlineStr">
        <is>
          <t>SF TC-ED TONY SILVA EL COLOMO</t>
        </is>
      </c>
      <c r="I84" t="n">
        <v>5011365</v>
      </c>
      <c r="J84" t="inlineStr">
        <is>
          <t>SILVA CARVAJAL MARCO ANTONIO</t>
        </is>
      </c>
      <c r="K84" t="inlineStr">
        <is>
          <t>Z03</t>
        </is>
      </c>
      <c r="L84" t="inlineStr">
        <is>
          <t>(AP) 15 Dias</t>
        </is>
      </c>
      <c r="M84" t="n">
        <v>10000332</v>
      </c>
      <c r="N84" t="inlineStr">
        <is>
          <t>Grava Triturada Pomez - Jal 20 mm - 3/4"</t>
        </is>
      </c>
      <c r="O84" t="inlineStr">
        <is>
          <t>DW83</t>
        </is>
      </c>
      <c r="P84" t="inlineStr">
        <is>
          <t>MX-CED. VALLARTA</t>
        </is>
      </c>
      <c r="Q84" t="n">
        <v>20230417</v>
      </c>
      <c r="R84" t="n">
        <v>20291231</v>
      </c>
      <c r="S84" t="n">
        <v>20240307</v>
      </c>
      <c r="T84" t="n">
        <v>20291231</v>
      </c>
      <c r="U84" t="n">
        <v>475</v>
      </c>
      <c r="V84" t="inlineStr">
        <is>
          <t>MXN</t>
        </is>
      </c>
      <c r="W84" t="inlineStr">
        <is>
          <t>M3</t>
        </is>
      </c>
      <c r="X84" t="n">
        <v>225</v>
      </c>
      <c r="Y84" t="inlineStr">
        <is>
          <t>MXN</t>
        </is>
      </c>
      <c r="Z84" t="inlineStr">
        <is>
          <t>M3</t>
        </is>
      </c>
      <c r="AA84" t="inlineStr">
        <is>
          <t>D033</t>
        </is>
      </c>
      <c r="AB84" t="inlineStr">
        <is>
          <t>PD0446 TUNELES GUAMUCHIL</t>
        </is>
      </c>
      <c r="AC84" t="n">
        <v>56103637</v>
      </c>
      <c r="AD84" t="n">
        <v>6644411540</v>
      </c>
      <c r="AE84" t="n">
        <v>4</v>
      </c>
      <c r="AF84" t="inlineStr">
        <is>
          <t>ENTREGA DIRECTA</t>
        </is>
      </c>
      <c r="AG84" t="n">
        <v>0.8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20240312</v>
      </c>
      <c r="AM84" t="inlineStr">
        <is>
          <t>DW83-900008141-D033-10000332-4</t>
        </is>
      </c>
    </row>
    <row r="85">
      <c r="A85" t="inlineStr">
        <is>
          <t>900008141DW83D38610000332</t>
        </is>
      </c>
      <c r="B85" t="inlineStr">
        <is>
          <t>4600057252-160</t>
        </is>
      </c>
      <c r="C85" t="n">
        <v>4600057252</v>
      </c>
      <c r="D85" t="n">
        <v>160</v>
      </c>
      <c r="E85" t="inlineStr">
        <is>
          <t>MXPO</t>
        </is>
      </c>
      <c r="F85" t="inlineStr">
        <is>
          <t>MXL</t>
        </is>
      </c>
      <c r="G85" t="n">
        <v>900008141</v>
      </c>
      <c r="H85" t="inlineStr">
        <is>
          <t>SF TC-ED TONY SILVA EL COLOMO</t>
        </is>
      </c>
      <c r="I85" t="n">
        <v>5011365</v>
      </c>
      <c r="J85" t="inlineStr">
        <is>
          <t>SILVA CARVAJAL MARCO ANTONIO</t>
        </is>
      </c>
      <c r="K85" t="inlineStr">
        <is>
          <t>Z03</t>
        </is>
      </c>
      <c r="L85" t="inlineStr">
        <is>
          <t>(AP) 15 Dias</t>
        </is>
      </c>
      <c r="M85" t="n">
        <v>10000332</v>
      </c>
      <c r="N85" t="inlineStr">
        <is>
          <t>Grava Triturada Pomez - Jal 20 mm - 3/4"</t>
        </is>
      </c>
      <c r="O85" t="inlineStr">
        <is>
          <t>DW83</t>
        </is>
      </c>
      <c r="P85" t="inlineStr">
        <is>
          <t>MX-CED. VALLARTA</t>
        </is>
      </c>
      <c r="Q85" t="n">
        <v>20230417</v>
      </c>
      <c r="R85" t="n">
        <v>20291231</v>
      </c>
      <c r="S85" t="n">
        <v>20240307</v>
      </c>
      <c r="T85" t="n">
        <v>20291231</v>
      </c>
      <c r="U85" t="n">
        <v>500</v>
      </c>
      <c r="V85" t="inlineStr">
        <is>
          <t>MXN</t>
        </is>
      </c>
      <c r="W85" t="inlineStr">
        <is>
          <t>M3</t>
        </is>
      </c>
      <c r="X85" t="n">
        <v>250</v>
      </c>
      <c r="Y85" t="inlineStr">
        <is>
          <t>MXN</t>
        </is>
      </c>
      <c r="Z85" t="inlineStr">
        <is>
          <t>M3</t>
        </is>
      </c>
      <c r="AA85" t="inlineStr">
        <is>
          <t>D386</t>
        </is>
      </c>
      <c r="AB85" t="inlineStr">
        <is>
          <t>PD0563 PUNTA DE MITA</t>
        </is>
      </c>
      <c r="AC85" t="n">
        <v>56103637</v>
      </c>
      <c r="AD85" t="n">
        <v>6644411540</v>
      </c>
      <c r="AE85" t="n">
        <v>4</v>
      </c>
      <c r="AF85" t="inlineStr">
        <is>
          <t>ENTREGA DIRECTA</t>
        </is>
      </c>
      <c r="AG85" t="n">
        <v>0.8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20240312</v>
      </c>
      <c r="AM85" t="inlineStr">
        <is>
          <t>DW83-900008141-D386-10000332-4</t>
        </is>
      </c>
    </row>
    <row r="86">
      <c r="A86" t="inlineStr">
        <is>
          <t>900005573DW83D21510000377</t>
        </is>
      </c>
      <c r="B86" t="inlineStr">
        <is>
          <t>4600050449-10</t>
        </is>
      </c>
      <c r="C86" t="n">
        <v>4600050449</v>
      </c>
      <c r="D86" t="n">
        <v>10</v>
      </c>
      <c r="E86" t="inlineStr">
        <is>
          <t>MXPO</t>
        </is>
      </c>
      <c r="F86" t="inlineStr">
        <is>
          <t>MXL</t>
        </is>
      </c>
      <c r="G86" t="n">
        <v>900005573</v>
      </c>
      <c r="H86" t="inlineStr">
        <is>
          <t>TC-ED COMERCIALIZADORA MC</t>
        </is>
      </c>
      <c r="I86" t="n">
        <v>5069533</v>
      </c>
      <c r="J86" t="inlineStr">
        <is>
          <t>COMERCIALIZADORA DE MATERIALES DE</t>
        </is>
      </c>
      <c r="K86" t="inlineStr">
        <is>
          <t>Z09</t>
        </is>
      </c>
      <c r="L86" t="inlineStr">
        <is>
          <t>(AP) 90 Dias</t>
        </is>
      </c>
      <c r="M86" t="n">
        <v>10000377</v>
      </c>
      <c r="N86" t="inlineStr">
        <is>
          <t>Grava Triturada Basalto 10 mm - 3/8"</t>
        </is>
      </c>
      <c r="O86" t="inlineStr">
        <is>
          <t>DW83</t>
        </is>
      </c>
      <c r="P86" t="inlineStr">
        <is>
          <t>MX-CED. VALLARTA</t>
        </is>
      </c>
      <c r="Q86" t="n">
        <v>20210801</v>
      </c>
      <c r="R86" t="n">
        <v>20261231</v>
      </c>
      <c r="S86" t="n">
        <v>20210712</v>
      </c>
      <c r="T86" t="n">
        <v>20261231</v>
      </c>
      <c r="U86" t="n">
        <v>100</v>
      </c>
      <c r="V86" t="inlineStr">
        <is>
          <t>MXN</t>
        </is>
      </c>
      <c r="W86" t="inlineStr">
        <is>
          <t>M3</t>
        </is>
      </c>
      <c r="X86" t="n">
        <v>30</v>
      </c>
      <c r="Y86" t="inlineStr">
        <is>
          <t>MXN</t>
        </is>
      </c>
      <c r="Z86" t="inlineStr">
        <is>
          <t>M3</t>
        </is>
      </c>
      <c r="AA86" t="inlineStr">
        <is>
          <t>D215</t>
        </is>
      </c>
      <c r="AB86" t="inlineStr">
        <is>
          <t>PD0159 PUERTO VALLARTA</t>
        </is>
      </c>
      <c r="AC86" t="n">
        <v>56103637</v>
      </c>
      <c r="AD86" t="n">
        <v>6644411540</v>
      </c>
      <c r="AE86" t="n">
        <v>4</v>
      </c>
      <c r="AF86" t="inlineStr">
        <is>
          <t>ENTREGA DIRECTA</t>
        </is>
      </c>
      <c r="AG86" t="n">
        <v>1.458</v>
      </c>
      <c r="AH86" t="inlineStr">
        <is>
          <t>M3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20260108</v>
      </c>
      <c r="AM86" t="inlineStr">
        <is>
          <t>DW83-900005573-D215-10000377-4</t>
        </is>
      </c>
    </row>
    <row r="87">
      <c r="A87" t="inlineStr">
        <is>
          <t>900005573DW83D21510000383</t>
        </is>
      </c>
      <c r="B87" t="inlineStr">
        <is>
          <t>4600050449-20</t>
        </is>
      </c>
      <c r="C87" t="n">
        <v>4600050449</v>
      </c>
      <c r="D87" t="n">
        <v>20</v>
      </c>
      <c r="E87" t="inlineStr">
        <is>
          <t>MXPO</t>
        </is>
      </c>
      <c r="F87" t="inlineStr">
        <is>
          <t>MXL</t>
        </is>
      </c>
      <c r="G87" t="n">
        <v>900005573</v>
      </c>
      <c r="H87" t="inlineStr">
        <is>
          <t>TC-ED COMERCIALIZADORA MC</t>
        </is>
      </c>
      <c r="I87" t="n">
        <v>5069533</v>
      </c>
      <c r="J87" t="inlineStr">
        <is>
          <t>COMERCIALIZADORA DE MATERIALES DE</t>
        </is>
      </c>
      <c r="K87" t="inlineStr">
        <is>
          <t>Z09</t>
        </is>
      </c>
      <c r="L87" t="inlineStr">
        <is>
          <t>(AP) 90 Dias</t>
        </is>
      </c>
      <c r="M87" t="n">
        <v>10000383</v>
      </c>
      <c r="N87" t="inlineStr">
        <is>
          <t>Grava Triturada Basalto 40 mm - 1 1/2"</t>
        </is>
      </c>
      <c r="O87" t="inlineStr">
        <is>
          <t>DW83</t>
        </is>
      </c>
      <c r="P87" t="inlineStr">
        <is>
          <t>MX-CED. VALLARTA</t>
        </is>
      </c>
      <c r="Q87" t="n">
        <v>20210801</v>
      </c>
      <c r="R87" t="n">
        <v>20261231</v>
      </c>
      <c r="S87" t="n">
        <v>20210712</v>
      </c>
      <c r="T87" t="n">
        <v>20261231</v>
      </c>
      <c r="U87" t="n">
        <v>147</v>
      </c>
      <c r="V87" t="inlineStr">
        <is>
          <t>MXN</t>
        </is>
      </c>
      <c r="W87" t="inlineStr">
        <is>
          <t>M3</t>
        </is>
      </c>
      <c r="X87" t="n">
        <v>30</v>
      </c>
      <c r="Y87" t="inlineStr">
        <is>
          <t>MXN</t>
        </is>
      </c>
      <c r="Z87" t="inlineStr">
        <is>
          <t>M3</t>
        </is>
      </c>
      <c r="AA87" t="inlineStr">
        <is>
          <t>D215</t>
        </is>
      </c>
      <c r="AB87" t="inlineStr">
        <is>
          <t>PD0159 PUERTO VALLARTA</t>
        </is>
      </c>
      <c r="AC87" t="n">
        <v>56103637</v>
      </c>
      <c r="AD87" t="n">
        <v>6644411540</v>
      </c>
      <c r="AE87" t="n">
        <v>4</v>
      </c>
      <c r="AF87" t="inlineStr">
        <is>
          <t>ENTREGA DIRECTA</t>
        </is>
      </c>
      <c r="AG87" t="n">
        <v>1.359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20260108</v>
      </c>
      <c r="AM87" t="inlineStr">
        <is>
          <t>DW83-900005573-D215-10000383-4</t>
        </is>
      </c>
    </row>
    <row r="88">
      <c r="A88" t="inlineStr">
        <is>
          <t>900000050DW83D21510000332</t>
        </is>
      </c>
      <c r="B88" t="inlineStr">
        <is>
          <t>4600050402-100</t>
        </is>
      </c>
      <c r="C88" t="n">
        <v>4600050402</v>
      </c>
      <c r="D88" t="n">
        <v>100</v>
      </c>
      <c r="E88" t="inlineStr">
        <is>
          <t>MXPO</t>
        </is>
      </c>
      <c r="F88" t="inlineStr">
        <is>
          <t>MXL</t>
        </is>
      </c>
      <c r="G88" t="n">
        <v>900000050</v>
      </c>
      <c r="H88" t="inlineStr">
        <is>
          <t>TC-ED-CLADIMACO</t>
        </is>
      </c>
      <c r="I88" t="n">
        <v>5002330</v>
      </c>
      <c r="J88" t="inlineStr">
        <is>
          <t>CLASIFICADORA Y DISTR DE MAT P/CONS</t>
        </is>
      </c>
      <c r="K88" t="inlineStr">
        <is>
          <t>Z03</t>
        </is>
      </c>
      <c r="L88" t="inlineStr">
        <is>
          <t>(AP) 15 Dias</t>
        </is>
      </c>
      <c r="M88" t="n">
        <v>10000332</v>
      </c>
      <c r="N88" t="inlineStr">
        <is>
          <t>Grava Triturada Pomez - Jal 20 mm - 3/4"</t>
        </is>
      </c>
      <c r="O88" t="inlineStr">
        <is>
          <t>DW83</t>
        </is>
      </c>
      <c r="P88" t="inlineStr">
        <is>
          <t>MX-CED. VALLARTA</t>
        </is>
      </c>
      <c r="Q88" t="n">
        <v>20210712</v>
      </c>
      <c r="R88" t="n">
        <v>20271231</v>
      </c>
      <c r="S88" t="n">
        <v>20220811</v>
      </c>
      <c r="T88" t="n">
        <v>20271231</v>
      </c>
      <c r="U88" t="n">
        <v>502.56</v>
      </c>
      <c r="V88" t="inlineStr">
        <is>
          <t>MXN</t>
        </is>
      </c>
      <c r="W88" t="inlineStr">
        <is>
          <t>M3</t>
        </is>
      </c>
      <c r="X88" t="n">
        <v>373.26</v>
      </c>
      <c r="Y88" t="inlineStr">
        <is>
          <t>MXN</t>
        </is>
      </c>
      <c r="Z88" t="inlineStr">
        <is>
          <t>M3</t>
        </is>
      </c>
      <c r="AA88" t="inlineStr">
        <is>
          <t>D215</t>
        </is>
      </c>
      <c r="AB88" t="inlineStr">
        <is>
          <t>PD0159 PUERTO VALLARTA</t>
        </is>
      </c>
      <c r="AC88" t="n">
        <v>56103637</v>
      </c>
      <c r="AD88" t="n">
        <v>6644411540</v>
      </c>
      <c r="AE88" t="n">
        <v>4</v>
      </c>
      <c r="AF88" t="inlineStr">
        <is>
          <t>ENTREGA DIRECTA</t>
        </is>
      </c>
      <c r="AG88" t="n">
        <v>0.8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20230920</v>
      </c>
      <c r="AM88" t="inlineStr">
        <is>
          <t>DW83-900000050-D215-10000332-4</t>
        </is>
      </c>
    </row>
    <row r="89">
      <c r="A89" t="inlineStr">
        <is>
          <t>900000045DW83D21610000379</t>
        </is>
      </c>
      <c r="B89" t="inlineStr">
        <is>
          <t>4600050401-120</t>
        </is>
      </c>
      <c r="C89" t="n">
        <v>4600050401</v>
      </c>
      <c r="D89" t="n">
        <v>120</v>
      </c>
      <c r="E89" t="inlineStr">
        <is>
          <t>MXPO</t>
        </is>
      </c>
      <c r="F89" t="inlineStr">
        <is>
          <t>MXL</t>
        </is>
      </c>
      <c r="G89" t="n">
        <v>900000045</v>
      </c>
      <c r="H89" t="inlineStr">
        <is>
          <t>TC-ED SALDAÑA MORONES</t>
        </is>
      </c>
      <c r="I89" t="n">
        <v>5002163</v>
      </c>
      <c r="J89" t="inlineStr">
        <is>
          <t>SALDANA MORONES HERIBERTO</t>
        </is>
      </c>
      <c r="K89" t="inlineStr">
        <is>
          <t>N30</t>
        </is>
      </c>
      <c r="L89" t="inlineStr">
        <is>
          <t>(AP) NAFIN 30 Dias</t>
        </is>
      </c>
      <c r="M89" t="n">
        <v>10000379</v>
      </c>
      <c r="N89" t="inlineStr">
        <is>
          <t>Grava Triturada Basalto 20 mm - 3/4"</t>
        </is>
      </c>
      <c r="O89" t="inlineStr">
        <is>
          <t>DW83</t>
        </is>
      </c>
      <c r="P89" t="inlineStr">
        <is>
          <t>MX-CED. VALLARTA</t>
        </is>
      </c>
      <c r="Q89" t="n">
        <v>20210712</v>
      </c>
      <c r="R89" t="n">
        <v>20291231</v>
      </c>
      <c r="S89" t="n">
        <v>20230203</v>
      </c>
      <c r="T89" t="n">
        <v>20281231</v>
      </c>
      <c r="U89" t="n">
        <v>522.99</v>
      </c>
      <c r="V89" t="inlineStr">
        <is>
          <t>MXN</t>
        </is>
      </c>
      <c r="W89" t="inlineStr">
        <is>
          <t>M3</t>
        </is>
      </c>
      <c r="X89" t="n">
        <v>352.49</v>
      </c>
      <c r="Y89" t="inlineStr">
        <is>
          <t>MXN</t>
        </is>
      </c>
      <c r="Z89" t="inlineStr">
        <is>
          <t>M3</t>
        </is>
      </c>
      <c r="AA89" t="inlineStr">
        <is>
          <t>D216</t>
        </is>
      </c>
      <c r="AB89" t="inlineStr">
        <is>
          <t>PD0130 TEPIC</t>
        </is>
      </c>
      <c r="AC89" t="n">
        <v>56103637</v>
      </c>
      <c r="AD89" t="n">
        <v>6644411540</v>
      </c>
      <c r="AE89" t="n">
        <v>4</v>
      </c>
      <c r="AF89" t="inlineStr">
        <is>
          <t>ENTREGA DIRECTA</t>
        </is>
      </c>
      <c r="AG89" t="n">
        <v>1.43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20230920</v>
      </c>
      <c r="AM89" t="inlineStr">
        <is>
          <t>DW83-900000045-D216-10000379-4</t>
        </is>
      </c>
    </row>
    <row r="90">
      <c r="A90" t="inlineStr">
        <is>
          <t>900003368DW83D55710000726</t>
        </is>
      </c>
      <c r="B90" t="inlineStr">
        <is>
          <t>4600050463-110</t>
        </is>
      </c>
      <c r="C90" t="n">
        <v>4600050463</v>
      </c>
      <c r="D90" t="n">
        <v>110</v>
      </c>
      <c r="E90" t="inlineStr">
        <is>
          <t>MXPO</t>
        </is>
      </c>
      <c r="F90" t="inlineStr">
        <is>
          <t>MXL</t>
        </is>
      </c>
      <c r="G90" t="n">
        <v>900003368</v>
      </c>
      <c r="H90" t="inlineStr">
        <is>
          <t>TC-ED SALDAÑA PORVENIR</t>
        </is>
      </c>
      <c r="I90" t="n">
        <v>5002163</v>
      </c>
      <c r="J90" t="inlineStr">
        <is>
          <t>SALDANA MORONES HERIBERTO</t>
        </is>
      </c>
      <c r="K90" t="inlineStr">
        <is>
          <t>N30</t>
        </is>
      </c>
      <c r="L90" t="inlineStr">
        <is>
          <t>(AP) NAFIN 30 Dias</t>
        </is>
      </c>
      <c r="M90" t="n">
        <v>10000726</v>
      </c>
      <c r="N90" t="inlineStr">
        <is>
          <t>Grava Triturada Basalto  13 mm - 1/2"</t>
        </is>
      </c>
      <c r="O90" t="inlineStr">
        <is>
          <t>DW83</t>
        </is>
      </c>
      <c r="P90" t="inlineStr">
        <is>
          <t>MX-CED. VALLARTA</t>
        </is>
      </c>
      <c r="Q90" t="n">
        <v>20210801</v>
      </c>
      <c r="R90" t="n">
        <v>20291231</v>
      </c>
      <c r="S90" t="n">
        <v>20230301</v>
      </c>
      <c r="T90" t="n">
        <v>20281231</v>
      </c>
      <c r="U90" t="n">
        <v>424.11</v>
      </c>
      <c r="V90" t="inlineStr">
        <is>
          <t>MXN</t>
        </is>
      </c>
      <c r="W90" t="inlineStr">
        <is>
          <t>M3</t>
        </is>
      </c>
      <c r="X90" t="n">
        <v>259.11</v>
      </c>
      <c r="Y90" t="inlineStr">
        <is>
          <t>MXN</t>
        </is>
      </c>
      <c r="Z90" t="inlineStr">
        <is>
          <t>M3</t>
        </is>
      </c>
      <c r="AA90" t="inlineStr">
        <is>
          <t>D557</t>
        </is>
      </c>
      <c r="AB90" t="inlineStr">
        <is>
          <t>PD0432 TRONCAL SAN PANCHO</t>
        </is>
      </c>
      <c r="AC90" t="n">
        <v>56103637</v>
      </c>
      <c r="AD90" t="n">
        <v>6644411540</v>
      </c>
      <c r="AE90" t="n">
        <v>4</v>
      </c>
      <c r="AF90" t="inlineStr">
        <is>
          <t>ENTREGA DIRECTA</t>
        </is>
      </c>
      <c r="AG90" t="n">
        <v>1.333</v>
      </c>
      <c r="AH90" t="inlineStr">
        <is>
          <t>M3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20230920</v>
      </c>
      <c r="AM90" t="inlineStr">
        <is>
          <t>DW83-900003368-D557-10000726-4</t>
        </is>
      </c>
    </row>
    <row r="91">
      <c r="A91" t="inlineStr">
        <is>
          <t>900000045DW83D21610192197</t>
        </is>
      </c>
      <c r="B91" t="inlineStr">
        <is>
          <t>4600050401-100</t>
        </is>
      </c>
      <c r="C91" t="n">
        <v>4600050401</v>
      </c>
      <c r="D91" t="n">
        <v>100</v>
      </c>
      <c r="E91" t="inlineStr">
        <is>
          <t>MXPO</t>
        </is>
      </c>
      <c r="F91" t="inlineStr">
        <is>
          <t>MXL</t>
        </is>
      </c>
      <c r="G91" t="n">
        <v>900000045</v>
      </c>
      <c r="H91" t="inlineStr">
        <is>
          <t>TC-ED SALDAÑA MORONES</t>
        </is>
      </c>
      <c r="I91" t="n">
        <v>5002163</v>
      </c>
      <c r="J91" t="inlineStr">
        <is>
          <t>SALDANA MORONES HERIBERTO</t>
        </is>
      </c>
      <c r="K91" t="inlineStr">
        <is>
          <t>N30</t>
        </is>
      </c>
      <c r="L91" t="inlineStr">
        <is>
          <t>(AP) NAFIN 30 Dias</t>
        </is>
      </c>
      <c r="M91" t="n">
        <v>10192197</v>
      </c>
      <c r="N91" t="inlineStr">
        <is>
          <t>ARENA CLASIFICADA RIO MALLA 5</t>
        </is>
      </c>
      <c r="O91" t="inlineStr">
        <is>
          <t>DW83</t>
        </is>
      </c>
      <c r="P91" t="inlineStr">
        <is>
          <t>MX-CED. VALLARTA</t>
        </is>
      </c>
      <c r="Q91" t="n">
        <v>20210712</v>
      </c>
      <c r="R91" t="n">
        <v>20291231</v>
      </c>
      <c r="S91" t="n">
        <v>20230203</v>
      </c>
      <c r="T91" t="n">
        <v>20281231</v>
      </c>
      <c r="U91" t="n">
        <v>511</v>
      </c>
      <c r="V91" t="inlineStr">
        <is>
          <t>MXN</t>
        </is>
      </c>
      <c r="W91" t="inlineStr">
        <is>
          <t>M3</t>
        </is>
      </c>
      <c r="X91" t="n">
        <v>400.77</v>
      </c>
      <c r="Y91" t="inlineStr">
        <is>
          <t>MXN</t>
        </is>
      </c>
      <c r="Z91" t="inlineStr">
        <is>
          <t>M3</t>
        </is>
      </c>
      <c r="AA91" t="inlineStr">
        <is>
          <t>D216</t>
        </is>
      </c>
      <c r="AB91" t="inlineStr">
        <is>
          <t>PD0130 TEPIC</t>
        </is>
      </c>
      <c r="AC91" t="n">
        <v>56103638</v>
      </c>
      <c r="AD91" t="n">
        <v>6644411540</v>
      </c>
      <c r="AE91" t="n">
        <v>4</v>
      </c>
      <c r="AF91" t="inlineStr">
        <is>
          <t>ENTREGA DIRECTA</t>
        </is>
      </c>
      <c r="AG91" t="n">
        <v>1.443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20230920</v>
      </c>
      <c r="AM91" t="inlineStr">
        <is>
          <t>DW83-900000045-D216-10192197-4</t>
        </is>
      </c>
    </row>
    <row r="92">
      <c r="A92" t="inlineStr">
        <is>
          <t>900004830DW83D38610000726</t>
        </is>
      </c>
      <c r="B92" t="inlineStr">
        <is>
          <t>4600050438-90</t>
        </is>
      </c>
      <c r="C92" t="n">
        <v>4600050438</v>
      </c>
      <c r="D92" t="n">
        <v>90</v>
      </c>
      <c r="E92" t="inlineStr">
        <is>
          <t>MXPO</t>
        </is>
      </c>
      <c r="F92" t="inlineStr">
        <is>
          <t>MXL</t>
        </is>
      </c>
      <c r="G92" t="n">
        <v>900004830</v>
      </c>
      <c r="H92" t="inlineStr">
        <is>
          <t>TC-ED ARMAMPET LAS VARAS</t>
        </is>
      </c>
      <c r="I92" t="n">
        <v>5061801</v>
      </c>
      <c r="J92" t="inlineStr">
        <is>
          <t>ARMAMPET SA DE CV</t>
        </is>
      </c>
      <c r="K92" t="inlineStr">
        <is>
          <t>N30</t>
        </is>
      </c>
      <c r="L92" t="inlineStr">
        <is>
          <t>(AP) NAFIN 30 Dias</t>
        </is>
      </c>
      <c r="M92" t="n">
        <v>10000726</v>
      </c>
      <c r="N92" t="inlineStr">
        <is>
          <t>Grava Triturada Basalto  13 mm - 1/2"</t>
        </is>
      </c>
      <c r="O92" t="inlineStr">
        <is>
          <t>DW83</t>
        </is>
      </c>
      <c r="P92" t="inlineStr">
        <is>
          <t>MX-CED. VALLARTA</t>
        </is>
      </c>
      <c r="Q92" t="n">
        <v>20210801</v>
      </c>
      <c r="R92" t="n">
        <v>20291231</v>
      </c>
      <c r="S92" t="n">
        <v>20230301</v>
      </c>
      <c r="T92" t="n">
        <v>20281231</v>
      </c>
      <c r="U92" t="n">
        <v>373.71</v>
      </c>
      <c r="V92" t="inlineStr">
        <is>
          <t>MXN</t>
        </is>
      </c>
      <c r="W92" t="inlineStr">
        <is>
          <t>M3</t>
        </is>
      </c>
      <c r="X92" t="n">
        <v>208.71</v>
      </c>
      <c r="Y92" t="inlineStr">
        <is>
          <t>MXN</t>
        </is>
      </c>
      <c r="Z92" t="inlineStr">
        <is>
          <t>M3</t>
        </is>
      </c>
      <c r="AA92" t="inlineStr">
        <is>
          <t>D386</t>
        </is>
      </c>
      <c r="AB92" t="inlineStr">
        <is>
          <t>PD0563 PUNTA DE MITA</t>
        </is>
      </c>
      <c r="AC92" t="n">
        <v>56103637</v>
      </c>
      <c r="AD92" t="n">
        <v>6644411540</v>
      </c>
      <c r="AE92" t="n">
        <v>4</v>
      </c>
      <c r="AF92" t="inlineStr">
        <is>
          <t>ENTREGA DIRECTA</t>
        </is>
      </c>
      <c r="AG92" t="n">
        <v>1.333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20230920</v>
      </c>
      <c r="AM92" t="inlineStr">
        <is>
          <t>DW83-900004830-D386-10000726-4</t>
        </is>
      </c>
    </row>
    <row r="93">
      <c r="A93" t="inlineStr">
        <is>
          <t>900007347DW83D21610000554</t>
        </is>
      </c>
      <c r="B93" t="inlineStr">
        <is>
          <t>4600052206-30</t>
        </is>
      </c>
      <c r="C93" t="n">
        <v>4600052206</v>
      </c>
      <c r="D93" t="n">
        <v>30</v>
      </c>
      <c r="E93" t="inlineStr">
        <is>
          <t>MXPO</t>
        </is>
      </c>
      <c r="F93" t="inlineStr">
        <is>
          <t>MXL</t>
        </is>
      </c>
      <c r="G93" t="n">
        <v>900007347</v>
      </c>
      <c r="H93" t="inlineStr">
        <is>
          <t>SF TC-ED- CLADIMACO 14</t>
        </is>
      </c>
      <c r="I93" t="n">
        <v>5002330</v>
      </c>
      <c r="J93" t="inlineStr">
        <is>
          <t>CLASIFICADORA Y DISTR DE MAT P/CONS</t>
        </is>
      </c>
      <c r="K93" t="inlineStr">
        <is>
          <t>Z03</t>
        </is>
      </c>
      <c r="L93" t="inlineStr">
        <is>
          <t>(AP) 15 Dias</t>
        </is>
      </c>
      <c r="M93" t="n">
        <v>10000554</v>
      </c>
      <c r="N93" t="inlineStr">
        <is>
          <t>Grava Triturada Caliza 40 mm - 1 1/2"</t>
        </is>
      </c>
      <c r="O93" t="inlineStr">
        <is>
          <t>DW83</t>
        </is>
      </c>
      <c r="P93" t="inlineStr">
        <is>
          <t>MX-CED. VALLARTA</t>
        </is>
      </c>
      <c r="Q93" t="n">
        <v>20211012</v>
      </c>
      <c r="R93" t="n">
        <v>20261231</v>
      </c>
      <c r="S93" t="n">
        <v>20211012</v>
      </c>
      <c r="T93" t="n">
        <v>20261231</v>
      </c>
      <c r="U93" t="n">
        <v>283.24</v>
      </c>
      <c r="V93" t="inlineStr">
        <is>
          <t>MXN</t>
        </is>
      </c>
      <c r="W93" t="inlineStr">
        <is>
          <t>M3</t>
        </is>
      </c>
      <c r="X93" t="n">
        <v>44.11</v>
      </c>
      <c r="Y93" t="inlineStr">
        <is>
          <t>MXN</t>
        </is>
      </c>
      <c r="Z93" t="inlineStr">
        <is>
          <t>M3</t>
        </is>
      </c>
      <c r="AA93" t="inlineStr">
        <is>
          <t>D216</t>
        </is>
      </c>
      <c r="AB93" t="inlineStr">
        <is>
          <t>PD0130 TEPIC</t>
        </is>
      </c>
      <c r="AC93" t="n">
        <v>56103637</v>
      </c>
      <c r="AD93" t="n">
        <v>6644411540</v>
      </c>
      <c r="AE93" t="n">
        <v>4</v>
      </c>
      <c r="AF93" t="inlineStr">
        <is>
          <t>ENTREGA DIRECTA</t>
        </is>
      </c>
      <c r="AG93" t="n">
        <v>1.37</v>
      </c>
      <c r="AH93" t="inlineStr">
        <is>
          <t>M3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20260108</v>
      </c>
      <c r="AM93" t="inlineStr">
        <is>
          <t>DW83-900007347-D216-10000554-4</t>
        </is>
      </c>
    </row>
    <row r="94">
      <c r="A94" t="inlineStr">
        <is>
          <t>900009275DW83D21610000437</t>
        </is>
      </c>
      <c r="B94" t="inlineStr">
        <is>
          <t>4600071408-10</t>
        </is>
      </c>
      <c r="C94" t="n">
        <v>4600071408</v>
      </c>
      <c r="D94" t="n">
        <v>10</v>
      </c>
      <c r="E94" t="inlineStr">
        <is>
          <t>MXPO</t>
        </is>
      </c>
      <c r="F94" t="inlineStr">
        <is>
          <t>MXL</t>
        </is>
      </c>
      <c r="G94" t="n">
        <v>900009275</v>
      </c>
      <c r="H94" t="inlineStr">
        <is>
          <t>SF TC-ED LA TEPYC LA REPISA</t>
        </is>
      </c>
      <c r="I94" t="n">
        <v>5095816</v>
      </c>
      <c r="J94" t="inlineStr">
        <is>
          <t>LA TEPYC SA DE CV</t>
        </is>
      </c>
      <c r="K94" t="inlineStr">
        <is>
          <t>Z04</t>
        </is>
      </c>
      <c r="L94" t="inlineStr">
        <is>
          <t>(AP) 30 Dias</t>
        </is>
      </c>
      <c r="M94" t="n">
        <v>10000437</v>
      </c>
      <c r="N94" t="inlineStr">
        <is>
          <t>Grava Triturada Basalto 20 mm - 3/4"</t>
        </is>
      </c>
      <c r="O94" t="inlineStr">
        <is>
          <t>DW83</t>
        </is>
      </c>
      <c r="P94" t="inlineStr">
        <is>
          <t>MX-CED. VALLARTA</t>
        </is>
      </c>
      <c r="Q94" t="n">
        <v>20250701</v>
      </c>
      <c r="R94" t="n">
        <v>20301231</v>
      </c>
      <c r="S94" t="n">
        <v>20260605</v>
      </c>
      <c r="T94" t="n">
        <v>20301231</v>
      </c>
      <c r="U94" t="n">
        <v>617.7</v>
      </c>
      <c r="V94" t="inlineStr">
        <is>
          <t>MXN</t>
        </is>
      </c>
      <c r="W94" t="inlineStr">
        <is>
          <t>M3</t>
        </is>
      </c>
      <c r="X94" t="n">
        <v>175.73</v>
      </c>
      <c r="Y94" t="inlineStr">
        <is>
          <t>MXN</t>
        </is>
      </c>
      <c r="Z94" t="inlineStr">
        <is>
          <t>M3</t>
        </is>
      </c>
      <c r="AA94" t="inlineStr">
        <is>
          <t>D216</t>
        </is>
      </c>
      <c r="AB94" t="inlineStr">
        <is>
          <t>PD0130 TEPIC</t>
        </is>
      </c>
      <c r="AC94" t="n">
        <v>56103637</v>
      </c>
      <c r="AD94" t="n">
        <v>6644411540</v>
      </c>
      <c r="AE94" t="n">
        <v>4</v>
      </c>
      <c r="AF94" t="inlineStr">
        <is>
          <t>ENTREGA DIRECTA</t>
        </is>
      </c>
      <c r="AG94" t="n">
        <v>1.505</v>
      </c>
      <c r="AH94" t="inlineStr">
        <is>
          <t>M3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20260622</v>
      </c>
      <c r="AM94" t="inlineStr">
        <is>
          <t>DW83-900009275-D216-10000437-4</t>
        </is>
      </c>
    </row>
    <row r="95">
      <c r="A95" t="inlineStr">
        <is>
          <t>900009275DW83D21610258539</t>
        </is>
      </c>
      <c r="B95" t="inlineStr">
        <is>
          <t>4600071408-20</t>
        </is>
      </c>
      <c r="C95" t="n">
        <v>4600071408</v>
      </c>
      <c r="D95" t="n">
        <v>20</v>
      </c>
      <c r="E95" t="inlineStr">
        <is>
          <t>MXPO</t>
        </is>
      </c>
      <c r="F95" t="inlineStr">
        <is>
          <t>MXL</t>
        </is>
      </c>
      <c r="G95" t="n">
        <v>900009275</v>
      </c>
      <c r="H95" t="inlineStr">
        <is>
          <t>SF TC-ED LA TEPYC LA REPISA</t>
        </is>
      </c>
      <c r="I95" t="n">
        <v>5095816</v>
      </c>
      <c r="J95" t="inlineStr">
        <is>
          <t>LA TEPYC SA DE CV</t>
        </is>
      </c>
      <c r="K95" t="inlineStr">
        <is>
          <t>Z04</t>
        </is>
      </c>
      <c r="L95" t="inlineStr">
        <is>
          <t>(AP) 30 Dias</t>
        </is>
      </c>
      <c r="M95" t="n">
        <v>10258539</v>
      </c>
      <c r="N95" t="inlineStr">
        <is>
          <t>ARENA TRITURADA BASALTO MALLA 5</t>
        </is>
      </c>
      <c r="O95" t="inlineStr">
        <is>
          <t>DW83</t>
        </is>
      </c>
      <c r="P95" t="inlineStr">
        <is>
          <t>MX-CED. VALLARTA</t>
        </is>
      </c>
      <c r="Q95" t="n">
        <v>20250701</v>
      </c>
      <c r="R95" t="n">
        <v>20301231</v>
      </c>
      <c r="S95" t="n">
        <v>20260605</v>
      </c>
      <c r="T95" t="n">
        <v>20301231</v>
      </c>
      <c r="U95" t="n">
        <v>617.7</v>
      </c>
      <c r="V95" t="inlineStr">
        <is>
          <t>MXN</t>
        </is>
      </c>
      <c r="W95" t="inlineStr">
        <is>
          <t>M3</t>
        </is>
      </c>
      <c r="X95" t="n">
        <v>175.73</v>
      </c>
      <c r="Y95" t="inlineStr">
        <is>
          <t>MXN</t>
        </is>
      </c>
      <c r="Z95" t="inlineStr">
        <is>
          <t>M3</t>
        </is>
      </c>
      <c r="AA95" t="inlineStr">
        <is>
          <t>D216</t>
        </is>
      </c>
      <c r="AB95" t="inlineStr">
        <is>
          <t>PD0130 TEPIC</t>
        </is>
      </c>
      <c r="AC95" t="n">
        <v>56103638</v>
      </c>
      <c r="AD95" t="n">
        <v>6644411540</v>
      </c>
      <c r="AE95" t="n">
        <v>4</v>
      </c>
      <c r="AF95" t="inlineStr">
        <is>
          <t>ENTREGA DIRECTA</t>
        </is>
      </c>
      <c r="AG95" t="n">
        <v>1.591</v>
      </c>
      <c r="AH95" t="inlineStr">
        <is>
          <t>M3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20260622</v>
      </c>
      <c r="AM95" t="inlineStr">
        <is>
          <t>DW83-900009275-D216-10258539-4</t>
        </is>
      </c>
    </row>
    <row r="96">
      <c r="A96" t="inlineStr">
        <is>
          <t>900009274DW8310258539</t>
        </is>
      </c>
      <c r="B96" t="inlineStr">
        <is>
          <t>4600071407-20</t>
        </is>
      </c>
      <c r="C96" t="n">
        <v>4600071407</v>
      </c>
      <c r="D96" t="n">
        <v>20</v>
      </c>
      <c r="E96" t="inlineStr">
        <is>
          <t>MXPO</t>
        </is>
      </c>
      <c r="F96" t="inlineStr">
        <is>
          <t>MXL</t>
        </is>
      </c>
      <c r="G96" t="n">
        <v>900009274</v>
      </c>
      <c r="H96" t="inlineStr">
        <is>
          <t>SF TC-LA TEPYC LA REPISA</t>
        </is>
      </c>
      <c r="I96" t="n">
        <v>5095816</v>
      </c>
      <c r="J96" t="inlineStr">
        <is>
          <t>LA TEPYC SA DE CV</t>
        </is>
      </c>
      <c r="K96" t="inlineStr">
        <is>
          <t>Z04</t>
        </is>
      </c>
      <c r="L96" t="inlineStr">
        <is>
          <t>(AP) 30 Dias</t>
        </is>
      </c>
      <c r="M96" t="n">
        <v>10258539</v>
      </c>
      <c r="N96" t="inlineStr">
        <is>
          <t>ARENA TRITURADA BASALTO MALLA 5</t>
        </is>
      </c>
      <c r="O96" t="inlineStr">
        <is>
          <t>DW83</t>
        </is>
      </c>
      <c r="P96" t="inlineStr">
        <is>
          <t>MX-CED. VALLARTA</t>
        </is>
      </c>
      <c r="Q96" t="n">
        <v>20250701</v>
      </c>
      <c r="R96" t="n">
        <v>20301231</v>
      </c>
      <c r="S96" t="n">
        <v>20250701</v>
      </c>
      <c r="T96" t="n">
        <v>20301231</v>
      </c>
      <c r="U96" t="n">
        <v>350</v>
      </c>
      <c r="V96" t="inlineStr">
        <is>
          <t>MXN</t>
        </is>
      </c>
      <c r="W96" t="inlineStr">
        <is>
          <t>M3</t>
        </is>
      </c>
      <c r="X96" t="n">
        <v>0</v>
      </c>
      <c r="Y96" t="inlineStr">
        <is>
          <t>MXN</t>
        </is>
      </c>
      <c r="Z96" t="inlineStr">
        <is>
          <t>M3</t>
        </is>
      </c>
      <c r="AC96" t="n">
        <v>56103638</v>
      </c>
      <c r="AD96" t="n">
        <v>6644411540</v>
      </c>
      <c r="AE96" t="n">
        <v>1</v>
      </c>
      <c r="AF96" t="inlineStr">
        <is>
          <t>ENTREGADO</t>
        </is>
      </c>
      <c r="AG96" t="n">
        <v>1.591</v>
      </c>
      <c r="AH96" t="inlineStr">
        <is>
          <t>M3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20250704</v>
      </c>
      <c r="AM96" t="inlineStr">
        <is>
          <t>DW83-900009274-10258539</t>
        </is>
      </c>
    </row>
    <row r="97">
      <c r="A97" t="inlineStr">
        <is>
          <t>900009274DW8310000437</t>
        </is>
      </c>
      <c r="B97" t="inlineStr">
        <is>
          <t>4600071407-10</t>
        </is>
      </c>
      <c r="C97" t="n">
        <v>4600071407</v>
      </c>
      <c r="D97" t="n">
        <v>10</v>
      </c>
      <c r="E97" t="inlineStr">
        <is>
          <t>MXPO</t>
        </is>
      </c>
      <c r="F97" t="inlineStr">
        <is>
          <t>MXL</t>
        </is>
      </c>
      <c r="G97" t="n">
        <v>900009274</v>
      </c>
      <c r="H97" t="inlineStr">
        <is>
          <t>SF TC-LA TEPYC LA REPISA</t>
        </is>
      </c>
      <c r="I97" t="n">
        <v>5095816</v>
      </c>
      <c r="J97" t="inlineStr">
        <is>
          <t>LA TEPYC SA DE CV</t>
        </is>
      </c>
      <c r="K97" t="inlineStr">
        <is>
          <t>Z04</t>
        </is>
      </c>
      <c r="L97" t="inlineStr">
        <is>
          <t>(AP) 30 Dias</t>
        </is>
      </c>
      <c r="M97" t="n">
        <v>10000437</v>
      </c>
      <c r="N97" t="inlineStr">
        <is>
          <t>Grava Triturada Basalto 20 mm - 3/4"</t>
        </is>
      </c>
      <c r="O97" t="inlineStr">
        <is>
          <t>DW83</t>
        </is>
      </c>
      <c r="P97" t="inlineStr">
        <is>
          <t>MX-CED. VALLARTA</t>
        </is>
      </c>
      <c r="Q97" t="n">
        <v>20250701</v>
      </c>
      <c r="R97" t="n">
        <v>20301231</v>
      </c>
      <c r="S97" t="n">
        <v>20250701</v>
      </c>
      <c r="T97" t="n">
        <v>20301231</v>
      </c>
      <c r="U97" t="n">
        <v>350</v>
      </c>
      <c r="V97" t="inlineStr">
        <is>
          <t>MXN</t>
        </is>
      </c>
      <c r="W97" t="inlineStr">
        <is>
          <t>M3</t>
        </is>
      </c>
      <c r="X97" t="n">
        <v>0</v>
      </c>
      <c r="Y97" t="inlineStr">
        <is>
          <t>MXN</t>
        </is>
      </c>
      <c r="Z97" t="inlineStr">
        <is>
          <t>M3</t>
        </is>
      </c>
      <c r="AC97" t="n">
        <v>56103637</v>
      </c>
      <c r="AD97" t="n">
        <v>6644411540</v>
      </c>
      <c r="AE97" t="n">
        <v>1</v>
      </c>
      <c r="AF97" t="inlineStr">
        <is>
          <t>ENTREGADO</t>
        </is>
      </c>
      <c r="AG97" t="n">
        <v>1.505</v>
      </c>
      <c r="AH97" t="inlineStr">
        <is>
          <t>M3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20250704</v>
      </c>
      <c r="AM97" t="inlineStr">
        <is>
          <t>DW83-900009274-10000437</t>
        </is>
      </c>
    </row>
    <row r="98">
      <c r="A98" t="inlineStr">
        <is>
          <t>900000472DW83D21510000643</t>
        </is>
      </c>
      <c r="B98" t="inlineStr">
        <is>
          <t>4600052492-10</t>
        </is>
      </c>
      <c r="C98" t="n">
        <v>4600052492</v>
      </c>
      <c r="D98" t="n">
        <v>10</v>
      </c>
      <c r="E98" t="inlineStr">
        <is>
          <t>MXPO</t>
        </is>
      </c>
      <c r="F98" t="inlineStr">
        <is>
          <t>MXL</t>
        </is>
      </c>
      <c r="G98" t="n">
        <v>900000472</v>
      </c>
      <c r="H98" t="inlineStr">
        <is>
          <t>TC-ED-TRIMCAV</t>
        </is>
      </c>
      <c r="I98" t="n">
        <v>5010147</v>
      </c>
      <c r="J98" t="inlineStr">
        <is>
          <t>TRITURACIONES DE MARMOL Y CALCIOS</t>
        </is>
      </c>
      <c r="K98" t="inlineStr">
        <is>
          <t>Z04</t>
        </is>
      </c>
      <c r="L98" t="inlineStr">
        <is>
          <t>(AP) 30 Dias</t>
        </is>
      </c>
      <c r="M98" t="n">
        <v>10000643</v>
      </c>
      <c r="N98" t="inlineStr">
        <is>
          <t>Grava Triturada Marmol 20 mm - 3/4"</t>
        </is>
      </c>
      <c r="O98" t="inlineStr">
        <is>
          <t>DW83</t>
        </is>
      </c>
      <c r="P98" t="inlineStr">
        <is>
          <t>MX-CED. VALLARTA</t>
        </is>
      </c>
      <c r="Q98" t="n">
        <v>20211116</v>
      </c>
      <c r="R98" t="n">
        <v>20291231</v>
      </c>
      <c r="S98" t="n">
        <v>20240215</v>
      </c>
      <c r="T98" t="n">
        <v>20291231</v>
      </c>
      <c r="U98" t="n">
        <v>2268.57</v>
      </c>
      <c r="V98" t="inlineStr">
        <is>
          <t>MXN</t>
        </is>
      </c>
      <c r="W98" t="inlineStr">
        <is>
          <t>TN</t>
        </is>
      </c>
      <c r="X98" t="n">
        <v>919.15</v>
      </c>
      <c r="Y98" t="inlineStr">
        <is>
          <t>MXN</t>
        </is>
      </c>
      <c r="Z98" t="inlineStr">
        <is>
          <t>TN</t>
        </is>
      </c>
      <c r="AA98" t="inlineStr">
        <is>
          <t>D215</t>
        </is>
      </c>
      <c r="AB98" t="inlineStr">
        <is>
          <t>PD0159 PUERTO VALLARTA</t>
        </is>
      </c>
      <c r="AC98" t="n">
        <v>56103637</v>
      </c>
      <c r="AD98" t="n">
        <v>6644411540</v>
      </c>
      <c r="AE98" t="n">
        <v>4</v>
      </c>
      <c r="AF98" t="inlineStr">
        <is>
          <t>ENTREGA DIRECTA</t>
        </is>
      </c>
      <c r="AG98" t="n">
        <v>1</v>
      </c>
      <c r="AH98" t="inlineStr">
        <is>
          <t>TO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20240319</v>
      </c>
      <c r="AM98" t="inlineStr">
        <is>
          <t>DW83-900000472-D215-10000643-4</t>
        </is>
      </c>
    </row>
    <row r="99">
      <c r="A99" t="inlineStr">
        <is>
          <t>900000472DW83D21510001456</t>
        </is>
      </c>
      <c r="B99" t="inlineStr">
        <is>
          <t>4600052492-40</t>
        </is>
      </c>
      <c r="C99" t="n">
        <v>4600052492</v>
      </c>
      <c r="D99" t="n">
        <v>40</v>
      </c>
      <c r="E99" t="inlineStr">
        <is>
          <t>MXPO</t>
        </is>
      </c>
      <c r="F99" t="inlineStr">
        <is>
          <t>MXL</t>
        </is>
      </c>
      <c r="G99" t="n">
        <v>900000472</v>
      </c>
      <c r="H99" t="inlineStr">
        <is>
          <t>TC-ED-TRIMCAV</t>
        </is>
      </c>
      <c r="I99" t="n">
        <v>5010147</v>
      </c>
      <c r="J99" t="inlineStr">
        <is>
          <t>TRITURACIONES DE MARMOL Y CALCIOS</t>
        </is>
      </c>
      <c r="K99" t="inlineStr">
        <is>
          <t>Z04</t>
        </is>
      </c>
      <c r="L99" t="inlineStr">
        <is>
          <t>(AP) 30 Dias</t>
        </is>
      </c>
      <c r="M99" t="n">
        <v>10001456</v>
      </c>
      <c r="N99" t="inlineStr">
        <is>
          <t>Grava Triturada Marmol 40 mm - 1 1/2"</t>
        </is>
      </c>
      <c r="O99" t="inlineStr">
        <is>
          <t>DW83</t>
        </is>
      </c>
      <c r="P99" t="inlineStr">
        <is>
          <t>MX-CED. VALLARTA</t>
        </is>
      </c>
      <c r="Q99" t="n">
        <v>20211116</v>
      </c>
      <c r="R99" t="n">
        <v>20291231</v>
      </c>
      <c r="S99" t="n">
        <v>20240215</v>
      </c>
      <c r="T99" t="n">
        <v>20291231</v>
      </c>
      <c r="U99" t="n">
        <v>2268.57</v>
      </c>
      <c r="V99" t="inlineStr">
        <is>
          <t>MXN</t>
        </is>
      </c>
      <c r="W99" t="inlineStr">
        <is>
          <t>TN</t>
        </is>
      </c>
      <c r="X99" t="n">
        <v>919.15</v>
      </c>
      <c r="Y99" t="inlineStr">
        <is>
          <t>MXN</t>
        </is>
      </c>
      <c r="Z99" t="inlineStr">
        <is>
          <t>TN</t>
        </is>
      </c>
      <c r="AA99" t="inlineStr">
        <is>
          <t>D215</t>
        </is>
      </c>
      <c r="AB99" t="inlineStr">
        <is>
          <t>PD0159 PUERTO VALLARTA</t>
        </is>
      </c>
      <c r="AC99" t="n">
        <v>56103637</v>
      </c>
      <c r="AD99" t="n">
        <v>6644411867</v>
      </c>
      <c r="AE99" t="n">
        <v>4</v>
      </c>
      <c r="AF99" t="inlineStr">
        <is>
          <t>ENTREGA DIRECTA</t>
        </is>
      </c>
      <c r="AG99" t="n">
        <v>1</v>
      </c>
      <c r="AH99" t="inlineStr">
        <is>
          <t>TO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20240319</v>
      </c>
      <c r="AM99" t="inlineStr">
        <is>
          <t>DW83-900000472-D215-10001456-4</t>
        </is>
      </c>
    </row>
    <row r="100">
      <c r="A100" t="inlineStr">
        <is>
          <t>900004995DW83D21510000332</t>
        </is>
      </c>
      <c r="B100" t="inlineStr">
        <is>
          <t>4600054529-20</t>
        </is>
      </c>
      <c r="C100" t="n">
        <v>4600054529</v>
      </c>
      <c r="D100" t="n">
        <v>20</v>
      </c>
      <c r="E100" t="inlineStr">
        <is>
          <t>MXPO</t>
        </is>
      </c>
      <c r="F100" t="inlineStr">
        <is>
          <t>MXL</t>
        </is>
      </c>
      <c r="G100" t="n">
        <v>900004995</v>
      </c>
      <c r="H100" t="inlineStr">
        <is>
          <t>TC-ED LA FUNDICION</t>
        </is>
      </c>
      <c r="I100" t="n">
        <v>5065714</v>
      </c>
      <c r="J100" t="inlineStr">
        <is>
          <t>GRUPO MINERO LA FUNDICION SA DE CV</t>
        </is>
      </c>
      <c r="K100" t="inlineStr">
        <is>
          <t>N60</t>
        </is>
      </c>
      <c r="L100" t="inlineStr">
        <is>
          <t>(AP) NAFIN 60 Dias</t>
        </is>
      </c>
      <c r="M100" t="n">
        <v>10000332</v>
      </c>
      <c r="N100" t="inlineStr">
        <is>
          <t>Grava Triturada Pomez - Jal 20 mm - 3/4"</t>
        </is>
      </c>
      <c r="O100" t="inlineStr">
        <is>
          <t>DW83</t>
        </is>
      </c>
      <c r="P100" t="inlineStr">
        <is>
          <t>MX-CED. VALLARTA</t>
        </is>
      </c>
      <c r="Q100" t="n">
        <v>20220630</v>
      </c>
      <c r="R100" t="n">
        <v>20291231</v>
      </c>
      <c r="S100" t="n">
        <v>20240301</v>
      </c>
      <c r="T100" t="n">
        <v>20291231</v>
      </c>
      <c r="U100" t="n">
        <v>737.76</v>
      </c>
      <c r="V100" t="inlineStr">
        <is>
          <t>MXN</t>
        </is>
      </c>
      <c r="W100" t="inlineStr">
        <is>
          <t>M3</t>
        </is>
      </c>
      <c r="X100" t="n">
        <v>578.76</v>
      </c>
      <c r="Y100" t="inlineStr">
        <is>
          <t>MXN</t>
        </is>
      </c>
      <c r="Z100" t="inlineStr">
        <is>
          <t>M3</t>
        </is>
      </c>
      <c r="AA100" t="inlineStr">
        <is>
          <t>D215</t>
        </is>
      </c>
      <c r="AB100" t="inlineStr">
        <is>
          <t>PD0159 PUERTO VALLARTA</t>
        </is>
      </c>
      <c r="AC100" t="n">
        <v>56103637</v>
      </c>
      <c r="AD100" t="n">
        <v>6644411540</v>
      </c>
      <c r="AE100" t="n">
        <v>4</v>
      </c>
      <c r="AF100" t="inlineStr">
        <is>
          <t>ENTREGA DIRECTA</t>
        </is>
      </c>
      <c r="AG100" t="n">
        <v>0.8</v>
      </c>
      <c r="AH100" t="inlineStr">
        <is>
          <t>M3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20240319</v>
      </c>
      <c r="AM100" t="inlineStr">
        <is>
          <t>DW83-900004995-D215-10000332-4</t>
        </is>
      </c>
    </row>
    <row r="101">
      <c r="A101" t="inlineStr">
        <is>
          <t>900008141DW83D21610000332</t>
        </is>
      </c>
      <c r="B101" t="inlineStr">
        <is>
          <t>4600057252-130</t>
        </is>
      </c>
      <c r="C101" t="n">
        <v>4600057252</v>
      </c>
      <c r="D101" t="n">
        <v>130</v>
      </c>
      <c r="E101" t="inlineStr">
        <is>
          <t>MXPO</t>
        </is>
      </c>
      <c r="F101" t="inlineStr">
        <is>
          <t>MXL</t>
        </is>
      </c>
      <c r="G101" t="n">
        <v>900008141</v>
      </c>
      <c r="H101" t="inlineStr">
        <is>
          <t>SF TC-ED TONY SILVA EL COLOMO</t>
        </is>
      </c>
      <c r="I101" t="n">
        <v>5011365</v>
      </c>
      <c r="J101" t="inlineStr">
        <is>
          <t>SILVA CARVAJAL MARCO ANTONIO</t>
        </is>
      </c>
      <c r="K101" t="inlineStr">
        <is>
          <t>Z03</t>
        </is>
      </c>
      <c r="L101" t="inlineStr">
        <is>
          <t>(AP) 15 Dias</t>
        </is>
      </c>
      <c r="M101" t="n">
        <v>10000332</v>
      </c>
      <c r="N101" t="inlineStr">
        <is>
          <t>Grava Triturada Pomez - Jal 20 mm - 3/4"</t>
        </is>
      </c>
      <c r="O101" t="inlineStr">
        <is>
          <t>DW83</t>
        </is>
      </c>
      <c r="P101" t="inlineStr">
        <is>
          <t>MX-CED. VALLARTA</t>
        </is>
      </c>
      <c r="Q101" t="n">
        <v>20230417</v>
      </c>
      <c r="R101" t="n">
        <v>20291231</v>
      </c>
      <c r="S101" t="n">
        <v>20240118</v>
      </c>
      <c r="T101" t="n">
        <v>20291231</v>
      </c>
      <c r="U101" t="n">
        <v>325</v>
      </c>
      <c r="V101" t="inlineStr">
        <is>
          <t>MXN</t>
        </is>
      </c>
      <c r="W101" t="inlineStr">
        <is>
          <t>M3</t>
        </is>
      </c>
      <c r="X101" t="n">
        <v>50</v>
      </c>
      <c r="Y101" t="inlineStr">
        <is>
          <t>MXN</t>
        </is>
      </c>
      <c r="Z101" t="inlineStr">
        <is>
          <t>M3</t>
        </is>
      </c>
      <c r="AA101" t="inlineStr">
        <is>
          <t>D216</t>
        </is>
      </c>
      <c r="AB101" t="inlineStr">
        <is>
          <t>PD0130 TEPIC</t>
        </is>
      </c>
      <c r="AC101" t="n">
        <v>56103637</v>
      </c>
      <c r="AD101" t="n">
        <v>6644411540</v>
      </c>
      <c r="AE101" t="n">
        <v>4</v>
      </c>
      <c r="AF101" t="inlineStr">
        <is>
          <t>ENTREGA DIRECTA</t>
        </is>
      </c>
      <c r="AG101" t="n">
        <v>0.8</v>
      </c>
      <c r="AH101" t="inlineStr">
        <is>
          <t>M3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20240119</v>
      </c>
      <c r="AM101" t="inlineStr">
        <is>
          <t>DW83-900008141-D216-10000332-4</t>
        </is>
      </c>
    </row>
    <row r="102">
      <c r="A102" t="inlineStr">
        <is>
          <t>900008907DW83D21610069534</t>
        </is>
      </c>
      <c r="B102" t="inlineStr">
        <is>
          <t>4600069944-20</t>
        </is>
      </c>
      <c r="C102" t="n">
        <v>4600069944</v>
      </c>
      <c r="D102" t="n">
        <v>20</v>
      </c>
      <c r="E102" t="inlineStr">
        <is>
          <t>MXPO</t>
        </is>
      </c>
      <c r="F102" t="inlineStr">
        <is>
          <t>MXL</t>
        </is>
      </c>
      <c r="G102" t="n">
        <v>900008907</v>
      </c>
      <c r="H102" t="inlineStr">
        <is>
          <t>TC- ED SORIA AHUACATLAN</t>
        </is>
      </c>
      <c r="I102" t="n">
        <v>5004655</v>
      </c>
      <c r="J102" t="inlineStr">
        <is>
          <t>SORIA VILLARREAL ALFREDO</t>
        </is>
      </c>
      <c r="K102" t="inlineStr">
        <is>
          <t>Z03</t>
        </is>
      </c>
      <c r="L102" t="inlineStr">
        <is>
          <t>(AP) 15 Dias</t>
        </is>
      </c>
      <c r="M102" t="n">
        <v>10069534</v>
      </c>
      <c r="N102" t="inlineStr">
        <is>
          <t>ARENA CLASIFICADA BASALTO MALLA 4</t>
        </is>
      </c>
      <c r="O102" t="inlineStr">
        <is>
          <t>DW83</t>
        </is>
      </c>
      <c r="P102" t="inlineStr">
        <is>
          <t>MX-CED. VALLARTA</t>
        </is>
      </c>
      <c r="Q102" t="n">
        <v>20240723</v>
      </c>
      <c r="R102" t="n">
        <v>20291231</v>
      </c>
      <c r="S102" t="n">
        <v>20260215</v>
      </c>
      <c r="T102" t="n">
        <v>20301231</v>
      </c>
      <c r="U102" t="n">
        <v>546</v>
      </c>
      <c r="V102" t="inlineStr">
        <is>
          <t>MXN</t>
        </is>
      </c>
      <c r="W102" t="inlineStr">
        <is>
          <t>M3</t>
        </is>
      </c>
      <c r="X102" t="n">
        <v>241.5</v>
      </c>
      <c r="Y102" t="inlineStr">
        <is>
          <t>MXN</t>
        </is>
      </c>
      <c r="Z102" t="inlineStr">
        <is>
          <t>M3</t>
        </is>
      </c>
      <c r="AA102" t="inlineStr">
        <is>
          <t>D216</t>
        </is>
      </c>
      <c r="AB102" t="inlineStr">
        <is>
          <t>PD0130 TEPIC</t>
        </is>
      </c>
      <c r="AC102" t="n">
        <v>56103638</v>
      </c>
      <c r="AD102" t="n">
        <v>6644411540</v>
      </c>
      <c r="AE102" t="n">
        <v>4</v>
      </c>
      <c r="AF102" t="inlineStr">
        <is>
          <t>ENTREGA DIRECTA</t>
        </is>
      </c>
      <c r="AG102" t="n">
        <v>1.498</v>
      </c>
      <c r="AH102" t="inlineStr">
        <is>
          <t>M3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20260217</v>
      </c>
      <c r="AM102" t="inlineStr">
        <is>
          <t>DW83-900008907-D216-10069534-4</t>
        </is>
      </c>
    </row>
    <row r="103">
      <c r="A103" t="inlineStr">
        <is>
          <t>900008907DW83D21610000191</t>
        </is>
      </c>
      <c r="B103" t="inlineStr">
        <is>
          <t>4600069944-30</t>
        </is>
      </c>
      <c r="C103" t="n">
        <v>4600069944</v>
      </c>
      <c r="D103" t="n">
        <v>30</v>
      </c>
      <c r="E103" t="inlineStr">
        <is>
          <t>MXPO</t>
        </is>
      </c>
      <c r="F103" t="inlineStr">
        <is>
          <t>MXL</t>
        </is>
      </c>
      <c r="G103" t="n">
        <v>900008907</v>
      </c>
      <c r="H103" t="inlineStr">
        <is>
          <t>TC- ED SORIA AHUACATLAN</t>
        </is>
      </c>
      <c r="I103" t="n">
        <v>5004655</v>
      </c>
      <c r="J103" t="inlineStr">
        <is>
          <t>SORIA VILLARREAL ALFREDO</t>
        </is>
      </c>
      <c r="K103" t="inlineStr">
        <is>
          <t>Z03</t>
        </is>
      </c>
      <c r="L103" t="inlineStr">
        <is>
          <t>(AP) 15 Dias</t>
        </is>
      </c>
      <c r="M103" t="n">
        <v>10000191</v>
      </c>
      <c r="N103" t="inlineStr">
        <is>
          <t>Grava Triturada Basalto 20 mm - 3/4"</t>
        </is>
      </c>
      <c r="O103" t="inlineStr">
        <is>
          <t>DW83</t>
        </is>
      </c>
      <c r="P103" t="inlineStr">
        <is>
          <t>MX-CED. VALLARTA</t>
        </is>
      </c>
      <c r="Q103" t="n">
        <v>20240723</v>
      </c>
      <c r="R103" t="n">
        <v>20291231</v>
      </c>
      <c r="S103" t="n">
        <v>20260215</v>
      </c>
      <c r="T103" t="n">
        <v>20301231</v>
      </c>
      <c r="U103" t="n">
        <v>577.5</v>
      </c>
      <c r="V103" t="inlineStr">
        <is>
          <t>MXN</t>
        </is>
      </c>
      <c r="W103" t="inlineStr">
        <is>
          <t>M3</t>
        </is>
      </c>
      <c r="X103" t="n">
        <v>241.5</v>
      </c>
      <c r="Y103" t="inlineStr">
        <is>
          <t>MXN</t>
        </is>
      </c>
      <c r="Z103" t="inlineStr">
        <is>
          <t>M3</t>
        </is>
      </c>
      <c r="AA103" t="inlineStr">
        <is>
          <t>D216</t>
        </is>
      </c>
      <c r="AB103" t="inlineStr">
        <is>
          <t>PD0130 TEPIC</t>
        </is>
      </c>
      <c r="AC103" t="n">
        <v>56103637</v>
      </c>
      <c r="AD103" t="n">
        <v>6644411540</v>
      </c>
      <c r="AE103" t="n">
        <v>4</v>
      </c>
      <c r="AF103" t="inlineStr">
        <is>
          <t>ENTREGA DIRECTA</t>
        </is>
      </c>
      <c r="AG103" t="n">
        <v>1.41</v>
      </c>
      <c r="AH103" t="inlineStr">
        <is>
          <t>M3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20260217</v>
      </c>
      <c r="AM103" t="inlineStr">
        <is>
          <t>DW83-900008907-D216-10000191-4</t>
        </is>
      </c>
    </row>
    <row r="104">
      <c r="A104" t="inlineStr">
        <is>
          <t>900008907DW83D24310069534</t>
        </is>
      </c>
      <c r="B104" t="inlineStr">
        <is>
          <t>4600069944-50</t>
        </is>
      </c>
      <c r="C104" t="n">
        <v>4600069944</v>
      </c>
      <c r="D104" t="n">
        <v>50</v>
      </c>
      <c r="E104" t="inlineStr">
        <is>
          <t>MXPO</t>
        </is>
      </c>
      <c r="F104" t="inlineStr">
        <is>
          <t>MXL</t>
        </is>
      </c>
      <c r="G104" t="n">
        <v>900008907</v>
      </c>
      <c r="H104" t="inlineStr">
        <is>
          <t>TC- ED SORIA AHUACATLAN</t>
        </is>
      </c>
      <c r="I104" t="n">
        <v>5004655</v>
      </c>
      <c r="J104" t="inlineStr">
        <is>
          <t>SORIA VILLARREAL ALFREDO</t>
        </is>
      </c>
      <c r="K104" t="inlineStr">
        <is>
          <t>Z03</t>
        </is>
      </c>
      <c r="L104" t="inlineStr">
        <is>
          <t>(AP) 15 Dias</t>
        </is>
      </c>
      <c r="M104" t="n">
        <v>10069534</v>
      </c>
      <c r="N104" t="inlineStr">
        <is>
          <t>ARENA CLASIFICADA BASALTO MALLA 4</t>
        </is>
      </c>
      <c r="O104" t="inlineStr">
        <is>
          <t>DW83</t>
        </is>
      </c>
      <c r="P104" t="inlineStr">
        <is>
          <t>MX-CED. VALLARTA</t>
        </is>
      </c>
      <c r="Q104" t="n">
        <v>20240723</v>
      </c>
      <c r="R104" t="n">
        <v>20291231</v>
      </c>
      <c r="S104" t="n">
        <v>20260215</v>
      </c>
      <c r="T104" t="n">
        <v>20301231</v>
      </c>
      <c r="U104" t="n">
        <v>546</v>
      </c>
      <c r="V104" t="inlineStr">
        <is>
          <t>MXN</t>
        </is>
      </c>
      <c r="W104" t="inlineStr">
        <is>
          <t>M3</t>
        </is>
      </c>
      <c r="X104" t="n">
        <v>241.5</v>
      </c>
      <c r="Y104" t="inlineStr">
        <is>
          <t>MXN</t>
        </is>
      </c>
      <c r="Z104" t="inlineStr">
        <is>
          <t>M3</t>
        </is>
      </c>
      <c r="AA104" t="inlineStr">
        <is>
          <t>D243</t>
        </is>
      </c>
      <c r="AB104" t="inlineStr">
        <is>
          <t>PD0423 OJO DE AGUA</t>
        </is>
      </c>
      <c r="AC104" t="n">
        <v>56103638</v>
      </c>
      <c r="AD104" t="n">
        <v>6644411540</v>
      </c>
      <c r="AE104" t="n">
        <v>4</v>
      </c>
      <c r="AF104" t="inlineStr">
        <is>
          <t>ENTREGA DIRECTA</t>
        </is>
      </c>
      <c r="AG104" t="n">
        <v>1.498</v>
      </c>
      <c r="AH104" t="inlineStr">
        <is>
          <t>M3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20260217</v>
      </c>
      <c r="AM104" t="inlineStr">
        <is>
          <t>DW83-900008907-D243-10069534-4</t>
        </is>
      </c>
    </row>
    <row r="105">
      <c r="A105" t="inlineStr">
        <is>
          <t>900008907DW83D24310000191</t>
        </is>
      </c>
      <c r="B105" t="inlineStr">
        <is>
          <t>4600069944-40</t>
        </is>
      </c>
      <c r="C105" t="n">
        <v>4600069944</v>
      </c>
      <c r="D105" t="n">
        <v>40</v>
      </c>
      <c r="E105" t="inlineStr">
        <is>
          <t>MXPO</t>
        </is>
      </c>
      <c r="F105" t="inlineStr">
        <is>
          <t>MXL</t>
        </is>
      </c>
      <c r="G105" t="n">
        <v>900008907</v>
      </c>
      <c r="H105" t="inlineStr">
        <is>
          <t>TC- ED SORIA AHUACATLAN</t>
        </is>
      </c>
      <c r="I105" t="n">
        <v>5004655</v>
      </c>
      <c r="J105" t="inlineStr">
        <is>
          <t>SORIA VILLARREAL ALFREDO</t>
        </is>
      </c>
      <c r="K105" t="inlineStr">
        <is>
          <t>Z03</t>
        </is>
      </c>
      <c r="L105" t="inlineStr">
        <is>
          <t>(AP) 15 Dias</t>
        </is>
      </c>
      <c r="M105" t="n">
        <v>10000191</v>
      </c>
      <c r="N105" t="inlineStr">
        <is>
          <t>Grava Triturada Basalto 20 mm - 3/4"</t>
        </is>
      </c>
      <c r="O105" t="inlineStr">
        <is>
          <t>DW83</t>
        </is>
      </c>
      <c r="P105" t="inlineStr">
        <is>
          <t>MX-CED. VALLARTA</t>
        </is>
      </c>
      <c r="Q105" t="n">
        <v>20240723</v>
      </c>
      <c r="R105" t="n">
        <v>20291231</v>
      </c>
      <c r="S105" t="n">
        <v>20260215</v>
      </c>
      <c r="T105" t="n">
        <v>20301231</v>
      </c>
      <c r="U105" t="n">
        <v>577.5</v>
      </c>
      <c r="V105" t="inlineStr">
        <is>
          <t>MXN</t>
        </is>
      </c>
      <c r="W105" t="inlineStr">
        <is>
          <t>M3</t>
        </is>
      </c>
      <c r="X105" t="n">
        <v>241.5</v>
      </c>
      <c r="Y105" t="inlineStr">
        <is>
          <t>MXN</t>
        </is>
      </c>
      <c r="Z105" t="inlineStr">
        <is>
          <t>M3</t>
        </is>
      </c>
      <c r="AA105" t="inlineStr">
        <is>
          <t>D243</t>
        </is>
      </c>
      <c r="AB105" t="inlineStr">
        <is>
          <t>PD0423 OJO DE AGUA</t>
        </is>
      </c>
      <c r="AC105" t="n">
        <v>56103637</v>
      </c>
      <c r="AD105" t="n">
        <v>6644411540</v>
      </c>
      <c r="AE105" t="n">
        <v>4</v>
      </c>
      <c r="AF105" t="inlineStr">
        <is>
          <t>ENTREGA DIRECTA</t>
        </is>
      </c>
      <c r="AG105" t="n">
        <v>1.41</v>
      </c>
      <c r="AH105" t="inlineStr">
        <is>
          <t>M3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20260217</v>
      </c>
      <c r="AM105" t="inlineStr">
        <is>
          <t>DW83-900008907-D243-10000191-4</t>
        </is>
      </c>
    </row>
    <row r="106">
      <c r="A106" t="inlineStr">
        <is>
          <t>900003894DW8310000383</t>
        </is>
      </c>
      <c r="B106" t="inlineStr">
        <is>
          <t>4600050427-30</t>
        </is>
      </c>
      <c r="C106" t="n">
        <v>4600050427</v>
      </c>
      <c r="D106" t="n">
        <v>30</v>
      </c>
      <c r="E106" t="inlineStr">
        <is>
          <t>MXPO</t>
        </is>
      </c>
      <c r="F106" t="inlineStr">
        <is>
          <t>MXL</t>
        </is>
      </c>
      <c r="G106" t="n">
        <v>900003894</v>
      </c>
      <c r="H106" t="inlineStr">
        <is>
          <t>TC-SALDAÑA ALMACEN NUEVO VALLARTA</t>
        </is>
      </c>
      <c r="I106" t="n">
        <v>5002163</v>
      </c>
      <c r="J106" t="inlineStr">
        <is>
          <t>SALDANA MORONES HERIBERTO</t>
        </is>
      </c>
      <c r="K106" t="inlineStr">
        <is>
          <t>N30</t>
        </is>
      </c>
      <c r="L106" t="inlineStr">
        <is>
          <t>(AP) NAFIN 30 Dias</t>
        </is>
      </c>
      <c r="M106" t="n">
        <v>10000383</v>
      </c>
      <c r="N106" t="inlineStr">
        <is>
          <t>Grava Triturada Basalto 40 mm - 1 1/2"</t>
        </is>
      </c>
      <c r="O106" t="inlineStr">
        <is>
          <t>DW83</t>
        </is>
      </c>
      <c r="P106" t="inlineStr">
        <is>
          <t>MX-CED. VALLARTA</t>
        </is>
      </c>
      <c r="Q106" t="n">
        <v>20210801</v>
      </c>
      <c r="R106" t="n">
        <v>20261231</v>
      </c>
      <c r="S106" t="n">
        <v>20210712</v>
      </c>
      <c r="T106" t="n">
        <v>20261231</v>
      </c>
      <c r="U106" t="n">
        <v>147.67</v>
      </c>
      <c r="V106" t="inlineStr">
        <is>
          <t>MXN</t>
        </is>
      </c>
      <c r="W106" t="inlineStr">
        <is>
          <t>M3</t>
        </is>
      </c>
      <c r="X106" t="n">
        <v>0</v>
      </c>
      <c r="Y106" t="inlineStr">
        <is>
          <t>MXN</t>
        </is>
      </c>
      <c r="Z106" t="inlineStr">
        <is>
          <t>M3</t>
        </is>
      </c>
      <c r="AC106" t="n">
        <v>56103637</v>
      </c>
      <c r="AD106" t="n">
        <v>6644411540</v>
      </c>
      <c r="AE106" t="n">
        <v>1</v>
      </c>
      <c r="AF106" t="inlineStr">
        <is>
          <t>ENTREGADO</t>
        </is>
      </c>
      <c r="AG106" t="n">
        <v>1.359</v>
      </c>
      <c r="AH106" t="inlineStr">
        <is>
          <t>M3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20260108</v>
      </c>
      <c r="AM106" t="inlineStr">
        <is>
          <t>DW83-900003894-10000383</t>
        </is>
      </c>
    </row>
    <row r="107">
      <c r="A107" t="inlineStr">
        <is>
          <t>900003894DW8310000377</t>
        </is>
      </c>
      <c r="B107" t="inlineStr">
        <is>
          <t>4600050427-10</t>
        </is>
      </c>
      <c r="C107" t="n">
        <v>4600050427</v>
      </c>
      <c r="D107" t="n">
        <v>10</v>
      </c>
      <c r="E107" t="inlineStr">
        <is>
          <t>MXPO</t>
        </is>
      </c>
      <c r="F107" t="inlineStr">
        <is>
          <t>MXL</t>
        </is>
      </c>
      <c r="G107" t="n">
        <v>900003894</v>
      </c>
      <c r="H107" t="inlineStr">
        <is>
          <t>TC-SALDAÑA ALMACEN NUEVO VALLARTA</t>
        </is>
      </c>
      <c r="I107" t="n">
        <v>5002163</v>
      </c>
      <c r="J107" t="inlineStr">
        <is>
          <t>SALDANA MORONES HERIBERTO</t>
        </is>
      </c>
      <c r="K107" t="inlineStr">
        <is>
          <t>N30</t>
        </is>
      </c>
      <c r="L107" t="inlineStr">
        <is>
          <t>(AP) NAFIN 30 Dias</t>
        </is>
      </c>
      <c r="M107" t="n">
        <v>10000377</v>
      </c>
      <c r="N107" t="inlineStr">
        <is>
          <t>Grava Triturada Basalto 10 mm - 3/8"</t>
        </is>
      </c>
      <c r="O107" t="inlineStr">
        <is>
          <t>DW83</t>
        </is>
      </c>
      <c r="P107" t="inlineStr">
        <is>
          <t>MX-CED. VALLARTA</t>
        </is>
      </c>
      <c r="Q107" t="n">
        <v>20210801</v>
      </c>
      <c r="R107" t="n">
        <v>20261231</v>
      </c>
      <c r="S107" t="n">
        <v>20210712</v>
      </c>
      <c r="T107" t="n">
        <v>20261231</v>
      </c>
      <c r="U107" t="n">
        <v>111.05</v>
      </c>
      <c r="V107" t="inlineStr">
        <is>
          <t>MXN</t>
        </is>
      </c>
      <c r="W107" t="inlineStr">
        <is>
          <t>M3</t>
        </is>
      </c>
      <c r="X107" t="n">
        <v>0</v>
      </c>
      <c r="Y107" t="inlineStr">
        <is>
          <t>MXN</t>
        </is>
      </c>
      <c r="Z107" t="inlineStr">
        <is>
          <t>M3</t>
        </is>
      </c>
      <c r="AC107" t="n">
        <v>56103637</v>
      </c>
      <c r="AD107" t="n">
        <v>6644411540</v>
      </c>
      <c r="AE107" t="n">
        <v>1</v>
      </c>
      <c r="AF107" t="inlineStr">
        <is>
          <t>ENTREGADO</t>
        </is>
      </c>
      <c r="AG107" t="n">
        <v>1.458</v>
      </c>
      <c r="AH107" t="inlineStr">
        <is>
          <t>M3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20260108</v>
      </c>
      <c r="AM107" t="inlineStr">
        <is>
          <t>DW83-900003894-10000377</t>
        </is>
      </c>
    </row>
    <row r="108">
      <c r="A108" t="inlineStr">
        <is>
          <t>900008104DW8310154410</t>
        </is>
      </c>
      <c r="B108" t="inlineStr">
        <is>
          <t>4600057092-50</t>
        </is>
      </c>
      <c r="C108" t="n">
        <v>4600057092</v>
      </c>
      <c r="D108" t="n">
        <v>50</v>
      </c>
      <c r="E108" t="inlineStr">
        <is>
          <t>MXPO</t>
        </is>
      </c>
      <c r="F108" t="inlineStr">
        <is>
          <t>MXL</t>
        </is>
      </c>
      <c r="G108" t="n">
        <v>900008104</v>
      </c>
      <c r="H108" t="inlineStr">
        <is>
          <t>SF TC- SORIA AHUACATLAN</t>
        </is>
      </c>
      <c r="I108" t="n">
        <v>5004655</v>
      </c>
      <c r="J108" t="inlineStr">
        <is>
          <t>SORIA VILLARREAL ALFREDO</t>
        </is>
      </c>
      <c r="K108" t="inlineStr">
        <is>
          <t>Z03</t>
        </is>
      </c>
      <c r="L108" t="inlineStr">
        <is>
          <t>(AP) 15 Dias</t>
        </is>
      </c>
      <c r="M108" t="n">
        <v>10154410</v>
      </c>
      <c r="N108" t="inlineStr">
        <is>
          <t>ARENA CRIBADA ANDESITA MALLA 4</t>
        </is>
      </c>
      <c r="O108" t="inlineStr">
        <is>
          <t>DW83</t>
        </is>
      </c>
      <c r="P108" t="inlineStr">
        <is>
          <t>MX-CED. VALLARTA</t>
        </is>
      </c>
      <c r="Q108" t="n">
        <v>20230331</v>
      </c>
      <c r="R108" t="n">
        <v>20281231</v>
      </c>
      <c r="S108" t="n">
        <v>20230502</v>
      </c>
      <c r="T108" t="n">
        <v>20281231</v>
      </c>
      <c r="U108" t="n">
        <v>290</v>
      </c>
      <c r="V108" t="inlineStr">
        <is>
          <t>MXN</t>
        </is>
      </c>
      <c r="W108" t="inlineStr">
        <is>
          <t>M3</t>
        </is>
      </c>
      <c r="X108" t="n">
        <v>0</v>
      </c>
      <c r="Y108" t="inlineStr">
        <is>
          <t>MXN</t>
        </is>
      </c>
      <c r="Z108" t="inlineStr">
        <is>
          <t>M3</t>
        </is>
      </c>
      <c r="AC108" t="n">
        <v>56103638</v>
      </c>
      <c r="AD108" t="n">
        <v>6644411540</v>
      </c>
      <c r="AE108" t="n">
        <v>1</v>
      </c>
      <c r="AF108" t="inlineStr">
        <is>
          <t>ENTREGADO</t>
        </is>
      </c>
      <c r="AG108" t="n">
        <v>1.4</v>
      </c>
      <c r="AH108" t="inlineStr">
        <is>
          <t>M3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20230920</v>
      </c>
      <c r="AM108" t="inlineStr">
        <is>
          <t>DW83-900008104-10154410</t>
        </is>
      </c>
    </row>
    <row r="109">
      <c r="A109" t="inlineStr">
        <is>
          <t>900008104DW8310000191</t>
        </is>
      </c>
      <c r="B109" t="inlineStr">
        <is>
          <t>4600057092-10</t>
        </is>
      </c>
      <c r="C109" t="n">
        <v>4600057092</v>
      </c>
      <c r="D109" t="n">
        <v>10</v>
      </c>
      <c r="E109" t="inlineStr">
        <is>
          <t>MXPO</t>
        </is>
      </c>
      <c r="F109" t="inlineStr">
        <is>
          <t>MXL</t>
        </is>
      </c>
      <c r="G109" t="n">
        <v>900008104</v>
      </c>
      <c r="H109" t="inlineStr">
        <is>
          <t>SF TC- SORIA AHUACATLAN</t>
        </is>
      </c>
      <c r="I109" t="n">
        <v>5004655</v>
      </c>
      <c r="J109" t="inlineStr">
        <is>
          <t>SORIA VILLARREAL ALFREDO</t>
        </is>
      </c>
      <c r="K109" t="inlineStr">
        <is>
          <t>Z03</t>
        </is>
      </c>
      <c r="L109" t="inlineStr">
        <is>
          <t>(AP) 15 Dias</t>
        </is>
      </c>
      <c r="M109" t="n">
        <v>10000191</v>
      </c>
      <c r="N109" t="inlineStr">
        <is>
          <t>Grava Triturada Basalto 20 mm - 3/4"</t>
        </is>
      </c>
      <c r="O109" t="inlineStr">
        <is>
          <t>DW83</t>
        </is>
      </c>
      <c r="P109" t="inlineStr">
        <is>
          <t>MX-CED. VALLARTA</t>
        </is>
      </c>
      <c r="Q109" t="n">
        <v>20230331</v>
      </c>
      <c r="R109" t="n">
        <v>20281231</v>
      </c>
      <c r="S109" t="n">
        <v>20230331</v>
      </c>
      <c r="T109" t="n">
        <v>20281231</v>
      </c>
      <c r="U109" t="n">
        <v>320</v>
      </c>
      <c r="V109" t="inlineStr">
        <is>
          <t>MXN</t>
        </is>
      </c>
      <c r="W109" t="inlineStr">
        <is>
          <t>M3</t>
        </is>
      </c>
      <c r="X109" t="n">
        <v>0</v>
      </c>
      <c r="Y109" t="inlineStr">
        <is>
          <t>MXN</t>
        </is>
      </c>
      <c r="Z109" t="inlineStr">
        <is>
          <t>M3</t>
        </is>
      </c>
      <c r="AC109" t="n">
        <v>56103637</v>
      </c>
      <c r="AD109" t="n">
        <v>6644411540</v>
      </c>
      <c r="AE109" t="n">
        <v>1</v>
      </c>
      <c r="AF109" t="inlineStr">
        <is>
          <t>ENTREGADO</t>
        </is>
      </c>
      <c r="AG109" t="n">
        <v>1.41</v>
      </c>
      <c r="AH109" t="inlineStr">
        <is>
          <t>M3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20230920</v>
      </c>
      <c r="AM109" t="inlineStr">
        <is>
          <t>DW83-900008104-10000191</t>
        </is>
      </c>
    </row>
    <row r="110">
      <c r="A110" t="inlineStr">
        <is>
          <t>900008104DW8310004258</t>
        </is>
      </c>
      <c r="B110" t="inlineStr">
        <is>
          <t>4600057092-40</t>
        </is>
      </c>
      <c r="C110" t="n">
        <v>4600057092</v>
      </c>
      <c r="D110" t="n">
        <v>40</v>
      </c>
      <c r="E110" t="inlineStr">
        <is>
          <t>MXPO</t>
        </is>
      </c>
      <c r="F110" t="inlineStr">
        <is>
          <t>MXL</t>
        </is>
      </c>
      <c r="G110" t="n">
        <v>900008104</v>
      </c>
      <c r="H110" t="inlineStr">
        <is>
          <t>SF TC- SORIA AHUACATLAN</t>
        </is>
      </c>
      <c r="I110" t="n">
        <v>5004655</v>
      </c>
      <c r="J110" t="inlineStr">
        <is>
          <t>SORIA VILLARREAL ALFREDO</t>
        </is>
      </c>
      <c r="K110" t="inlineStr">
        <is>
          <t>Z03</t>
        </is>
      </c>
      <c r="L110" t="inlineStr">
        <is>
          <t>(AP) 15 Dias</t>
        </is>
      </c>
      <c r="M110" t="n">
        <v>10004258</v>
      </c>
      <c r="N110" t="inlineStr">
        <is>
          <t>Sello Triturado Basalto 10 mm - 3/8"</t>
        </is>
      </c>
      <c r="O110" t="inlineStr">
        <is>
          <t>DW83</t>
        </is>
      </c>
      <c r="P110" t="inlineStr">
        <is>
          <t>MX-CED. VALLARTA</t>
        </is>
      </c>
      <c r="Q110" t="n">
        <v>20230331</v>
      </c>
      <c r="R110" t="n">
        <v>20281231</v>
      </c>
      <c r="S110" t="n">
        <v>20230331</v>
      </c>
      <c r="T110" t="n">
        <v>20281231</v>
      </c>
      <c r="U110" t="n">
        <v>320</v>
      </c>
      <c r="V110" t="inlineStr">
        <is>
          <t>MXN</t>
        </is>
      </c>
      <c r="W110" t="inlineStr">
        <is>
          <t>M3</t>
        </is>
      </c>
      <c r="X110" t="n">
        <v>0</v>
      </c>
      <c r="Y110" t="inlineStr">
        <is>
          <t>MXN</t>
        </is>
      </c>
      <c r="Z110" t="inlineStr">
        <is>
          <t>M3</t>
        </is>
      </c>
      <c r="AC110" t="n">
        <v>56103637</v>
      </c>
      <c r="AD110" t="n">
        <v>6644411540</v>
      </c>
      <c r="AE110" t="n">
        <v>1</v>
      </c>
      <c r="AF110" t="inlineStr">
        <is>
          <t>ENTREGADO</t>
        </is>
      </c>
      <c r="AG110" t="n">
        <v>1.53</v>
      </c>
      <c r="AH110" t="inlineStr">
        <is>
          <t>M3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20230920</v>
      </c>
      <c r="AM110" t="inlineStr">
        <is>
          <t>DW83-900008104-10004258</t>
        </is>
      </c>
    </row>
    <row r="111">
      <c r="A111" t="inlineStr">
        <is>
          <t>900008104DW8310000388</t>
        </is>
      </c>
      <c r="B111" t="inlineStr">
        <is>
          <t>4600057092-20</t>
        </is>
      </c>
      <c r="C111" t="n">
        <v>4600057092</v>
      </c>
      <c r="D111" t="n">
        <v>20</v>
      </c>
      <c r="E111" t="inlineStr">
        <is>
          <t>MXPO</t>
        </is>
      </c>
      <c r="F111" t="inlineStr">
        <is>
          <t>MXL</t>
        </is>
      </c>
      <c r="G111" t="n">
        <v>900008104</v>
      </c>
      <c r="H111" t="inlineStr">
        <is>
          <t>SF TC- SORIA AHUACATLAN</t>
        </is>
      </c>
      <c r="I111" t="n">
        <v>5004655</v>
      </c>
      <c r="J111" t="inlineStr">
        <is>
          <t>SORIA VILLARREAL ALFREDO</t>
        </is>
      </c>
      <c r="K111" t="inlineStr">
        <is>
          <t>Z03</t>
        </is>
      </c>
      <c r="L111" t="inlineStr">
        <is>
          <t>(AP) 15 Dias</t>
        </is>
      </c>
      <c r="M111" t="n">
        <v>10000388</v>
      </c>
      <c r="N111" t="inlineStr">
        <is>
          <t>Grava Triturada Basalto  40 mm - 1 1/2"</t>
        </is>
      </c>
      <c r="O111" t="inlineStr">
        <is>
          <t>DW83</t>
        </is>
      </c>
      <c r="P111" t="inlineStr">
        <is>
          <t>MX-CED. VALLARTA</t>
        </is>
      </c>
      <c r="Q111" t="n">
        <v>20230331</v>
      </c>
      <c r="R111" t="n">
        <v>20281231</v>
      </c>
      <c r="S111" t="n">
        <v>20230331</v>
      </c>
      <c r="T111" t="n">
        <v>20281231</v>
      </c>
      <c r="U111" t="n">
        <v>320</v>
      </c>
      <c r="V111" t="inlineStr">
        <is>
          <t>MXN</t>
        </is>
      </c>
      <c r="W111" t="inlineStr">
        <is>
          <t>M3</t>
        </is>
      </c>
      <c r="X111" t="n">
        <v>0</v>
      </c>
      <c r="Y111" t="inlineStr">
        <is>
          <t>MXN</t>
        </is>
      </c>
      <c r="Z111" t="inlineStr">
        <is>
          <t>M3</t>
        </is>
      </c>
      <c r="AC111" t="n">
        <v>56103637</v>
      </c>
      <c r="AD111" t="n">
        <v>6644411540</v>
      </c>
      <c r="AE111" t="n">
        <v>1</v>
      </c>
      <c r="AF111" t="inlineStr">
        <is>
          <t>ENTREGADO</t>
        </is>
      </c>
      <c r="AG111" t="n">
        <v>1.395</v>
      </c>
      <c r="AH111" t="inlineStr">
        <is>
          <t>M3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20230920</v>
      </c>
      <c r="AM111" t="inlineStr">
        <is>
          <t>DW83-900008104-10000388</t>
        </is>
      </c>
    </row>
    <row r="112">
      <c r="A112" t="inlineStr">
        <is>
          <t>900008104DW8310000384</t>
        </is>
      </c>
      <c r="B112" t="inlineStr">
        <is>
          <t>4600057092-30</t>
        </is>
      </c>
      <c r="C112" t="n">
        <v>4600057092</v>
      </c>
      <c r="D112" t="n">
        <v>30</v>
      </c>
      <c r="E112" t="inlineStr">
        <is>
          <t>MXPO</t>
        </is>
      </c>
      <c r="F112" t="inlineStr">
        <is>
          <t>MXL</t>
        </is>
      </c>
      <c r="G112" t="n">
        <v>900008104</v>
      </c>
      <c r="H112" t="inlineStr">
        <is>
          <t>SF TC- SORIA AHUACATLAN</t>
        </is>
      </c>
      <c r="I112" t="n">
        <v>5004655</v>
      </c>
      <c r="J112" t="inlineStr">
        <is>
          <t>SORIA VILLARREAL ALFREDO</t>
        </is>
      </c>
      <c r="K112" t="inlineStr">
        <is>
          <t>Z03</t>
        </is>
      </c>
      <c r="L112" t="inlineStr">
        <is>
          <t>(AP) 15 Dias</t>
        </is>
      </c>
      <c r="M112" t="n">
        <v>10000384</v>
      </c>
      <c r="N112" t="inlineStr">
        <is>
          <t>Arena Triturada Basalto Malla 4</t>
        </is>
      </c>
      <c r="O112" t="inlineStr">
        <is>
          <t>DW83</t>
        </is>
      </c>
      <c r="P112" t="inlineStr">
        <is>
          <t>MX-CED. VALLARTA</t>
        </is>
      </c>
      <c r="Q112" t="n">
        <v>20230331</v>
      </c>
      <c r="R112" t="n">
        <v>20281231</v>
      </c>
      <c r="S112" t="n">
        <v>20230331</v>
      </c>
      <c r="T112" t="n">
        <v>20281231</v>
      </c>
      <c r="U112" t="n">
        <v>320</v>
      </c>
      <c r="V112" t="inlineStr">
        <is>
          <t>MXN</t>
        </is>
      </c>
      <c r="W112" t="inlineStr">
        <is>
          <t>M3</t>
        </is>
      </c>
      <c r="X112" t="n">
        <v>0</v>
      </c>
      <c r="Y112" t="inlineStr">
        <is>
          <t>MXN</t>
        </is>
      </c>
      <c r="Z112" t="inlineStr">
        <is>
          <t>M3</t>
        </is>
      </c>
      <c r="AC112" t="n">
        <v>56103638</v>
      </c>
      <c r="AD112" t="n">
        <v>6644411540</v>
      </c>
      <c r="AE112" t="n">
        <v>1</v>
      </c>
      <c r="AF112" t="inlineStr">
        <is>
          <t>ENTREGADO</t>
        </is>
      </c>
      <c r="AG112" t="n">
        <v>1.61</v>
      </c>
      <c r="AH112" t="inlineStr">
        <is>
          <t>M3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20230920</v>
      </c>
      <c r="AM112" t="inlineStr">
        <is>
          <t>DW83-900008104-10000384</t>
        </is>
      </c>
    </row>
    <row r="113">
      <c r="A113" t="inlineStr">
        <is>
          <t>900003894DW8310000379</t>
        </is>
      </c>
      <c r="B113" t="inlineStr">
        <is>
          <t>4600050427-20</t>
        </is>
      </c>
      <c r="C113" t="n">
        <v>4600050427</v>
      </c>
      <c r="D113" t="n">
        <v>20</v>
      </c>
      <c r="E113" t="inlineStr">
        <is>
          <t>MXPO</t>
        </is>
      </c>
      <c r="F113" t="inlineStr">
        <is>
          <t>MXL</t>
        </is>
      </c>
      <c r="G113" t="n">
        <v>900003894</v>
      </c>
      <c r="H113" t="inlineStr">
        <is>
          <t>TC-SALDAÑA ALMACEN NUEVO VALLARTA</t>
        </is>
      </c>
      <c r="I113" t="n">
        <v>5002163</v>
      </c>
      <c r="J113" t="inlineStr">
        <is>
          <t>SALDANA MORONES HERIBERTO</t>
        </is>
      </c>
      <c r="K113" t="inlineStr">
        <is>
          <t>N30</t>
        </is>
      </c>
      <c r="L113" t="inlineStr">
        <is>
          <t>(AP) NAFIN 30 Dias</t>
        </is>
      </c>
      <c r="M113" t="n">
        <v>10000379</v>
      </c>
      <c r="N113" t="inlineStr">
        <is>
          <t>Grava Triturada Basalto 20 mm - 3/4"</t>
        </is>
      </c>
      <c r="O113" t="inlineStr">
        <is>
          <t>DW83</t>
        </is>
      </c>
      <c r="P113" t="inlineStr">
        <is>
          <t>MX-CED. VALLARTA</t>
        </is>
      </c>
      <c r="Q113" t="n">
        <v>20210801</v>
      </c>
      <c r="R113" t="n">
        <v>20261231</v>
      </c>
      <c r="S113" t="n">
        <v>20210712</v>
      </c>
      <c r="T113" t="n">
        <v>20261231</v>
      </c>
      <c r="U113" t="n">
        <v>147.67</v>
      </c>
      <c r="V113" t="inlineStr">
        <is>
          <t>MXN</t>
        </is>
      </c>
      <c r="W113" t="inlineStr">
        <is>
          <t>M3</t>
        </is>
      </c>
      <c r="X113" t="n">
        <v>0</v>
      </c>
      <c r="Y113" t="inlineStr">
        <is>
          <t>MXN</t>
        </is>
      </c>
      <c r="Z113" t="inlineStr">
        <is>
          <t>M3</t>
        </is>
      </c>
      <c r="AC113" t="n">
        <v>56103637</v>
      </c>
      <c r="AD113" t="n">
        <v>6644411540</v>
      </c>
      <c r="AE113" t="n">
        <v>1</v>
      </c>
      <c r="AF113" t="inlineStr">
        <is>
          <t>ENTREGADO</t>
        </is>
      </c>
      <c r="AG113" t="n">
        <v>1.43</v>
      </c>
      <c r="AH113" t="inlineStr">
        <is>
          <t>M3</t>
        </is>
      </c>
      <c r="AI113" t="inlineStr">
        <is>
          <t>X</t>
        </is>
      </c>
      <c r="AJ113" t="n">
        <v>4</v>
      </c>
      <c r="AK113" t="inlineStr">
        <is>
          <t>V4</t>
        </is>
      </c>
      <c r="AL113" t="n">
        <v>20260108</v>
      </c>
      <c r="AM113" t="inlineStr">
        <is>
          <t>DW83-900003894-10000379</t>
        </is>
      </c>
    </row>
    <row r="114">
      <c r="A114" t="inlineStr">
        <is>
          <t>900000560DW8310000437</t>
        </is>
      </c>
      <c r="B114" t="inlineStr">
        <is>
          <t>4600056862-10</t>
        </is>
      </c>
      <c r="C114" t="n">
        <v>4600056862</v>
      </c>
      <c r="D114" t="n">
        <v>10</v>
      </c>
      <c r="E114" t="inlineStr">
        <is>
          <t>MXPO</t>
        </is>
      </c>
      <c r="F114" t="inlineStr">
        <is>
          <t>MXL</t>
        </is>
      </c>
      <c r="G114" t="n">
        <v>900000560</v>
      </c>
      <c r="H114" t="inlineStr">
        <is>
          <t>SF TC-TEPYC LA REPISA</t>
        </is>
      </c>
      <c r="I114" t="n">
        <v>5006993</v>
      </c>
      <c r="J114" t="inlineStr">
        <is>
          <t>TERRACERIAS PAVIMENTOS Y CAMINOS SA</t>
        </is>
      </c>
      <c r="K114" t="inlineStr">
        <is>
          <t>Z04</t>
        </is>
      </c>
      <c r="L114" t="inlineStr">
        <is>
          <t>(AP) 30 Dias</t>
        </is>
      </c>
      <c r="M114" t="n">
        <v>10000437</v>
      </c>
      <c r="N114" t="inlineStr">
        <is>
          <t>Grava Triturada Basalto 20 mm - 3/4"</t>
        </is>
      </c>
      <c r="O114" t="inlineStr">
        <is>
          <t>DW83</t>
        </is>
      </c>
      <c r="P114" t="inlineStr">
        <is>
          <t>MX-CED. VALLARTA</t>
        </is>
      </c>
      <c r="Q114" t="n">
        <v>20230310</v>
      </c>
      <c r="R114" t="n">
        <v>20281231</v>
      </c>
      <c r="S114" t="n">
        <v>20230310</v>
      </c>
      <c r="T114" t="n">
        <v>20281231</v>
      </c>
      <c r="U114" t="n">
        <v>350</v>
      </c>
      <c r="V114" t="inlineStr">
        <is>
          <t>MXN</t>
        </is>
      </c>
      <c r="W114" t="inlineStr">
        <is>
          <t>M3</t>
        </is>
      </c>
      <c r="X114" t="n">
        <v>0</v>
      </c>
      <c r="Y114" t="inlineStr">
        <is>
          <t>MXN</t>
        </is>
      </c>
      <c r="Z114" t="inlineStr">
        <is>
          <t>M3</t>
        </is>
      </c>
      <c r="AC114" t="n">
        <v>56103637</v>
      </c>
      <c r="AD114" t="n">
        <v>6644411540</v>
      </c>
      <c r="AE114" t="n">
        <v>1</v>
      </c>
      <c r="AF114" t="inlineStr">
        <is>
          <t>ENTREGADO</t>
        </is>
      </c>
      <c r="AG114" t="n">
        <v>1.505</v>
      </c>
      <c r="AH114" t="inlineStr">
        <is>
          <t>M3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20230920</v>
      </c>
      <c r="AM114" t="inlineStr">
        <is>
          <t>DW83-900000560-10000437</t>
        </is>
      </c>
    </row>
    <row r="115">
      <c r="A115" t="inlineStr">
        <is>
          <t>900000472DW83D21510210344</t>
        </is>
      </c>
      <c r="B115" t="inlineStr">
        <is>
          <t>4600052492-20</t>
        </is>
      </c>
      <c r="C115" t="n">
        <v>4600052492</v>
      </c>
      <c r="D115" t="n">
        <v>20</v>
      </c>
      <c r="E115" t="inlineStr">
        <is>
          <t>MXPO</t>
        </is>
      </c>
      <c r="F115" t="inlineStr">
        <is>
          <t>MXL</t>
        </is>
      </c>
      <c r="G115" t="n">
        <v>900000472</v>
      </c>
      <c r="H115" t="inlineStr">
        <is>
          <t>TC-ED-TRIMCAV</t>
        </is>
      </c>
      <c r="I115" t="n">
        <v>5010147</v>
      </c>
      <c r="J115" t="inlineStr">
        <is>
          <t>TRITURACIONES DE MARMOL Y CALCIOS</t>
        </is>
      </c>
      <c r="K115" t="inlineStr">
        <is>
          <t>Z04</t>
        </is>
      </c>
      <c r="L115" t="inlineStr">
        <is>
          <t>(AP) 30 Dias</t>
        </is>
      </c>
      <c r="M115" t="n">
        <v>10210344</v>
      </c>
      <c r="N115" t="inlineStr">
        <is>
          <t>ARENA TRITURADA MARMOL MALLA 4</t>
        </is>
      </c>
      <c r="O115" t="inlineStr">
        <is>
          <t>DW83</t>
        </is>
      </c>
      <c r="P115" t="inlineStr">
        <is>
          <t>MX-CED. VALLARTA</t>
        </is>
      </c>
      <c r="Q115" t="n">
        <v>20211116</v>
      </c>
      <c r="R115" t="n">
        <v>20291231</v>
      </c>
      <c r="S115" t="n">
        <v>20240215</v>
      </c>
      <c r="T115" t="n">
        <v>20291231</v>
      </c>
      <c r="U115" t="n">
        <v>2268.57</v>
      </c>
      <c r="V115" t="inlineStr">
        <is>
          <t>MXN</t>
        </is>
      </c>
      <c r="W115" t="inlineStr">
        <is>
          <t>TN</t>
        </is>
      </c>
      <c r="X115" t="n">
        <v>919.15</v>
      </c>
      <c r="Y115" t="inlineStr">
        <is>
          <t>MXN</t>
        </is>
      </c>
      <c r="Z115" t="inlineStr">
        <is>
          <t>TN</t>
        </is>
      </c>
      <c r="AA115" t="inlineStr">
        <is>
          <t>D215</t>
        </is>
      </c>
      <c r="AB115" t="inlineStr">
        <is>
          <t>PD0159 PUERTO VALLARTA</t>
        </is>
      </c>
      <c r="AC115" t="n">
        <v>56103638</v>
      </c>
      <c r="AD115" t="n">
        <v>6644411867</v>
      </c>
      <c r="AE115" t="n">
        <v>4</v>
      </c>
      <c r="AF115" t="inlineStr">
        <is>
          <t>ENTREGA DIRECTA</t>
        </is>
      </c>
      <c r="AG115" t="n">
        <v>1</v>
      </c>
      <c r="AH115" t="inlineStr">
        <is>
          <t>TO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20240319</v>
      </c>
      <c r="AM115" t="inlineStr">
        <is>
          <t>DW83-900000472-D215-10210344-4</t>
        </is>
      </c>
    </row>
    <row r="116">
      <c r="A116" t="inlineStr">
        <is>
          <t>900005573DW83D21510000379</t>
        </is>
      </c>
      <c r="B116" t="inlineStr">
        <is>
          <t>4600050449-30</t>
        </is>
      </c>
      <c r="C116" t="n">
        <v>4600050449</v>
      </c>
      <c r="D116" t="n">
        <v>30</v>
      </c>
      <c r="E116" t="inlineStr">
        <is>
          <t>MXPO</t>
        </is>
      </c>
      <c r="F116" t="inlineStr">
        <is>
          <t>MXL</t>
        </is>
      </c>
      <c r="G116" t="n">
        <v>900005573</v>
      </c>
      <c r="H116" t="inlineStr">
        <is>
          <t>TC-ED COMERCIALIZADORA MC</t>
        </is>
      </c>
      <c r="I116" t="n">
        <v>5069533</v>
      </c>
      <c r="J116" t="inlineStr">
        <is>
          <t>COMERCIALIZADORA DE MATERIALES DE</t>
        </is>
      </c>
      <c r="K116" t="inlineStr">
        <is>
          <t>Z09</t>
        </is>
      </c>
      <c r="L116" t="inlineStr">
        <is>
          <t>(AP) 90 Dias</t>
        </is>
      </c>
      <c r="M116" t="n">
        <v>10000379</v>
      </c>
      <c r="N116" t="inlineStr">
        <is>
          <t>Grava Triturada Basalto 20 mm - 3/4"</t>
        </is>
      </c>
      <c r="O116" t="inlineStr">
        <is>
          <t>DW83</t>
        </is>
      </c>
      <c r="P116" t="inlineStr">
        <is>
          <t>MX-CED. VALLARTA</t>
        </is>
      </c>
      <c r="Q116" t="n">
        <v>20210801</v>
      </c>
      <c r="R116" t="n">
        <v>20261231</v>
      </c>
      <c r="S116" t="n">
        <v>20210712</v>
      </c>
      <c r="T116" t="n">
        <v>20261231</v>
      </c>
      <c r="U116" t="n">
        <v>170</v>
      </c>
      <c r="V116" t="inlineStr">
        <is>
          <t>MXN</t>
        </is>
      </c>
      <c r="W116" t="inlineStr">
        <is>
          <t>M3</t>
        </is>
      </c>
      <c r="X116" t="n">
        <v>50</v>
      </c>
      <c r="Y116" t="inlineStr">
        <is>
          <t>MXN</t>
        </is>
      </c>
      <c r="Z116" t="inlineStr">
        <is>
          <t>M3</t>
        </is>
      </c>
      <c r="AA116" t="inlineStr">
        <is>
          <t>D215</t>
        </is>
      </c>
      <c r="AB116" t="inlineStr">
        <is>
          <t>PD0159 PUERTO VALLARTA</t>
        </is>
      </c>
      <c r="AC116" t="n">
        <v>56103637</v>
      </c>
      <c r="AD116" t="n">
        <v>6644411540</v>
      </c>
      <c r="AE116" t="n">
        <v>4</v>
      </c>
      <c r="AF116" t="inlineStr">
        <is>
          <t>ENTREGA DIRECTA</t>
        </is>
      </c>
      <c r="AG116" t="n">
        <v>1.43</v>
      </c>
      <c r="AH116" t="inlineStr">
        <is>
          <t>M3</t>
        </is>
      </c>
      <c r="AI116" t="inlineStr">
        <is>
          <t>X</t>
        </is>
      </c>
      <c r="AJ116" t="n">
        <v>4</v>
      </c>
      <c r="AK116" t="inlineStr">
        <is>
          <t>V4</t>
        </is>
      </c>
      <c r="AL116" t="n">
        <v>20260108</v>
      </c>
      <c r="AM116" t="inlineStr">
        <is>
          <t>DW83-900005573-D215-10000379-4</t>
        </is>
      </c>
    </row>
    <row r="117">
      <c r="A117" t="inlineStr">
        <is>
          <t>900001405DW83D21510000586</t>
        </is>
      </c>
      <c r="B117" t="inlineStr">
        <is>
          <t>4600050415-20</t>
        </is>
      </c>
      <c r="C117" t="n">
        <v>4600050415</v>
      </c>
      <c r="D117" t="n">
        <v>20</v>
      </c>
      <c r="E117" t="inlineStr">
        <is>
          <t>MXPO</t>
        </is>
      </c>
      <c r="F117" t="inlineStr">
        <is>
          <t>MXL</t>
        </is>
      </c>
      <c r="G117" t="n">
        <v>900001405</v>
      </c>
      <c r="H117" t="inlineStr">
        <is>
          <t>TC-ED CALCIO Y MARMOLINAS</t>
        </is>
      </c>
      <c r="I117" t="n">
        <v>5002495</v>
      </c>
      <c r="J117" t="inlineStr">
        <is>
          <t>CALCIO Y MARMOLINAS SA DE CV</t>
        </is>
      </c>
      <c r="K117" t="inlineStr">
        <is>
          <t>Z09</t>
        </is>
      </c>
      <c r="L117" t="inlineStr">
        <is>
          <t>(AP) 90 Dias</t>
        </is>
      </c>
      <c r="M117" t="n">
        <v>10000586</v>
      </c>
      <c r="N117" t="inlineStr">
        <is>
          <t>Arena Triturada Marmol Malla 4</t>
        </is>
      </c>
      <c r="O117" t="inlineStr">
        <is>
          <t>DW83</t>
        </is>
      </c>
      <c r="P117" t="inlineStr">
        <is>
          <t>MX-CED. VALLARTA</t>
        </is>
      </c>
      <c r="Q117" t="n">
        <v>20210712</v>
      </c>
      <c r="R117" t="n">
        <v>20261231</v>
      </c>
      <c r="S117" t="n">
        <v>20210712</v>
      </c>
      <c r="T117" t="n">
        <v>20261231</v>
      </c>
      <c r="U117" t="n">
        <v>1250</v>
      </c>
      <c r="V117" t="inlineStr">
        <is>
          <t>MXN</t>
        </is>
      </c>
      <c r="W117" t="inlineStr">
        <is>
          <t>TN</t>
        </is>
      </c>
      <c r="X117" t="n">
        <v>1000</v>
      </c>
      <c r="Y117" t="inlineStr">
        <is>
          <t>MXN</t>
        </is>
      </c>
      <c r="Z117" t="inlineStr">
        <is>
          <t>TN</t>
        </is>
      </c>
      <c r="AA117" t="inlineStr">
        <is>
          <t>D215</t>
        </is>
      </c>
      <c r="AB117" t="inlineStr">
        <is>
          <t>PD0159 PUERTO VALLARTA</t>
        </is>
      </c>
      <c r="AC117" t="n">
        <v>56103638</v>
      </c>
      <c r="AD117" t="n">
        <v>6644411540</v>
      </c>
      <c r="AE117" t="n">
        <v>4</v>
      </c>
      <c r="AF117" t="inlineStr">
        <is>
          <t>ENTREGA DIRECTA</t>
        </is>
      </c>
      <c r="AG117" t="n">
        <v>1</v>
      </c>
      <c r="AH117" t="inlineStr">
        <is>
          <t>TO</t>
        </is>
      </c>
      <c r="AI117" t="inlineStr">
        <is>
          <t>X</t>
        </is>
      </c>
      <c r="AJ117" t="n">
        <v>4</v>
      </c>
      <c r="AK117" t="inlineStr">
        <is>
          <t>V4</t>
        </is>
      </c>
      <c r="AL117" t="n">
        <v>20260108</v>
      </c>
      <c r="AM117" t="inlineStr">
        <is>
          <t>DW83-900001405-D215-10000586-4</t>
        </is>
      </c>
    </row>
    <row r="118">
      <c r="A118" t="inlineStr">
        <is>
          <t>900008141DW83D24310000379</t>
        </is>
      </c>
      <c r="B118" t="inlineStr">
        <is>
          <t>4600057252-200</t>
        </is>
      </c>
      <c r="C118" t="n">
        <v>4600057252</v>
      </c>
      <c r="D118" t="n">
        <v>200</v>
      </c>
      <c r="E118" t="inlineStr">
        <is>
          <t>MXPO</t>
        </is>
      </c>
      <c r="F118" t="inlineStr">
        <is>
          <t>MXL</t>
        </is>
      </c>
      <c r="G118" t="n">
        <v>900008141</v>
      </c>
      <c r="H118" t="inlineStr">
        <is>
          <t>SF TC-ED TONY SILVA EL COLOMO</t>
        </is>
      </c>
      <c r="I118" t="n">
        <v>5011365</v>
      </c>
      <c r="J118" t="inlineStr">
        <is>
          <t>SILVA CARVAJAL MARCO ANTONIO</t>
        </is>
      </c>
      <c r="K118" t="inlineStr">
        <is>
          <t>Z03</t>
        </is>
      </c>
      <c r="L118" t="inlineStr">
        <is>
          <t>(AP) 15 Dias</t>
        </is>
      </c>
      <c r="M118" t="n">
        <v>10000379</v>
      </c>
      <c r="N118" t="inlineStr">
        <is>
          <t>Grava Triturada Basalto 20 mm - 3/4"</t>
        </is>
      </c>
      <c r="O118" t="inlineStr">
        <is>
          <t>DW83</t>
        </is>
      </c>
      <c r="P118" t="inlineStr">
        <is>
          <t>MX-CED. VALLARTA</t>
        </is>
      </c>
      <c r="Q118" t="n">
        <v>20230417</v>
      </c>
      <c r="R118" t="n">
        <v>20291231</v>
      </c>
      <c r="S118" t="n">
        <v>20250214</v>
      </c>
      <c r="T118" t="n">
        <v>20301231</v>
      </c>
      <c r="U118" t="n">
        <v>460</v>
      </c>
      <c r="V118" t="inlineStr">
        <is>
          <t>MXN</t>
        </is>
      </c>
      <c r="W118" t="inlineStr">
        <is>
          <t>M3</t>
        </is>
      </c>
      <c r="X118" t="n">
        <v>280</v>
      </c>
      <c r="Y118" t="inlineStr">
        <is>
          <t>MXN</t>
        </is>
      </c>
      <c r="Z118" t="inlineStr">
        <is>
          <t>M3</t>
        </is>
      </c>
      <c r="AA118" t="inlineStr">
        <is>
          <t>D243</t>
        </is>
      </c>
      <c r="AB118" t="inlineStr">
        <is>
          <t>PD0423 OJO DE AGUA</t>
        </is>
      </c>
      <c r="AC118" t="n">
        <v>56103637</v>
      </c>
      <c r="AD118" t="n">
        <v>6644411540</v>
      </c>
      <c r="AE118" t="n">
        <v>4</v>
      </c>
      <c r="AF118" t="inlineStr">
        <is>
          <t>ENTREGA DIRECTA</t>
        </is>
      </c>
      <c r="AG118" t="n">
        <v>1.43</v>
      </c>
      <c r="AH118" t="inlineStr">
        <is>
          <t>M3</t>
        </is>
      </c>
      <c r="AI118" t="inlineStr">
        <is>
          <t>X</t>
        </is>
      </c>
      <c r="AJ118" t="n">
        <v>4</v>
      </c>
      <c r="AK118" t="inlineStr">
        <is>
          <t>V4</t>
        </is>
      </c>
      <c r="AL118" t="n">
        <v>20250217</v>
      </c>
      <c r="AM118" t="inlineStr">
        <is>
          <t>DW83-900008141-D243-10000379-4</t>
        </is>
      </c>
    </row>
    <row r="119">
      <c r="A119" t="inlineStr">
        <is>
          <t>900008141DW83D24310000383</t>
        </is>
      </c>
      <c r="B119" t="inlineStr">
        <is>
          <t>4600057252-210</t>
        </is>
      </c>
      <c r="C119" t="n">
        <v>4600057252</v>
      </c>
      <c r="D119" t="n">
        <v>210</v>
      </c>
      <c r="E119" t="inlineStr">
        <is>
          <t>MXPO</t>
        </is>
      </c>
      <c r="F119" t="inlineStr">
        <is>
          <t>MXL</t>
        </is>
      </c>
      <c r="G119" t="n">
        <v>900008141</v>
      </c>
      <c r="H119" t="inlineStr">
        <is>
          <t>SF TC-ED TONY SILVA EL COLOMO</t>
        </is>
      </c>
      <c r="I119" t="n">
        <v>5011365</v>
      </c>
      <c r="J119" t="inlineStr">
        <is>
          <t>SILVA CARVAJAL MARCO ANTONIO</t>
        </is>
      </c>
      <c r="K119" t="inlineStr">
        <is>
          <t>Z03</t>
        </is>
      </c>
      <c r="L119" t="inlineStr">
        <is>
          <t>(AP) 15 Dias</t>
        </is>
      </c>
      <c r="M119" t="n">
        <v>10000383</v>
      </c>
      <c r="N119" t="inlineStr">
        <is>
          <t>Grava Triturada Basalto 40 mm - 1 1/2"</t>
        </is>
      </c>
      <c r="O119" t="inlineStr">
        <is>
          <t>DW83</t>
        </is>
      </c>
      <c r="P119" t="inlineStr">
        <is>
          <t>MX-CED. VALLARTA</t>
        </is>
      </c>
      <c r="Q119" t="n">
        <v>20230417</v>
      </c>
      <c r="R119" t="n">
        <v>20291231</v>
      </c>
      <c r="S119" t="n">
        <v>20250214</v>
      </c>
      <c r="T119" t="n">
        <v>20301231</v>
      </c>
      <c r="U119" t="n">
        <v>460</v>
      </c>
      <c r="V119" t="inlineStr">
        <is>
          <t>MXN</t>
        </is>
      </c>
      <c r="W119" t="inlineStr">
        <is>
          <t>M3</t>
        </is>
      </c>
      <c r="X119" t="n">
        <v>280</v>
      </c>
      <c r="Y119" t="inlineStr">
        <is>
          <t>MXN</t>
        </is>
      </c>
      <c r="Z119" t="inlineStr">
        <is>
          <t>M3</t>
        </is>
      </c>
      <c r="AA119" t="inlineStr">
        <is>
          <t>D243</t>
        </is>
      </c>
      <c r="AB119" t="inlineStr">
        <is>
          <t>PD0423 OJO DE AGUA</t>
        </is>
      </c>
      <c r="AC119" t="n">
        <v>56103637</v>
      </c>
      <c r="AD119" t="n">
        <v>6644411540</v>
      </c>
      <c r="AE119" t="n">
        <v>4</v>
      </c>
      <c r="AF119" t="inlineStr">
        <is>
          <t>ENTREGA DIRECTA</t>
        </is>
      </c>
      <c r="AG119" t="n">
        <v>1.359</v>
      </c>
      <c r="AH119" t="inlineStr">
        <is>
          <t>M3</t>
        </is>
      </c>
      <c r="AI119" t="inlineStr">
        <is>
          <t>X</t>
        </is>
      </c>
      <c r="AJ119" t="n">
        <v>4</v>
      </c>
      <c r="AK119" t="inlineStr">
        <is>
          <t>V4</t>
        </is>
      </c>
      <c r="AL119" t="n">
        <v>20250217</v>
      </c>
      <c r="AM119" t="inlineStr">
        <is>
          <t>DW83-900008141-D243-10000383-4</t>
        </is>
      </c>
    </row>
    <row r="120">
      <c r="A120" t="inlineStr">
        <is>
          <t>900008141DW83D24310192197</t>
        </is>
      </c>
      <c r="B120" t="inlineStr">
        <is>
          <t>4600057252-230</t>
        </is>
      </c>
      <c r="C120" t="n">
        <v>4600057252</v>
      </c>
      <c r="D120" t="n">
        <v>230</v>
      </c>
      <c r="E120" t="inlineStr">
        <is>
          <t>MXPO</t>
        </is>
      </c>
      <c r="F120" t="inlineStr">
        <is>
          <t>MXL</t>
        </is>
      </c>
      <c r="G120" t="n">
        <v>900008141</v>
      </c>
      <c r="H120" t="inlineStr">
        <is>
          <t>SF TC-ED TONY SILVA EL COLOMO</t>
        </is>
      </c>
      <c r="I120" t="n">
        <v>5011365</v>
      </c>
      <c r="J120" t="inlineStr">
        <is>
          <t>SILVA CARVAJAL MARCO ANTONIO</t>
        </is>
      </c>
      <c r="K120" t="inlineStr">
        <is>
          <t>Z03</t>
        </is>
      </c>
      <c r="L120" t="inlineStr">
        <is>
          <t>(AP) 15 Dias</t>
        </is>
      </c>
      <c r="M120" t="n">
        <v>10192197</v>
      </c>
      <c r="N120" t="inlineStr">
        <is>
          <t>ARENA CLASIFICADA RIO MALLA 5</t>
        </is>
      </c>
      <c r="O120" t="inlineStr">
        <is>
          <t>DW83</t>
        </is>
      </c>
      <c r="P120" t="inlineStr">
        <is>
          <t>MX-CED. VALLARTA</t>
        </is>
      </c>
      <c r="Q120" t="n">
        <v>20230417</v>
      </c>
      <c r="R120" t="n">
        <v>20291231</v>
      </c>
      <c r="S120" t="n">
        <v>20250214</v>
      </c>
      <c r="T120" t="n">
        <v>20301231</v>
      </c>
      <c r="U120" t="n">
        <v>460</v>
      </c>
      <c r="V120" t="inlineStr">
        <is>
          <t>MXN</t>
        </is>
      </c>
      <c r="W120" t="inlineStr">
        <is>
          <t>M3</t>
        </is>
      </c>
      <c r="X120" t="n">
        <v>290</v>
      </c>
      <c r="Y120" t="inlineStr">
        <is>
          <t>MXN</t>
        </is>
      </c>
      <c r="Z120" t="inlineStr">
        <is>
          <t>M3</t>
        </is>
      </c>
      <c r="AA120" t="inlineStr">
        <is>
          <t>D243</t>
        </is>
      </c>
      <c r="AB120" t="inlineStr">
        <is>
          <t>PD0423 OJO DE AGUA</t>
        </is>
      </c>
      <c r="AC120" t="n">
        <v>56103638</v>
      </c>
      <c r="AD120" t="n">
        <v>6644411540</v>
      </c>
      <c r="AE120" t="n">
        <v>4</v>
      </c>
      <c r="AF120" t="inlineStr">
        <is>
          <t>ENTREGA DIRECTA</t>
        </is>
      </c>
      <c r="AG120" t="n">
        <v>1.443</v>
      </c>
      <c r="AH120" t="inlineStr">
        <is>
          <t>M3</t>
        </is>
      </c>
      <c r="AI120" t="inlineStr">
        <is>
          <t>X</t>
        </is>
      </c>
      <c r="AJ120" t="n">
        <v>4</v>
      </c>
      <c r="AK120" t="inlineStr">
        <is>
          <t>V4</t>
        </is>
      </c>
      <c r="AL120" t="n">
        <v>20250217</v>
      </c>
      <c r="AM120" t="inlineStr">
        <is>
          <t>DW83-900008141-D243-10192197-4</t>
        </is>
      </c>
    </row>
    <row r="121">
      <c r="A121" t="inlineStr">
        <is>
          <t>900008141DW83D24310000719</t>
        </is>
      </c>
      <c r="B121" t="inlineStr">
        <is>
          <t>4600057252-220</t>
        </is>
      </c>
      <c r="C121" t="n">
        <v>4600057252</v>
      </c>
      <c r="D121" t="n">
        <v>220</v>
      </c>
      <c r="E121" t="inlineStr">
        <is>
          <t>MXPO</t>
        </is>
      </c>
      <c r="F121" t="inlineStr">
        <is>
          <t>MXL</t>
        </is>
      </c>
      <c r="G121" t="n">
        <v>900008141</v>
      </c>
      <c r="H121" t="inlineStr">
        <is>
          <t>SF TC-ED TONY SILVA EL COLOMO</t>
        </is>
      </c>
      <c r="I121" t="n">
        <v>5011365</v>
      </c>
      <c r="J121" t="inlineStr">
        <is>
          <t>SILVA CARVAJAL MARCO ANTONIO</t>
        </is>
      </c>
      <c r="K121" t="inlineStr">
        <is>
          <t>Z03</t>
        </is>
      </c>
      <c r="L121" t="inlineStr">
        <is>
          <t>(AP) 15 Dias</t>
        </is>
      </c>
      <c r="M121" t="n">
        <v>10000719</v>
      </c>
      <c r="N121" t="inlineStr">
        <is>
          <t>Arena Clasificada Río Malla 8</t>
        </is>
      </c>
      <c r="O121" t="inlineStr">
        <is>
          <t>DW83</t>
        </is>
      </c>
      <c r="P121" t="inlineStr">
        <is>
          <t>MX-CED. VALLARTA</t>
        </is>
      </c>
      <c r="Q121" t="n">
        <v>20230417</v>
      </c>
      <c r="R121" t="n">
        <v>20291231</v>
      </c>
      <c r="S121" t="n">
        <v>20250214</v>
      </c>
      <c r="T121" t="n">
        <v>20301231</v>
      </c>
      <c r="U121" t="n">
        <v>460</v>
      </c>
      <c r="V121" t="inlineStr">
        <is>
          <t>MXN</t>
        </is>
      </c>
      <c r="W121" t="inlineStr">
        <is>
          <t>M3</t>
        </is>
      </c>
      <c r="X121" t="n">
        <v>290</v>
      </c>
      <c r="Y121" t="inlineStr">
        <is>
          <t>MXN</t>
        </is>
      </c>
      <c r="Z121" t="inlineStr">
        <is>
          <t>M3</t>
        </is>
      </c>
      <c r="AA121" t="inlineStr">
        <is>
          <t>D243</t>
        </is>
      </c>
      <c r="AB121" t="inlineStr">
        <is>
          <t>PD0423 OJO DE AGUA</t>
        </is>
      </c>
      <c r="AC121" t="n">
        <v>56103638</v>
      </c>
      <c r="AD121" t="n">
        <v>6644411540</v>
      </c>
      <c r="AE121" t="n">
        <v>4</v>
      </c>
      <c r="AF121" t="inlineStr">
        <is>
          <t>ENTREGA DIRECTA</t>
        </is>
      </c>
      <c r="AG121" t="n">
        <v>1.442</v>
      </c>
      <c r="AH121" t="inlineStr">
        <is>
          <t>M3</t>
        </is>
      </c>
      <c r="AI121" t="inlineStr">
        <is>
          <t>X</t>
        </is>
      </c>
      <c r="AJ121" t="n">
        <v>4</v>
      </c>
      <c r="AK121" t="inlineStr">
        <is>
          <t>V4</t>
        </is>
      </c>
      <c r="AL121" t="n">
        <v>20250217</v>
      </c>
      <c r="AM121" t="inlineStr">
        <is>
          <t>DW83-900008141-D243-10000719-4</t>
        </is>
      </c>
    </row>
    <row r="122">
      <c r="A122" t="inlineStr">
        <is>
          <t>900008141DW83D24310000377</t>
        </is>
      </c>
      <c r="B122" t="inlineStr">
        <is>
          <t>4600057252-190</t>
        </is>
      </c>
      <c r="C122" t="n">
        <v>4600057252</v>
      </c>
      <c r="D122" t="n">
        <v>190</v>
      </c>
      <c r="E122" t="inlineStr">
        <is>
          <t>MXPO</t>
        </is>
      </c>
      <c r="F122" t="inlineStr">
        <is>
          <t>MXL</t>
        </is>
      </c>
      <c r="G122" t="n">
        <v>900008141</v>
      </c>
      <c r="H122" t="inlineStr">
        <is>
          <t>SF TC-ED TONY SILVA EL COLOMO</t>
        </is>
      </c>
      <c r="I122" t="n">
        <v>5011365</v>
      </c>
      <c r="J122" t="inlineStr">
        <is>
          <t>SILVA CARVAJAL MARCO ANTONIO</t>
        </is>
      </c>
      <c r="K122" t="inlineStr">
        <is>
          <t>Z03</t>
        </is>
      </c>
      <c r="L122" t="inlineStr">
        <is>
          <t>(AP) 15 Dias</t>
        </is>
      </c>
      <c r="M122" t="n">
        <v>10000377</v>
      </c>
      <c r="N122" t="inlineStr">
        <is>
          <t>Grava Triturada Basalto 10 mm - 3/8"</t>
        </is>
      </c>
      <c r="O122" t="inlineStr">
        <is>
          <t>DW83</t>
        </is>
      </c>
      <c r="P122" t="inlineStr">
        <is>
          <t>MX-CED. VALLARTA</t>
        </is>
      </c>
      <c r="Q122" t="n">
        <v>20230417</v>
      </c>
      <c r="R122" t="n">
        <v>20291231</v>
      </c>
      <c r="S122" t="n">
        <v>20250214</v>
      </c>
      <c r="T122" t="n">
        <v>20301231</v>
      </c>
      <c r="U122" t="n">
        <v>460</v>
      </c>
      <c r="V122" t="inlineStr">
        <is>
          <t>MXN</t>
        </is>
      </c>
      <c r="W122" t="inlineStr">
        <is>
          <t>M3</t>
        </is>
      </c>
      <c r="X122" t="n">
        <v>280</v>
      </c>
      <c r="Y122" t="inlineStr">
        <is>
          <t>MXN</t>
        </is>
      </c>
      <c r="Z122" t="inlineStr">
        <is>
          <t>M3</t>
        </is>
      </c>
      <c r="AA122" t="inlineStr">
        <is>
          <t>D243</t>
        </is>
      </c>
      <c r="AB122" t="inlineStr">
        <is>
          <t>PD0423 OJO DE AGUA</t>
        </is>
      </c>
      <c r="AC122" t="n">
        <v>56103637</v>
      </c>
      <c r="AD122" t="n">
        <v>6644411540</v>
      </c>
      <c r="AE122" t="n">
        <v>4</v>
      </c>
      <c r="AF122" t="inlineStr">
        <is>
          <t>ENTREGA DIRECTA</t>
        </is>
      </c>
      <c r="AG122" t="n">
        <v>1.458</v>
      </c>
      <c r="AH122" t="inlineStr">
        <is>
          <t>M3</t>
        </is>
      </c>
      <c r="AI122" t="inlineStr">
        <is>
          <t>X</t>
        </is>
      </c>
      <c r="AJ122" t="n">
        <v>4</v>
      </c>
      <c r="AK122" t="inlineStr">
        <is>
          <t>V4</t>
        </is>
      </c>
      <c r="AL122" t="n">
        <v>20250217</v>
      </c>
      <c r="AM122" t="inlineStr">
        <is>
          <t>DW83-900008141-D243-10000377-4</t>
        </is>
      </c>
    </row>
    <row r="123">
      <c r="A123" t="inlineStr">
        <is>
          <t>900000472DW83D21510000655</t>
        </is>
      </c>
      <c r="B123" t="inlineStr">
        <is>
          <t>4600052492-30</t>
        </is>
      </c>
      <c r="C123" t="n">
        <v>4600052492</v>
      </c>
      <c r="D123" t="n">
        <v>30</v>
      </c>
      <c r="E123" t="inlineStr">
        <is>
          <t>MXPO</t>
        </is>
      </c>
      <c r="F123" t="inlineStr">
        <is>
          <t>MXL</t>
        </is>
      </c>
      <c r="G123" t="n">
        <v>900000472</v>
      </c>
      <c r="H123" t="inlineStr">
        <is>
          <t>TC-ED-TRIMCAV</t>
        </is>
      </c>
      <c r="I123" t="n">
        <v>5010147</v>
      </c>
      <c r="J123" t="inlineStr">
        <is>
          <t>TRITURACIONES DE MARMOL Y CALCIOS</t>
        </is>
      </c>
      <c r="K123" t="inlineStr">
        <is>
          <t>Z04</t>
        </is>
      </c>
      <c r="L123" t="inlineStr">
        <is>
          <t>(AP) 30 Dias</t>
        </is>
      </c>
      <c r="M123" t="n">
        <v>10000655</v>
      </c>
      <c r="N123" t="inlineStr">
        <is>
          <t>Grava Triturada Marmol 10 mm - 3/8"</t>
        </is>
      </c>
      <c r="O123" t="inlineStr">
        <is>
          <t>DW83</t>
        </is>
      </c>
      <c r="P123" t="inlineStr">
        <is>
          <t>MX-CED. VALLARTA</t>
        </is>
      </c>
      <c r="Q123" t="n">
        <v>20211116</v>
      </c>
      <c r="R123" t="n">
        <v>20291231</v>
      </c>
      <c r="S123" t="n">
        <v>20240215</v>
      </c>
      <c r="T123" t="n">
        <v>20291231</v>
      </c>
      <c r="U123" t="n">
        <v>2268.57</v>
      </c>
      <c r="V123" t="inlineStr">
        <is>
          <t>MXN</t>
        </is>
      </c>
      <c r="W123" t="inlineStr">
        <is>
          <t>TN</t>
        </is>
      </c>
      <c r="X123" t="n">
        <v>919.15</v>
      </c>
      <c r="Y123" t="inlineStr">
        <is>
          <t>MXN</t>
        </is>
      </c>
      <c r="Z123" t="inlineStr">
        <is>
          <t>TN</t>
        </is>
      </c>
      <c r="AA123" t="inlineStr">
        <is>
          <t>D215</t>
        </is>
      </c>
      <c r="AB123" t="inlineStr">
        <is>
          <t>PD0159 PUERTO VALLARTA</t>
        </is>
      </c>
      <c r="AC123" t="n">
        <v>56103637</v>
      </c>
      <c r="AD123" t="n">
        <v>6644411540</v>
      </c>
      <c r="AE123" t="n">
        <v>4</v>
      </c>
      <c r="AF123" t="inlineStr">
        <is>
          <t>ENTREGA DIRECTA</t>
        </is>
      </c>
      <c r="AG123" t="n">
        <v>1</v>
      </c>
      <c r="AH123" t="inlineStr">
        <is>
          <t>TO</t>
        </is>
      </c>
      <c r="AI123" t="inlineStr">
        <is>
          <t>X</t>
        </is>
      </c>
      <c r="AJ123" t="n">
        <v>4</v>
      </c>
      <c r="AK123" t="inlineStr">
        <is>
          <t>V4</t>
        </is>
      </c>
      <c r="AL123" t="n">
        <v>20240319</v>
      </c>
      <c r="AM123" t="inlineStr">
        <is>
          <t>DW83-900000472-D215-10000655-4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2026-09-14T14:23:35Z</dcterms:created>
  <dcterms:modified xsi:type="dcterms:W3CDTF">2026-09-14T14:23:36Z</dcterms:modified>
</cp:coreProperties>
</file>