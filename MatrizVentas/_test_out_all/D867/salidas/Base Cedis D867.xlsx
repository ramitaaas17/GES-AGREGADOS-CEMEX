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867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900003652</t>
        </is>
      </c>
      <c r="B3" s="8" t="inlineStr"/>
      <c r="C3" s="7" t="inlineStr">
        <is>
          <t>D867</t>
        </is>
      </c>
      <c r="D3" s="7" t="inlineStr">
        <is>
          <t>67059440</t>
        </is>
      </c>
      <c r="E3" s="7" t="inlineStr"/>
      <c r="F3" s="8" t="inlineStr"/>
      <c r="G3" s="8" t="inlineStr">
        <is>
          <t>10000139</t>
        </is>
      </c>
      <c r="H3" s="8" t="inlineStr">
        <is>
          <t>Grava Triturada Andesita 20 mm - 3/4"</t>
        </is>
      </c>
      <c r="I3" s="9" t="n">
        <v>1311</v>
      </c>
      <c r="J3" s="7" t="inlineStr">
        <is>
          <t>20220422</t>
        </is>
      </c>
      <c r="K3" s="7" t="inlineStr">
        <is>
          <t>20240910</t>
        </is>
      </c>
      <c r="L3" s="10" t="n">
        <v>73.69</v>
      </c>
      <c r="M3" s="10" t="n"/>
      <c r="N3" s="7" t="inlineStr">
        <is>
          <t>M3</t>
        </is>
      </c>
      <c r="O3" s="10" t="n"/>
      <c r="P3" s="7" t="inlineStr"/>
      <c r="Q3" s="10">
        <f>IF(AND(N3="TN",P3="TN"),L3+N(M3),IF(E3&amp;""="1",N(I3)*L3,(L3+N(M3))*N(I3)))</f>
        <v/>
      </c>
      <c r="R3" s="10">
        <f>O3-Q3</f>
        <v/>
      </c>
    </row>
    <row r="4">
      <c r="A4" s="7" t="inlineStr">
        <is>
          <t>900003652</t>
        </is>
      </c>
      <c r="B4" s="8" t="inlineStr"/>
      <c r="C4" s="7" t="inlineStr">
        <is>
          <t>D867</t>
        </is>
      </c>
      <c r="D4" s="7" t="inlineStr">
        <is>
          <t>67059440</t>
        </is>
      </c>
      <c r="E4" s="7" t="inlineStr"/>
      <c r="F4" s="8" t="inlineStr"/>
      <c r="G4" s="8" t="inlineStr">
        <is>
          <t>10000444</t>
        </is>
      </c>
      <c r="H4" s="8" t="inlineStr">
        <is>
          <t>Arena Triturada Andesita Malla 4</t>
        </is>
      </c>
      <c r="I4" s="9" t="n">
        <v>1473</v>
      </c>
      <c r="J4" s="7" t="inlineStr">
        <is>
          <t>20220422</t>
        </is>
      </c>
      <c r="K4" s="7" t="inlineStr">
        <is>
          <t>20240910</t>
        </is>
      </c>
      <c r="L4" s="10" t="n">
        <v>63.16</v>
      </c>
      <c r="M4" s="10" t="n"/>
      <c r="N4" s="7" t="inlineStr">
        <is>
          <t>M3</t>
        </is>
      </c>
      <c r="O4" s="10" t="n"/>
      <c r="P4" s="7" t="inlineStr"/>
      <c r="Q4" s="10">
        <f>IF(AND(N4="TN",P4="TN"),L4+N(M4),IF(E4&amp;""="1",N(I4)*L4,(L4+N(M4))*N(I4)))</f>
        <v/>
      </c>
      <c r="R4" s="10">
        <f>O4-Q4</f>
        <v/>
      </c>
    </row>
    <row r="5">
      <c r="A5" s="7" t="inlineStr">
        <is>
          <t>900003687</t>
        </is>
      </c>
      <c r="B5" s="8" t="inlineStr"/>
      <c r="C5" s="7" t="inlineStr">
        <is>
          <t>D867</t>
        </is>
      </c>
      <c r="D5" s="7" t="inlineStr">
        <is>
          <t>66894809</t>
        </is>
      </c>
      <c r="E5" s="7" t="inlineStr">
        <is>
          <t>4</t>
        </is>
      </c>
      <c r="F5" s="8" t="inlineStr"/>
      <c r="G5" s="8" t="inlineStr">
        <is>
          <t>10000504</t>
        </is>
      </c>
      <c r="H5" s="8" t="inlineStr">
        <is>
          <t>Grava Clasificada Río 20 mm - 3/4"</t>
        </is>
      </c>
      <c r="I5" s="9" t="n">
        <v>1390</v>
      </c>
      <c r="J5" s="7" t="inlineStr">
        <is>
          <t>20220422</t>
        </is>
      </c>
      <c r="K5" s="7" t="inlineStr">
        <is>
          <t>20240910</t>
        </is>
      </c>
      <c r="L5" s="10" t="n">
        <v>262.5</v>
      </c>
      <c r="M5" s="10" t="n">
        <v>197.5</v>
      </c>
      <c r="N5" s="7" t="inlineStr">
        <is>
          <t>M3</t>
        </is>
      </c>
      <c r="O5" s="10" t="n"/>
      <c r="P5" s="7" t="inlineStr"/>
      <c r="Q5" s="10">
        <f>IF(AND(N5="TN",P5="TN"),L5+N(M5),IF(E5&amp;""="1",N(I5)*L5,(L5+N(M5))*N(I5)))</f>
        <v/>
      </c>
      <c r="R5" s="10">
        <f>O5-Q5</f>
        <v/>
      </c>
    </row>
    <row r="6">
      <c r="A6" s="7" t="inlineStr">
        <is>
          <t>900003687</t>
        </is>
      </c>
      <c r="B6" s="8" t="inlineStr"/>
      <c r="C6" s="7" t="inlineStr">
        <is>
          <t>D867</t>
        </is>
      </c>
      <c r="D6" s="7" t="inlineStr">
        <is>
          <t>66894809</t>
        </is>
      </c>
      <c r="E6" s="7" t="inlineStr">
        <is>
          <t>4</t>
        </is>
      </c>
      <c r="F6" s="8" t="inlineStr"/>
      <c r="G6" s="8" t="inlineStr">
        <is>
          <t>10000505</t>
        </is>
      </c>
      <c r="H6" s="8" t="inlineStr">
        <is>
          <t>Arena Clasificada Río Malla 4</t>
        </is>
      </c>
      <c r="I6" s="9" t="n">
        <v>1505</v>
      </c>
      <c r="J6" s="7" t="inlineStr">
        <is>
          <t>20220422</t>
        </is>
      </c>
      <c r="K6" s="7" t="inlineStr">
        <is>
          <t>20240910</t>
        </is>
      </c>
      <c r="L6" s="10" t="n">
        <v>122.5</v>
      </c>
      <c r="M6" s="10" t="n">
        <v>197.5</v>
      </c>
      <c r="N6" s="7" t="inlineStr">
        <is>
          <t>M3</t>
        </is>
      </c>
      <c r="O6" s="10" t="n"/>
      <c r="P6" s="7" t="inlineStr"/>
      <c r="Q6" s="10">
        <f>IF(AND(N6="TN",P6="TN"),L6+N(M6),IF(E6&amp;""="1",N(I6)*L6,(L6+N(M6))*N(I6)))</f>
        <v/>
      </c>
      <c r="R6" s="10">
        <f>O6-Q6</f>
        <v/>
      </c>
    </row>
    <row r="7">
      <c r="A7" s="7" t="inlineStr">
        <is>
          <t>900003687</t>
        </is>
      </c>
      <c r="B7" s="8" t="inlineStr"/>
      <c r="C7" s="7" t="inlineStr">
        <is>
          <t>D867</t>
        </is>
      </c>
      <c r="D7" s="7" t="inlineStr">
        <is>
          <t>66894809</t>
        </is>
      </c>
      <c r="E7" s="7" t="inlineStr">
        <is>
          <t>4</t>
        </is>
      </c>
      <c r="F7" s="8" t="inlineStr"/>
      <c r="G7" s="8" t="inlineStr">
        <is>
          <t>10197737</t>
        </is>
      </c>
      <c r="H7" s="8" t="inlineStr">
        <is>
          <t>ARENA CLASIFICADA RÍO MALLA 4- NG</t>
        </is>
      </c>
      <c r="I7" s="9" t="n">
        <v>1550</v>
      </c>
      <c r="J7" s="7" t="inlineStr">
        <is>
          <t>20220422</t>
        </is>
      </c>
      <c r="K7" s="7" t="inlineStr">
        <is>
          <t>20240910</t>
        </is>
      </c>
      <c r="L7" s="10" t="n">
        <v>241.51</v>
      </c>
      <c r="M7" s="10" t="n">
        <v>199.49</v>
      </c>
      <c r="N7" s="7" t="inlineStr">
        <is>
          <t>M3</t>
        </is>
      </c>
      <c r="O7" s="10" t="n"/>
      <c r="P7" s="7" t="inlineStr"/>
      <c r="Q7" s="10">
        <f>IF(AND(N7="TN",P7="TN"),L7+N(M7),IF(E7&amp;""="1",N(I7)*L7,(L7+N(M7))*N(I7)))</f>
        <v/>
      </c>
      <c r="R7" s="10">
        <f>O7-Q7</f>
        <v/>
      </c>
    </row>
    <row r="8">
      <c r="A8" s="7" t="inlineStr">
        <is>
          <t>900003687</t>
        </is>
      </c>
      <c r="B8" s="8" t="inlineStr"/>
      <c r="C8" s="7" t="inlineStr">
        <is>
          <t>D867</t>
        </is>
      </c>
      <c r="D8" s="7" t="inlineStr">
        <is>
          <t>66894809</t>
        </is>
      </c>
      <c r="E8" s="7" t="inlineStr">
        <is>
          <t>4</t>
        </is>
      </c>
      <c r="F8" s="8" t="inlineStr"/>
      <c r="G8" s="8" t="inlineStr">
        <is>
          <t>10204013</t>
        </is>
      </c>
      <c r="H8" s="8" t="inlineStr">
        <is>
          <t>GRAVA CLASIFICADA RÍO 20 MM - 3/4" (CONT</t>
        </is>
      </c>
      <c r="I8" s="9" t="n">
        <v>1440</v>
      </c>
      <c r="J8" s="7" t="inlineStr">
        <is>
          <t>20220422</t>
        </is>
      </c>
      <c r="K8" s="7" t="inlineStr">
        <is>
          <t>20240910</t>
        </is>
      </c>
      <c r="L8" s="10" t="n">
        <v>310.51</v>
      </c>
      <c r="M8" s="10" t="n">
        <v>199.49</v>
      </c>
      <c r="N8" s="7" t="inlineStr">
        <is>
          <t>M3</t>
        </is>
      </c>
      <c r="O8" s="10" t="n"/>
      <c r="P8" s="7" t="inlineStr"/>
      <c r="Q8" s="10">
        <f>IF(AND(N8="TN",P8="TN"),L8+N(M8),IF(E8&amp;""="1",N(I8)*L8,(L8+N(M8))*N(I8)))</f>
        <v/>
      </c>
      <c r="R8" s="10">
        <f>O8-Q8</f>
        <v/>
      </c>
    </row>
    <row r="9">
      <c r="A9" s="7" t="inlineStr">
        <is>
          <t>900003687</t>
        </is>
      </c>
      <c r="B9" s="8" t="inlineStr"/>
      <c r="C9" s="7" t="inlineStr">
        <is>
          <t>D867</t>
        </is>
      </c>
      <c r="D9" s="7" t="inlineStr">
        <is>
          <t>66894809</t>
        </is>
      </c>
      <c r="E9" s="7" t="inlineStr">
        <is>
          <t>4</t>
        </is>
      </c>
      <c r="F9" s="8" t="inlineStr"/>
      <c r="G9" s="8" t="inlineStr">
        <is>
          <t>10226174</t>
        </is>
      </c>
      <c r="H9" s="8" t="inlineStr">
        <is>
          <t>GRAVA CLASIFICADA RÍO 20 MM - 3/4" - NG</t>
        </is>
      </c>
      <c r="I9" s="9" t="n">
        <v>1440</v>
      </c>
      <c r="J9" s="7" t="inlineStr">
        <is>
          <t>20220422</t>
        </is>
      </c>
      <c r="K9" s="7" t="inlineStr">
        <is>
          <t>20240910</t>
        </is>
      </c>
      <c r="L9" s="10" t="n">
        <v>445.51</v>
      </c>
      <c r="M9" s="10" t="n">
        <v>199.49</v>
      </c>
      <c r="N9" s="7" t="inlineStr">
        <is>
          <t>M3</t>
        </is>
      </c>
      <c r="O9" s="10" t="n"/>
      <c r="P9" s="7" t="inlineStr"/>
      <c r="Q9" s="10">
        <f>IF(AND(N9="TN",P9="TN"),L9+N(M9),IF(E9&amp;""="1",N(I9)*L9,(L9+N(M9))*N(I9)))</f>
        <v/>
      </c>
      <c r="R9" s="10">
        <f>O9-Q9</f>
        <v/>
      </c>
    </row>
    <row r="10">
      <c r="A10" s="7" t="inlineStr">
        <is>
          <t>900003687</t>
        </is>
      </c>
      <c r="B10" s="8" t="inlineStr"/>
      <c r="C10" s="7" t="inlineStr">
        <is>
          <t>D867</t>
        </is>
      </c>
      <c r="D10" s="7" t="inlineStr">
        <is>
          <t>66894809</t>
        </is>
      </c>
      <c r="E10" s="7" t="inlineStr">
        <is>
          <t>4</t>
        </is>
      </c>
      <c r="F10" s="8" t="inlineStr"/>
      <c r="G10" s="8" t="inlineStr">
        <is>
          <t>10227599</t>
        </is>
      </c>
      <c r="H10" s="8" t="inlineStr">
        <is>
          <t>GRAVA TRITURADA CALIZA 20 MM - 3/4" NG</t>
        </is>
      </c>
      <c r="I10" s="9" t="n">
        <v>1440</v>
      </c>
      <c r="J10" s="7" t="inlineStr">
        <is>
          <t>20220422</t>
        </is>
      </c>
      <c r="K10" s="7" t="inlineStr">
        <is>
          <t>20240910</t>
        </is>
      </c>
      <c r="L10" s="10" t="n">
        <v>237.51</v>
      </c>
      <c r="M10" s="10" t="n">
        <v>577.49</v>
      </c>
      <c r="N10" s="7" t="inlineStr">
        <is>
          <t>M3</t>
        </is>
      </c>
      <c r="O10" s="10" t="n"/>
      <c r="P10" s="7" t="inlineStr"/>
      <c r="Q10" s="10">
        <f>IF(AND(N10="TN",P10="TN"),L10+N(M10),IF(E10&amp;""="1",N(I10)*L10,(L10+N(M10))*N(I10)))</f>
        <v/>
      </c>
      <c r="R10" s="10">
        <f>O10-Q10</f>
        <v/>
      </c>
    </row>
    <row r="11">
      <c r="A11" s="7" t="inlineStr">
        <is>
          <t>900003687</t>
        </is>
      </c>
      <c r="B11" s="8" t="inlineStr"/>
      <c r="C11" s="7" t="inlineStr">
        <is>
          <t>D867</t>
        </is>
      </c>
      <c r="D11" s="7" t="inlineStr">
        <is>
          <t>67091517</t>
        </is>
      </c>
      <c r="E11" s="7" t="inlineStr">
        <is>
          <t>4</t>
        </is>
      </c>
      <c r="F11" s="8" t="inlineStr"/>
      <c r="G11" s="8" t="inlineStr">
        <is>
          <t>10000432</t>
        </is>
      </c>
      <c r="H11" s="8" t="inlineStr">
        <is>
          <t>Base H Triturada Basalto  1 1/2" a Finos</t>
        </is>
      </c>
      <c r="I11" s="9" t="n">
        <v>1600</v>
      </c>
      <c r="J11" s="7" t="inlineStr">
        <is>
          <t>20220422</t>
        </is>
      </c>
      <c r="K11" s="7" t="inlineStr">
        <is>
          <t>20240910</t>
        </is>
      </c>
      <c r="L11" s="10" t="n">
        <v>110</v>
      </c>
      <c r="M11" s="10" t="n">
        <v>170</v>
      </c>
      <c r="N11" s="7" t="inlineStr">
        <is>
          <t>M3</t>
        </is>
      </c>
      <c r="O11" s="10" t="n"/>
      <c r="P11" s="7" t="inlineStr"/>
      <c r="Q11" s="10">
        <f>IF(AND(N11="TN",P11="TN"),L11+N(M11),IF(E11&amp;""="1",N(I11)*L11,(L11+N(M11))*N(I11)))</f>
        <v/>
      </c>
      <c r="R11" s="10">
        <f>O11-Q11</f>
        <v/>
      </c>
    </row>
    <row r="12">
      <c r="A12" s="7" t="inlineStr">
        <is>
          <t>900003687</t>
        </is>
      </c>
      <c r="B12" s="8" t="inlineStr"/>
      <c r="C12" s="7" t="inlineStr">
        <is>
          <t>D867</t>
        </is>
      </c>
      <c r="D12" s="7" t="inlineStr">
        <is>
          <t>67101665</t>
        </is>
      </c>
      <c r="E12" s="7" t="inlineStr">
        <is>
          <t>4</t>
        </is>
      </c>
      <c r="F12" s="8" t="inlineStr"/>
      <c r="G12" s="8" t="inlineStr">
        <is>
          <t>10000432</t>
        </is>
      </c>
      <c r="H12" s="8" t="inlineStr">
        <is>
          <t>Base H Triturada Basalto  1 1/2" a Finos</t>
        </is>
      </c>
      <c r="I12" s="9" t="n">
        <v>1600</v>
      </c>
      <c r="J12" s="7" t="inlineStr">
        <is>
          <t>20220422</t>
        </is>
      </c>
      <c r="K12" s="7" t="inlineStr">
        <is>
          <t>20240910</t>
        </is>
      </c>
      <c r="L12" s="10" t="n">
        <v>110</v>
      </c>
      <c r="M12" s="10" t="n">
        <v>170</v>
      </c>
      <c r="N12" s="7" t="inlineStr">
        <is>
          <t>M3</t>
        </is>
      </c>
      <c r="O12" s="10" t="n"/>
      <c r="P12" s="7" t="inlineStr"/>
      <c r="Q12" s="10">
        <f>IF(AND(N12="TN",P12="TN"),L12+N(M12),IF(E12&amp;""="1",N(I12)*L12,(L12+N(M12))*N(I12)))</f>
        <v/>
      </c>
      <c r="R12" s="10">
        <f>O12-Q12</f>
        <v/>
      </c>
    </row>
    <row r="13">
      <c r="A13" s="7" t="inlineStr">
        <is>
          <t>900003689</t>
        </is>
      </c>
      <c r="B13" s="8" t="inlineStr"/>
      <c r="C13" s="7" t="inlineStr">
        <is>
          <t>D867</t>
        </is>
      </c>
      <c r="D13" s="7" t="inlineStr">
        <is>
          <t>66783898</t>
        </is>
      </c>
      <c r="E13" s="7" t="inlineStr"/>
      <c r="F13" s="8" t="inlineStr"/>
      <c r="G13" s="8" t="inlineStr">
        <is>
          <t>10000465</t>
        </is>
      </c>
      <c r="H13" s="8" t="inlineStr">
        <is>
          <t>Grava Clasificada Río  40 mm - 1 1/2"</t>
        </is>
      </c>
      <c r="I13" s="9" t="n">
        <v>1428</v>
      </c>
      <c r="J13" s="7" t="inlineStr">
        <is>
          <t>20220422</t>
        </is>
      </c>
      <c r="K13" s="7" t="inlineStr">
        <is>
          <t>20240910</t>
        </is>
      </c>
      <c r="L13" s="10" t="n">
        <v>267</v>
      </c>
      <c r="M13" s="10" t="n"/>
      <c r="N13" s="7" t="inlineStr">
        <is>
          <t>M3</t>
        </is>
      </c>
      <c r="O13" s="10" t="n"/>
      <c r="P13" s="7" t="inlineStr"/>
      <c r="Q13" s="10">
        <f>IF(AND(N13="TN",P13="TN"),L13+N(M13),IF(E13&amp;""="1",N(I13)*L13,(L13+N(M13))*N(I13)))</f>
        <v/>
      </c>
      <c r="R13" s="10">
        <f>O13-Q13</f>
        <v/>
      </c>
    </row>
    <row r="14">
      <c r="A14" s="7" t="inlineStr">
        <is>
          <t>900003689</t>
        </is>
      </c>
      <c r="B14" s="8" t="inlineStr"/>
      <c r="C14" s="7" t="inlineStr">
        <is>
          <t>D867</t>
        </is>
      </c>
      <c r="D14" s="7" t="inlineStr">
        <is>
          <t>66783898</t>
        </is>
      </c>
      <c r="E14" s="7" t="inlineStr"/>
      <c r="F14" s="8" t="inlineStr"/>
      <c r="G14" s="8" t="inlineStr">
        <is>
          <t>10000504</t>
        </is>
      </c>
      <c r="H14" s="8" t="inlineStr">
        <is>
          <t>Grava Clasificada Río 20 mm - 3/4"</t>
        </is>
      </c>
      <c r="I14" s="9" t="n">
        <v>1390</v>
      </c>
      <c r="J14" s="7" t="inlineStr">
        <is>
          <t>20220422</t>
        </is>
      </c>
      <c r="K14" s="7" t="inlineStr">
        <is>
          <t>20240910</t>
        </is>
      </c>
      <c r="L14" s="10" t="n">
        <v>300</v>
      </c>
      <c r="M14" s="10" t="n"/>
      <c r="N14" s="7" t="inlineStr">
        <is>
          <t>M3</t>
        </is>
      </c>
      <c r="O14" s="10" t="n"/>
      <c r="P14" s="7" t="inlineStr"/>
      <c r="Q14" s="10">
        <f>IF(AND(N14="TN",P14="TN"),L14+N(M14),IF(E14&amp;""="1",N(I14)*L14,(L14+N(M14))*N(I14)))</f>
        <v/>
      </c>
      <c r="R14" s="10">
        <f>O14-Q14</f>
        <v/>
      </c>
    </row>
    <row r="15">
      <c r="A15" s="7" t="inlineStr">
        <is>
          <t>900003689</t>
        </is>
      </c>
      <c r="B15" s="8" t="inlineStr"/>
      <c r="C15" s="7" t="inlineStr">
        <is>
          <t>D867</t>
        </is>
      </c>
      <c r="D15" s="7" t="inlineStr">
        <is>
          <t>66783898</t>
        </is>
      </c>
      <c r="E15" s="7" t="inlineStr"/>
      <c r="F15" s="8" t="inlineStr"/>
      <c r="G15" s="8" t="inlineStr">
        <is>
          <t>10000505</t>
        </is>
      </c>
      <c r="H15" s="8" t="inlineStr">
        <is>
          <t>Arena Clasificada Río Malla 4</t>
        </is>
      </c>
      <c r="I15" s="9" t="n">
        <v>1505</v>
      </c>
      <c r="J15" s="7" t="inlineStr">
        <is>
          <t>20220422</t>
        </is>
      </c>
      <c r="K15" s="7" t="inlineStr">
        <is>
          <t>20240910</t>
        </is>
      </c>
      <c r="L15" s="10" t="n">
        <v>125</v>
      </c>
      <c r="M15" s="10" t="n"/>
      <c r="N15" s="7" t="inlineStr">
        <is>
          <t>M3</t>
        </is>
      </c>
      <c r="O15" s="10" t="n"/>
      <c r="P15" s="7" t="inlineStr"/>
      <c r="Q15" s="10">
        <f>IF(AND(N15="TN",P15="TN"),L15+N(M15),IF(E15&amp;""="1",N(I15)*L15,(L15+N(M15))*N(I15)))</f>
        <v/>
      </c>
      <c r="R15" s="10">
        <f>O15-Q15</f>
        <v/>
      </c>
    </row>
    <row r="16">
      <c r="A16" s="7" t="inlineStr">
        <is>
          <t>900003689</t>
        </is>
      </c>
      <c r="B16" s="8" t="inlineStr"/>
      <c r="C16" s="7" t="inlineStr">
        <is>
          <t>D867</t>
        </is>
      </c>
      <c r="D16" s="7" t="inlineStr">
        <is>
          <t>66783898</t>
        </is>
      </c>
      <c r="E16" s="7" t="inlineStr"/>
      <c r="F16" s="8" t="inlineStr"/>
      <c r="G16" s="8" t="inlineStr">
        <is>
          <t>10000531</t>
        </is>
      </c>
      <c r="H16" s="8" t="inlineStr">
        <is>
          <t>Grava Clasificada Río 10 mm - 3/8"</t>
        </is>
      </c>
      <c r="I16" s="9" t="n">
        <v>1540</v>
      </c>
      <c r="J16" s="7" t="inlineStr">
        <is>
          <t>20220422</t>
        </is>
      </c>
      <c r="K16" s="7" t="inlineStr">
        <is>
          <t>20240910</t>
        </is>
      </c>
      <c r="L16" s="10" t="n">
        <v>605</v>
      </c>
      <c r="M16" s="10" t="n"/>
      <c r="N16" s="7" t="inlineStr">
        <is>
          <t>M3</t>
        </is>
      </c>
      <c r="O16" s="10" t="n"/>
      <c r="P16" s="7" t="inlineStr"/>
      <c r="Q16" s="10">
        <f>IF(AND(N16="TN",P16="TN"),L16+N(M16),IF(E16&amp;""="1",N(I16)*L16,(L16+N(M16))*N(I16)))</f>
        <v/>
      </c>
      <c r="R16" s="10">
        <f>O16-Q16</f>
        <v/>
      </c>
    </row>
    <row r="17">
      <c r="A17" s="7" t="inlineStr">
        <is>
          <t>900003689</t>
        </is>
      </c>
      <c r="B17" s="8" t="inlineStr"/>
      <c r="C17" s="7" t="inlineStr">
        <is>
          <t>D867</t>
        </is>
      </c>
      <c r="D17" s="7" t="inlineStr">
        <is>
          <t>66894809</t>
        </is>
      </c>
      <c r="E17" s="7" t="inlineStr"/>
      <c r="F17" s="8" t="inlineStr"/>
      <c r="G17" s="8" t="inlineStr">
        <is>
          <t>10000504</t>
        </is>
      </c>
      <c r="H17" s="8" t="inlineStr">
        <is>
          <t>Grava Clasificada Río 20 mm - 3/4"</t>
        </is>
      </c>
      <c r="I17" s="9" t="n">
        <v>1390</v>
      </c>
      <c r="J17" s="7" t="inlineStr">
        <is>
          <t>20220422</t>
        </is>
      </c>
      <c r="K17" s="7" t="inlineStr">
        <is>
          <t>20240910</t>
        </is>
      </c>
      <c r="L17" s="10" t="n">
        <v>260</v>
      </c>
      <c r="M17" s="10" t="n"/>
      <c r="N17" s="7" t="inlineStr">
        <is>
          <t>M3</t>
        </is>
      </c>
      <c r="O17" s="10" t="n"/>
      <c r="P17" s="7" t="inlineStr"/>
      <c r="Q17" s="10">
        <f>IF(AND(N17="TN",P17="TN"),L17+N(M17),IF(E17&amp;""="1",N(I17)*L17,(L17+N(M17))*N(I17)))</f>
        <v/>
      </c>
      <c r="R17" s="10">
        <f>O17-Q17</f>
        <v/>
      </c>
    </row>
    <row r="18">
      <c r="A18" s="7" t="inlineStr">
        <is>
          <t>900003689</t>
        </is>
      </c>
      <c r="B18" s="8" t="inlineStr"/>
      <c r="C18" s="7" t="inlineStr">
        <is>
          <t>D867</t>
        </is>
      </c>
      <c r="D18" s="7" t="inlineStr">
        <is>
          <t>66894809</t>
        </is>
      </c>
      <c r="E18" s="7" t="inlineStr"/>
      <c r="F18" s="8" t="inlineStr"/>
      <c r="G18" s="8" t="inlineStr">
        <is>
          <t>10000505</t>
        </is>
      </c>
      <c r="H18" s="8" t="inlineStr">
        <is>
          <t>Arena Clasificada Río Malla 4</t>
        </is>
      </c>
      <c r="I18" s="9" t="n">
        <v>1505</v>
      </c>
      <c r="J18" s="7" t="inlineStr">
        <is>
          <t>20220422</t>
        </is>
      </c>
      <c r="K18" s="7" t="inlineStr">
        <is>
          <t>20240910</t>
        </is>
      </c>
      <c r="L18" s="10" t="n">
        <v>118</v>
      </c>
      <c r="M18" s="10" t="n"/>
      <c r="N18" s="7" t="inlineStr">
        <is>
          <t>M3</t>
        </is>
      </c>
      <c r="O18" s="10" t="n"/>
      <c r="P18" s="7" t="inlineStr"/>
      <c r="Q18" s="10">
        <f>IF(AND(N18="TN",P18="TN"),L18+N(M18),IF(E18&amp;""="1",N(I18)*L18,(L18+N(M18))*N(I18)))</f>
        <v/>
      </c>
      <c r="R18" s="10">
        <f>O18-Q18</f>
        <v/>
      </c>
    </row>
    <row r="19">
      <c r="A19" s="7" t="inlineStr">
        <is>
          <t>900003689</t>
        </is>
      </c>
      <c r="B19" s="8" t="inlineStr"/>
      <c r="C19" s="7" t="inlineStr">
        <is>
          <t>D867</t>
        </is>
      </c>
      <c r="D19" s="7" t="inlineStr">
        <is>
          <t>66934655</t>
        </is>
      </c>
      <c r="E19" s="7" t="inlineStr"/>
      <c r="F19" s="8" t="inlineStr"/>
      <c r="G19" s="8" t="inlineStr">
        <is>
          <t>10000505</t>
        </is>
      </c>
      <c r="H19" s="8" t="inlineStr">
        <is>
          <t>Arena Clasificada Río Malla 4</t>
        </is>
      </c>
      <c r="I19" s="9" t="n">
        <v>1505</v>
      </c>
      <c r="J19" s="7" t="inlineStr">
        <is>
          <t>20220422</t>
        </is>
      </c>
      <c r="K19" s="7" t="inlineStr">
        <is>
          <t>20240910</t>
        </is>
      </c>
      <c r="L19" s="10" t="n">
        <v>110</v>
      </c>
      <c r="M19" s="10" t="n"/>
      <c r="N19" s="7" t="inlineStr">
        <is>
          <t>M3</t>
        </is>
      </c>
      <c r="O19" s="10" t="n"/>
      <c r="P19" s="7" t="inlineStr"/>
      <c r="Q19" s="10">
        <f>IF(AND(N19="TN",P19="TN"),L19+N(M19),IF(E19&amp;""="1",N(I19)*L19,(L19+N(M19))*N(I19)))</f>
        <v/>
      </c>
      <c r="R19" s="10">
        <f>O19-Q19</f>
        <v/>
      </c>
    </row>
    <row r="20">
      <c r="A20" s="7" t="inlineStr">
        <is>
          <t>900003689</t>
        </is>
      </c>
      <c r="B20" s="8" t="inlineStr"/>
      <c r="C20" s="7" t="inlineStr">
        <is>
          <t>D867</t>
        </is>
      </c>
      <c r="D20" s="7" t="inlineStr">
        <is>
          <t>66934655</t>
        </is>
      </c>
      <c r="E20" s="7" t="inlineStr"/>
      <c r="F20" s="8" t="inlineStr"/>
      <c r="G20" s="8" t="inlineStr">
        <is>
          <t>10000553</t>
        </is>
      </c>
      <c r="H20" s="8" t="inlineStr">
        <is>
          <t>Grava Triturada Caliza 20 mm - 3/4"</t>
        </is>
      </c>
      <c r="I20" s="9" t="n">
        <v>1370</v>
      </c>
      <c r="J20" s="7" t="inlineStr">
        <is>
          <t>20220422</t>
        </is>
      </c>
      <c r="K20" s="7" t="inlineStr">
        <is>
          <t>20240910</t>
        </is>
      </c>
      <c r="L20" s="10" t="n">
        <v>210</v>
      </c>
      <c r="M20" s="10" t="n"/>
      <c r="N20" s="7" t="inlineStr">
        <is>
          <t>M3</t>
        </is>
      </c>
      <c r="O20" s="10" t="n"/>
      <c r="P20" s="7" t="inlineStr"/>
      <c r="Q20" s="10">
        <f>IF(AND(N20="TN",P20="TN"),L20+N(M20),IF(E20&amp;""="1",N(I20)*L20,(L20+N(M20))*N(I20)))</f>
        <v/>
      </c>
      <c r="R20" s="10">
        <f>O20-Q20</f>
        <v/>
      </c>
    </row>
    <row r="21">
      <c r="A21" s="7" t="inlineStr">
        <is>
          <t>900003689</t>
        </is>
      </c>
      <c r="B21" s="8" t="inlineStr"/>
      <c r="C21" s="7" t="inlineStr">
        <is>
          <t>D867</t>
        </is>
      </c>
      <c r="D21" s="7" t="inlineStr">
        <is>
          <t>67091517</t>
        </is>
      </c>
      <c r="E21" s="7" t="inlineStr"/>
      <c r="F21" s="8" t="inlineStr"/>
      <c r="G21" s="8" t="inlineStr">
        <is>
          <t>10000432</t>
        </is>
      </c>
      <c r="H21" s="8" t="inlineStr">
        <is>
          <t>Base H Triturada Basalto  1 1/2" a Finos</t>
        </is>
      </c>
      <c r="I21" s="9" t="n">
        <v>1600</v>
      </c>
      <c r="J21" s="7" t="inlineStr">
        <is>
          <t>20220422</t>
        </is>
      </c>
      <c r="K21" s="7" t="inlineStr">
        <is>
          <t>20240910</t>
        </is>
      </c>
      <c r="L21" s="10" t="n">
        <v>330</v>
      </c>
      <c r="M21" s="10" t="n"/>
      <c r="N21" s="7" t="inlineStr">
        <is>
          <t>M3</t>
        </is>
      </c>
      <c r="O21" s="10" t="n"/>
      <c r="P21" s="7" t="inlineStr"/>
      <c r="Q21" s="10">
        <f>IF(AND(N21="TN",P21="TN"),L21+N(M21),IF(E21&amp;""="1",N(I21)*L21,(L21+N(M21))*N(I21)))</f>
        <v/>
      </c>
      <c r="R21" s="10">
        <f>O21-Q21</f>
        <v/>
      </c>
    </row>
    <row r="22">
      <c r="A22" s="7" t="inlineStr">
        <is>
          <t>900003689</t>
        </is>
      </c>
      <c r="B22" s="8" t="inlineStr"/>
      <c r="C22" s="7" t="inlineStr">
        <is>
          <t>D867</t>
        </is>
      </c>
      <c r="D22" s="7" t="inlineStr">
        <is>
          <t>67101665</t>
        </is>
      </c>
      <c r="E22" s="7" t="inlineStr"/>
      <c r="F22" s="8" t="inlineStr"/>
      <c r="G22" s="8" t="inlineStr">
        <is>
          <t>10000432</t>
        </is>
      </c>
      <c r="H22" s="8" t="inlineStr">
        <is>
          <t>Base H Triturada Basalto  1 1/2" a Finos</t>
        </is>
      </c>
      <c r="I22" s="9" t="n">
        <v>1600</v>
      </c>
      <c r="J22" s="7" t="inlineStr">
        <is>
          <t>20220422</t>
        </is>
      </c>
      <c r="K22" s="7" t="inlineStr">
        <is>
          <t>20240910</t>
        </is>
      </c>
      <c r="L22" s="10" t="n">
        <v>330</v>
      </c>
      <c r="M22" s="10" t="n"/>
      <c r="N22" s="7" t="inlineStr">
        <is>
          <t>M3</t>
        </is>
      </c>
      <c r="O22" s="10" t="n"/>
      <c r="P22" s="7" t="inlineStr"/>
      <c r="Q22" s="10">
        <f>IF(AND(N22="TN",P22="TN"),L22+N(M22),IF(E22&amp;""="1",N(I22)*L22,(L22+N(M22))*N(I22)))</f>
        <v/>
      </c>
      <c r="R22" s="10">
        <f>O22-Q22</f>
        <v/>
      </c>
    </row>
    <row r="23">
      <c r="A23" s="7" t="inlineStr">
        <is>
          <t>900003697</t>
        </is>
      </c>
      <c r="B23" s="8" t="inlineStr"/>
      <c r="C23" s="7" t="inlineStr">
        <is>
          <t>D867</t>
        </is>
      </c>
      <c r="D23" s="7" t="inlineStr">
        <is>
          <t>67017401</t>
        </is>
      </c>
      <c r="E23" s="7" t="inlineStr">
        <is>
          <t>4</t>
        </is>
      </c>
      <c r="F23" s="8" t="inlineStr"/>
      <c r="G23" s="8" t="inlineStr">
        <is>
          <t>10001455</t>
        </is>
      </c>
      <c r="H23" s="8" t="inlineStr">
        <is>
          <t>Arena Clasificada Río Malla 4</t>
        </is>
      </c>
      <c r="I23" s="9" t="n">
        <v>1730</v>
      </c>
      <c r="J23" s="7" t="inlineStr">
        <is>
          <t>20220422</t>
        </is>
      </c>
      <c r="K23" s="7" t="inlineStr">
        <is>
          <t>20240910</t>
        </is>
      </c>
      <c r="L23" s="10" t="n">
        <v>190</v>
      </c>
      <c r="M23" s="10" t="n">
        <v>700</v>
      </c>
      <c r="N23" s="7" t="inlineStr">
        <is>
          <t>M3</t>
        </is>
      </c>
      <c r="O23" s="10" t="n"/>
      <c r="P23" s="7" t="inlineStr"/>
      <c r="Q23" s="10">
        <f>IF(AND(N23="TN",P23="TN"),L23+N(M23),IF(E23&amp;""="1",N(I23)*L23,(L23+N(M23))*N(I23)))</f>
        <v/>
      </c>
      <c r="R23" s="10">
        <f>O23-Q23</f>
        <v/>
      </c>
    </row>
    <row r="24">
      <c r="A24" s="7" t="inlineStr">
        <is>
          <t>900003697</t>
        </is>
      </c>
      <c r="B24" s="8" t="inlineStr"/>
      <c r="C24" s="7" t="inlineStr">
        <is>
          <t>D867</t>
        </is>
      </c>
      <c r="D24" s="7" t="inlineStr">
        <is>
          <t>67017401</t>
        </is>
      </c>
      <c r="E24" s="7" t="inlineStr">
        <is>
          <t>4</t>
        </is>
      </c>
      <c r="F24" s="8" t="inlineStr"/>
      <c r="G24" s="8" t="inlineStr">
        <is>
          <t>10175580</t>
        </is>
      </c>
      <c r="H24" s="8" t="inlineStr">
        <is>
          <t>GRAVA TRITURADA RIO 3/4</t>
        </is>
      </c>
      <c r="I24" s="9" t="n">
        <v>1448</v>
      </c>
      <c r="J24" s="7" t="inlineStr">
        <is>
          <t>20220422</t>
        </is>
      </c>
      <c r="K24" s="7" t="inlineStr">
        <is>
          <t>20240910</t>
        </is>
      </c>
      <c r="L24" s="10" t="n">
        <v>295</v>
      </c>
      <c r="M24" s="10" t="n">
        <v>700</v>
      </c>
      <c r="N24" s="7" t="inlineStr">
        <is>
          <t>M3</t>
        </is>
      </c>
      <c r="O24" s="10" t="n"/>
      <c r="P24" s="7" t="inlineStr"/>
      <c r="Q24" s="10">
        <f>IF(AND(N24="TN",P24="TN"),L24+N(M24),IF(E24&amp;""="1",N(I24)*L24,(L24+N(M24))*N(I24)))</f>
        <v/>
      </c>
      <c r="R24" s="10">
        <f>O24-Q24</f>
        <v/>
      </c>
    </row>
    <row r="25">
      <c r="A25" s="7" t="inlineStr">
        <is>
          <t>900006401</t>
        </is>
      </c>
      <c r="B25" s="8" t="inlineStr"/>
      <c r="C25" s="7" t="inlineStr">
        <is>
          <t>D867</t>
        </is>
      </c>
      <c r="D25" s="7" t="inlineStr">
        <is>
          <t>67017401</t>
        </is>
      </c>
      <c r="E25" s="7" t="inlineStr">
        <is>
          <t>4</t>
        </is>
      </c>
      <c r="F25" s="8" t="inlineStr"/>
      <c r="G25" s="8" t="inlineStr">
        <is>
          <t>10000530</t>
        </is>
      </c>
      <c r="H25" s="8" t="inlineStr">
        <is>
          <t>Grava Clasificada Río 40 mm - 1 1/2"</t>
        </is>
      </c>
      <c r="I25" s="9" t="n">
        <v>1317</v>
      </c>
      <c r="J25" s="7" t="inlineStr">
        <is>
          <t>20220422</t>
        </is>
      </c>
      <c r="K25" s="7" t="inlineStr">
        <is>
          <t>20240910</t>
        </is>
      </c>
      <c r="L25" s="10" t="n">
        <v>313</v>
      </c>
      <c r="M25" s="10" t="n">
        <v>250</v>
      </c>
      <c r="N25" s="7" t="inlineStr">
        <is>
          <t>M3</t>
        </is>
      </c>
      <c r="O25" s="10" t="n"/>
      <c r="P25" s="7" t="inlineStr"/>
      <c r="Q25" s="10">
        <f>IF(AND(N25="TN",P25="TN"),L25+N(M25),IF(E25&amp;""="1",N(I25)*L25,(L25+N(M25))*N(I25)))</f>
        <v/>
      </c>
      <c r="R25" s="10">
        <f>O25-Q25</f>
        <v/>
      </c>
    </row>
    <row r="26">
      <c r="A26" s="7" t="inlineStr">
        <is>
          <t>900006401</t>
        </is>
      </c>
      <c r="B26" s="8" t="inlineStr"/>
      <c r="C26" s="7" t="inlineStr">
        <is>
          <t>D867</t>
        </is>
      </c>
      <c r="D26" s="7" t="inlineStr">
        <is>
          <t>67017401</t>
        </is>
      </c>
      <c r="E26" s="7" t="inlineStr">
        <is>
          <t>4</t>
        </is>
      </c>
      <c r="F26" s="8" t="inlineStr"/>
      <c r="G26" s="8" t="inlineStr">
        <is>
          <t>10000550</t>
        </is>
      </c>
      <c r="H26" s="8" t="inlineStr">
        <is>
          <t>Grava Clasificada Río 10 mm - 3/8"</t>
        </is>
      </c>
      <c r="I26" s="9" t="n">
        <v>1460</v>
      </c>
      <c r="J26" s="7" t="inlineStr">
        <is>
          <t>20220422</t>
        </is>
      </c>
      <c r="K26" s="7" t="inlineStr">
        <is>
          <t>20240910</t>
        </is>
      </c>
      <c r="L26" s="10" t="n">
        <v>530</v>
      </c>
      <c r="M26" s="10" t="n">
        <v>250</v>
      </c>
      <c r="N26" s="7" t="inlineStr">
        <is>
          <t>M3</t>
        </is>
      </c>
      <c r="O26" s="10" t="n"/>
      <c r="P26" s="7" t="inlineStr"/>
      <c r="Q26" s="10">
        <f>IF(AND(N26="TN",P26="TN"),L26+N(M26),IF(E26&amp;""="1",N(I26)*L26,(L26+N(M26))*N(I26)))</f>
        <v/>
      </c>
      <c r="R26" s="10">
        <f>O26-Q26</f>
        <v/>
      </c>
    </row>
    <row r="27">
      <c r="A27" s="7" t="inlineStr">
        <is>
          <t>900006401</t>
        </is>
      </c>
      <c r="B27" s="8" t="inlineStr"/>
      <c r="C27" s="7" t="inlineStr">
        <is>
          <t>D867</t>
        </is>
      </c>
      <c r="D27" s="7" t="inlineStr">
        <is>
          <t>67017401</t>
        </is>
      </c>
      <c r="E27" s="7" t="inlineStr">
        <is>
          <t>4</t>
        </is>
      </c>
      <c r="F27" s="8" t="inlineStr"/>
      <c r="G27" s="8" t="inlineStr">
        <is>
          <t>10000551</t>
        </is>
      </c>
      <c r="H27" s="8" t="inlineStr">
        <is>
          <t>Grava Clasificada Río 20 mm - 3/4"</t>
        </is>
      </c>
      <c r="I27" s="9" t="n">
        <v>1340</v>
      </c>
      <c r="J27" s="7" t="inlineStr">
        <is>
          <t>20220422</t>
        </is>
      </c>
      <c r="K27" s="7" t="inlineStr">
        <is>
          <t>20240910</t>
        </is>
      </c>
      <c r="L27" s="10" t="n">
        <v>337</v>
      </c>
      <c r="M27" s="10" t="n">
        <v>270</v>
      </c>
      <c r="N27" s="7" t="inlineStr">
        <is>
          <t>M3</t>
        </is>
      </c>
      <c r="O27" s="10" t="n"/>
      <c r="P27" s="7" t="inlineStr"/>
      <c r="Q27" s="10">
        <f>IF(AND(N27="TN",P27="TN"),L27+N(M27),IF(E27&amp;""="1",N(I27)*L27,(L27+N(M27))*N(I27)))</f>
        <v/>
      </c>
      <c r="R27" s="10">
        <f>O27-Q27</f>
        <v/>
      </c>
    </row>
    <row r="28">
      <c r="A28" s="7" t="inlineStr">
        <is>
          <t>900006401</t>
        </is>
      </c>
      <c r="B28" s="8" t="inlineStr"/>
      <c r="C28" s="7" t="inlineStr">
        <is>
          <t>D867</t>
        </is>
      </c>
      <c r="D28" s="7" t="inlineStr">
        <is>
          <t>67017401</t>
        </is>
      </c>
      <c r="E28" s="7" t="inlineStr">
        <is>
          <t>4</t>
        </is>
      </c>
      <c r="F28" s="8" t="inlineStr"/>
      <c r="G28" s="8" t="inlineStr">
        <is>
          <t>10001455</t>
        </is>
      </c>
      <c r="H28" s="8" t="inlineStr">
        <is>
          <t>Arena Clasificada Río Malla 4</t>
        </is>
      </c>
      <c r="I28" s="9" t="n">
        <v>1730</v>
      </c>
      <c r="J28" s="7" t="inlineStr">
        <is>
          <t>20220422</t>
        </is>
      </c>
      <c r="K28" s="7" t="inlineStr">
        <is>
          <t>20240910</t>
        </is>
      </c>
      <c r="L28" s="10" t="n">
        <v>202</v>
      </c>
      <c r="M28" s="10" t="n">
        <v>295</v>
      </c>
      <c r="N28" s="7" t="inlineStr">
        <is>
          <t>M3</t>
        </is>
      </c>
      <c r="O28" s="10" t="n"/>
      <c r="P28" s="7" t="inlineStr"/>
      <c r="Q28" s="10">
        <f>IF(AND(N28="TN",P28="TN"),L28+N(M28),IF(E28&amp;""="1",N(I28)*L28,(L28+N(M28))*N(I28)))</f>
        <v/>
      </c>
      <c r="R28" s="10">
        <f>O28-Q28</f>
        <v/>
      </c>
    </row>
    <row r="29">
      <c r="A29" s="7" t="inlineStr">
        <is>
          <t>900006401</t>
        </is>
      </c>
      <c r="B29" s="8" t="inlineStr"/>
      <c r="C29" s="7" t="inlineStr">
        <is>
          <t>D867</t>
        </is>
      </c>
      <c r="D29" s="7" t="inlineStr">
        <is>
          <t>67017401</t>
        </is>
      </c>
      <c r="E29" s="7" t="inlineStr">
        <is>
          <t>4</t>
        </is>
      </c>
      <c r="F29" s="8" t="inlineStr"/>
      <c r="G29" s="8" t="inlineStr">
        <is>
          <t>10020754</t>
        </is>
      </c>
      <c r="H29" s="8" t="inlineStr">
        <is>
          <t>Arena Clasificada Río Malla 4</t>
        </is>
      </c>
      <c r="I29" s="9" t="n">
        <v>1550</v>
      </c>
      <c r="J29" s="7" t="inlineStr">
        <is>
          <t>20220422</t>
        </is>
      </c>
      <c r="K29" s="7" t="inlineStr">
        <is>
          <t>20240910</t>
        </is>
      </c>
      <c r="L29" s="10" t="n">
        <v>227</v>
      </c>
      <c r="M29" s="10" t="n">
        <v>270</v>
      </c>
      <c r="N29" s="7" t="inlineStr">
        <is>
          <t>M3</t>
        </is>
      </c>
      <c r="O29" s="10" t="n"/>
      <c r="P29" s="7" t="inlineStr"/>
      <c r="Q29" s="10">
        <f>IF(AND(N29="TN",P29="TN"),L29+N(M29),IF(E29&amp;""="1",N(I29)*L29,(L29+N(M29))*N(I29)))</f>
        <v/>
      </c>
      <c r="R29" s="10">
        <f>O29-Q29</f>
        <v/>
      </c>
    </row>
    <row r="30">
      <c r="A30" s="7" t="inlineStr">
        <is>
          <t>900006401</t>
        </is>
      </c>
      <c r="B30" s="8" t="inlineStr"/>
      <c r="C30" s="7" t="inlineStr">
        <is>
          <t>D867</t>
        </is>
      </c>
      <c r="D30" s="7" t="inlineStr">
        <is>
          <t>67017401</t>
        </is>
      </c>
      <c r="E30" s="7" t="inlineStr">
        <is>
          <t>4</t>
        </is>
      </c>
      <c r="F30" s="8" t="inlineStr"/>
      <c r="G30" s="8" t="inlineStr">
        <is>
          <t>10175580</t>
        </is>
      </c>
      <c r="H30" s="8" t="inlineStr">
        <is>
          <t>GRAVA TRITURADA RIO 3/4</t>
        </is>
      </c>
      <c r="I30" s="9" t="n">
        <v>1448</v>
      </c>
      <c r="J30" s="7" t="inlineStr">
        <is>
          <t>20220422</t>
        </is>
      </c>
      <c r="K30" s="7" t="inlineStr">
        <is>
          <t>20240910</t>
        </is>
      </c>
      <c r="L30" s="10" t="n">
        <v>312</v>
      </c>
      <c r="M30" s="10" t="n">
        <v>295</v>
      </c>
      <c r="N30" s="7" t="inlineStr">
        <is>
          <t>M3</t>
        </is>
      </c>
      <c r="O30" s="10" t="n"/>
      <c r="P30" s="7" t="inlineStr"/>
      <c r="Q30" s="10">
        <f>IF(AND(N30="TN",P30="TN"),L30+N(M30),IF(E30&amp;""="1",N(I30)*L30,(L30+N(M30))*N(I30)))</f>
        <v/>
      </c>
      <c r="R30" s="10">
        <f>O30-Q30</f>
        <v/>
      </c>
    </row>
    <row r="31">
      <c r="A31" s="7" t="inlineStr">
        <is>
          <t>900006440</t>
        </is>
      </c>
      <c r="B31" s="8" t="inlineStr"/>
      <c r="C31" s="7" t="inlineStr">
        <is>
          <t>D867</t>
        </is>
      </c>
      <c r="D31" s="7" t="inlineStr">
        <is>
          <t>66783898</t>
        </is>
      </c>
      <c r="E31" s="7" t="inlineStr"/>
      <c r="F31" s="8" t="inlineStr"/>
      <c r="G31" s="8" t="inlineStr">
        <is>
          <t>10000504</t>
        </is>
      </c>
      <c r="H31" s="8" t="inlineStr">
        <is>
          <t>Grava Clasificada Río 20 mm - 3/4"</t>
        </is>
      </c>
      <c r="I31" s="9" t="n">
        <v>1390</v>
      </c>
      <c r="J31" s="7" t="inlineStr">
        <is>
          <t>20220422</t>
        </is>
      </c>
      <c r="K31" s="7" t="inlineStr">
        <is>
          <t>20240910</t>
        </is>
      </c>
      <c r="L31" s="10" t="n">
        <v>267</v>
      </c>
      <c r="M31" s="10" t="n"/>
      <c r="N31" s="7" t="inlineStr">
        <is>
          <t>M3</t>
        </is>
      </c>
      <c r="O31" s="10" t="n"/>
      <c r="P31" s="7" t="inlineStr"/>
      <c r="Q31" s="10">
        <f>IF(AND(N31="TN",P31="TN"),L31+N(M31),IF(E31&amp;""="1",N(I31)*L31,(L31+N(M31))*N(I31)))</f>
        <v/>
      </c>
      <c r="R31" s="10">
        <f>O31-Q31</f>
        <v/>
      </c>
    </row>
    <row r="32">
      <c r="A32" s="7" t="inlineStr">
        <is>
          <t>900006677</t>
        </is>
      </c>
      <c r="B32" s="8" t="inlineStr">
        <is>
          <t>SF TP-MARTREY</t>
        </is>
      </c>
      <c r="C32" s="7" t="inlineStr">
        <is>
          <t>D867</t>
        </is>
      </c>
      <c r="D32" s="7" t="inlineStr">
        <is>
          <t>66783898</t>
        </is>
      </c>
      <c r="E32" s="7" t="inlineStr"/>
      <c r="F32" s="8" t="inlineStr"/>
      <c r="G32" s="8" t="inlineStr">
        <is>
          <t>10000505</t>
        </is>
      </c>
      <c r="H32" s="8" t="inlineStr">
        <is>
          <t>Arena Clasificada Río Malla 4</t>
        </is>
      </c>
      <c r="I32" s="9" t="n">
        <v>1505</v>
      </c>
      <c r="J32" s="7" t="inlineStr">
        <is>
          <t>20220107</t>
        </is>
      </c>
      <c r="K32" s="7" t="inlineStr">
        <is>
          <t>20251031</t>
        </is>
      </c>
      <c r="L32" s="10" t="n">
        <v>114</v>
      </c>
      <c r="M32" s="10" t="n"/>
      <c r="N32" s="7" t="inlineStr">
        <is>
          <t>M3</t>
        </is>
      </c>
      <c r="O32" s="10" t="n">
        <v>100</v>
      </c>
      <c r="P32" s="7" t="inlineStr">
        <is>
          <t>M3</t>
        </is>
      </c>
      <c r="Q32" s="10">
        <f>IF(AND(N32="TN",P32="TN"),L32+N(M32),IF(E32&amp;""="1",N(I32)*L32,(L32+N(M32))*N(I32)))</f>
        <v/>
      </c>
      <c r="R32" s="11">
        <f>O32-Q32</f>
        <v/>
      </c>
    </row>
    <row r="33">
      <c r="A33" s="7" t="inlineStr">
        <is>
          <t>900006677</t>
        </is>
      </c>
      <c r="B33" s="8" t="inlineStr">
        <is>
          <t>SF TP-MARTREY</t>
        </is>
      </c>
      <c r="C33" s="7" t="inlineStr">
        <is>
          <t>D867</t>
        </is>
      </c>
      <c r="D33" s="7" t="inlineStr">
        <is>
          <t>67059440</t>
        </is>
      </c>
      <c r="E33" s="7" t="inlineStr"/>
      <c r="F33" s="8" t="inlineStr"/>
      <c r="G33" s="8" t="inlineStr">
        <is>
          <t>10000580</t>
        </is>
      </c>
      <c r="H33" s="8" t="inlineStr">
        <is>
          <t>Arena Clasificada Río Malla 4</t>
        </is>
      </c>
      <c r="I33" s="9" t="n">
        <v>1505</v>
      </c>
      <c r="J33" s="7" t="inlineStr">
        <is>
          <t>20220107</t>
        </is>
      </c>
      <c r="K33" s="7" t="inlineStr">
        <is>
          <t>20251031</t>
        </is>
      </c>
      <c r="L33" s="10" t="n">
        <v>137.8</v>
      </c>
      <c r="M33" s="10" t="n"/>
      <c r="N33" s="7" t="inlineStr">
        <is>
          <t>M3</t>
        </is>
      </c>
      <c r="O33" s="10" t="n">
        <v>130</v>
      </c>
      <c r="P33" s="7" t="inlineStr">
        <is>
          <t>M3</t>
        </is>
      </c>
      <c r="Q33" s="10">
        <f>IF(AND(N33="TN",P33="TN"),L33+N(M33),IF(E33&amp;""="1",N(I33)*L33,(L33+N(M33))*N(I33)))</f>
        <v/>
      </c>
      <c r="R33" s="11">
        <f>O33-Q33</f>
        <v/>
      </c>
    </row>
    <row r="34">
      <c r="A34" s="7" t="inlineStr">
        <is>
          <t>900006677</t>
        </is>
      </c>
      <c r="B34" s="8" t="inlineStr">
        <is>
          <t>SF TP-MARTREY</t>
        </is>
      </c>
      <c r="C34" s="7" t="inlineStr">
        <is>
          <t>D867</t>
        </is>
      </c>
      <c r="D34" s="7" t="inlineStr">
        <is>
          <t>67059440</t>
        </is>
      </c>
      <c r="E34" s="7" t="inlineStr"/>
      <c r="F34" s="8" t="inlineStr"/>
      <c r="G34" s="8" t="inlineStr">
        <is>
          <t>10222897</t>
        </is>
      </c>
      <c r="H34" s="8" t="inlineStr">
        <is>
          <t>PIEDRA BOLA DE RIO 4"</t>
        </is>
      </c>
      <c r="I34" s="9" t="n">
        <v>1500</v>
      </c>
      <c r="J34" s="7" t="inlineStr">
        <is>
          <t>20220107</t>
        </is>
      </c>
      <c r="K34" s="7" t="inlineStr">
        <is>
          <t>20251031</t>
        </is>
      </c>
      <c r="L34" s="10" t="n">
        <v>137</v>
      </c>
      <c r="M34" s="10" t="n"/>
      <c r="N34" s="7" t="inlineStr">
        <is>
          <t>M3</t>
        </is>
      </c>
      <c r="O34" s="10" t="n">
        <v>130</v>
      </c>
      <c r="P34" s="7" t="inlineStr">
        <is>
          <t>M3</t>
        </is>
      </c>
      <c r="Q34" s="10">
        <f>IF(AND(N34="TN",P34="TN"),L34+N(M34),IF(E34&amp;""="1",N(I34)*L34,(L34+N(M34))*N(I34)))</f>
        <v/>
      </c>
      <c r="R34" s="11">
        <f>O34-Q34</f>
        <v/>
      </c>
    </row>
    <row r="35">
      <c r="A35" s="7" t="inlineStr">
        <is>
          <t>900006677</t>
        </is>
      </c>
      <c r="B35" s="8" t="inlineStr">
        <is>
          <t>SF TP-MARTREY</t>
        </is>
      </c>
      <c r="C35" s="7" t="inlineStr">
        <is>
          <t>D867</t>
        </is>
      </c>
      <c r="D35" s="7" t="inlineStr">
        <is>
          <t>67101876</t>
        </is>
      </c>
      <c r="E35" s="7" t="inlineStr"/>
      <c r="F35" s="8" t="inlineStr"/>
      <c r="G35" s="8" t="inlineStr">
        <is>
          <t>10000580</t>
        </is>
      </c>
      <c r="H35" s="8" t="inlineStr">
        <is>
          <t>Arena Clasificada Río Malla 4</t>
        </is>
      </c>
      <c r="I35" s="9" t="n">
        <v>1505</v>
      </c>
      <c r="J35" s="7" t="inlineStr">
        <is>
          <t>20220107</t>
        </is>
      </c>
      <c r="K35" s="7" t="inlineStr">
        <is>
          <t>20251031</t>
        </is>
      </c>
      <c r="L35" s="10" t="n">
        <v>137</v>
      </c>
      <c r="M35" s="10" t="n"/>
      <c r="N35" s="7" t="inlineStr">
        <is>
          <t>M3</t>
        </is>
      </c>
      <c r="O35" s="10" t="n">
        <v>130</v>
      </c>
      <c r="P35" s="7" t="inlineStr">
        <is>
          <t>M3</t>
        </is>
      </c>
      <c r="Q35" s="10">
        <f>IF(AND(N35="TN",P35="TN"),L35+N(M35),IF(E35&amp;""="1",N(I35)*L35,(L35+N(M35))*N(I35)))</f>
        <v/>
      </c>
      <c r="R35" s="11">
        <f>O35-Q35</f>
        <v/>
      </c>
    </row>
    <row r="36">
      <c r="A36" s="7" t="inlineStr">
        <is>
          <t>900006677</t>
        </is>
      </c>
      <c r="B36" s="8" t="inlineStr">
        <is>
          <t>SF TP-MARTREY</t>
        </is>
      </c>
      <c r="C36" s="7" t="inlineStr">
        <is>
          <t>D867</t>
        </is>
      </c>
      <c r="D36" s="7" t="inlineStr">
        <is>
          <t>67101876</t>
        </is>
      </c>
      <c r="E36" s="7" t="inlineStr"/>
      <c r="F36" s="8" t="inlineStr"/>
      <c r="G36" s="8" t="inlineStr">
        <is>
          <t>10222897</t>
        </is>
      </c>
      <c r="H36" s="8" t="inlineStr">
        <is>
          <t>PIEDRA BOLA DE RIO 4"</t>
        </is>
      </c>
      <c r="I36" s="9" t="n">
        <v>1500</v>
      </c>
      <c r="J36" s="7" t="inlineStr">
        <is>
          <t>20220107</t>
        </is>
      </c>
      <c r="K36" s="7" t="inlineStr">
        <is>
          <t>20251031</t>
        </is>
      </c>
      <c r="L36" s="10" t="n">
        <v>137</v>
      </c>
      <c r="M36" s="10" t="n"/>
      <c r="N36" s="7" t="inlineStr">
        <is>
          <t>M3</t>
        </is>
      </c>
      <c r="O36" s="10" t="n">
        <v>130</v>
      </c>
      <c r="P36" s="7" t="inlineStr">
        <is>
          <t>M3</t>
        </is>
      </c>
      <c r="Q36" s="10">
        <f>IF(AND(N36="TN",P36="TN"),L36+N(M36),IF(E36&amp;""="1",N(I36)*L36,(L36+N(M36))*N(I36)))</f>
        <v/>
      </c>
      <c r="R36" s="11">
        <f>O36-Q36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900003652</t>
        </is>
      </c>
      <c r="B2" t="inlineStr">
        <is>
          <t>D867</t>
        </is>
      </c>
      <c r="C2" t="inlineStr">
        <is>
          <t>67059440</t>
        </is>
      </c>
      <c r="D2" t="inlineStr">
        <is>
          <t>10000139</t>
        </is>
      </c>
      <c r="E2" t="inlineStr"/>
      <c r="F2" s="12" t="n">
        <v>73.69</v>
      </c>
      <c r="G2" t="inlineStr"/>
      <c r="I2" t="inlineStr">
        <is>
          <t>M3</t>
        </is>
      </c>
      <c r="J2" t="inlineStr"/>
      <c r="K2" t="inlineStr">
        <is>
          <t>20220422</t>
        </is>
      </c>
      <c r="L2" t="inlineStr">
        <is>
          <t>20240910</t>
        </is>
      </c>
    </row>
    <row r="3">
      <c r="A3" t="inlineStr">
        <is>
          <t>900003652</t>
        </is>
      </c>
      <c r="B3" t="inlineStr">
        <is>
          <t>D867</t>
        </is>
      </c>
      <c r="C3" t="inlineStr">
        <is>
          <t>67059440</t>
        </is>
      </c>
      <c r="D3" t="inlineStr">
        <is>
          <t>10000444</t>
        </is>
      </c>
      <c r="E3" t="inlineStr"/>
      <c r="F3" s="12" t="n">
        <v>63.16</v>
      </c>
      <c r="G3" t="inlineStr"/>
      <c r="I3" t="inlineStr">
        <is>
          <t>M3</t>
        </is>
      </c>
      <c r="J3" t="inlineStr"/>
      <c r="K3" t="inlineStr">
        <is>
          <t>20220422</t>
        </is>
      </c>
      <c r="L3" t="inlineStr">
        <is>
          <t>20240910</t>
        </is>
      </c>
    </row>
    <row r="4">
      <c r="A4" t="inlineStr">
        <is>
          <t>900003687</t>
        </is>
      </c>
      <c r="B4" t="inlineStr">
        <is>
          <t>D867</t>
        </is>
      </c>
      <c r="C4" t="inlineStr">
        <is>
          <t>66894809</t>
        </is>
      </c>
      <c r="D4" t="inlineStr">
        <is>
          <t>10000504</t>
        </is>
      </c>
      <c r="E4" t="inlineStr"/>
      <c r="F4" s="12" t="n">
        <v>262.5</v>
      </c>
      <c r="G4" t="inlineStr"/>
      <c r="I4" t="inlineStr">
        <is>
          <t>M3</t>
        </is>
      </c>
      <c r="J4" t="inlineStr"/>
      <c r="K4" t="inlineStr">
        <is>
          <t>20220422</t>
        </is>
      </c>
      <c r="L4" t="inlineStr">
        <is>
          <t>20240910</t>
        </is>
      </c>
    </row>
    <row r="5">
      <c r="A5" t="inlineStr">
        <is>
          <t>900003687</t>
        </is>
      </c>
      <c r="B5" t="inlineStr">
        <is>
          <t>D867</t>
        </is>
      </c>
      <c r="C5" t="inlineStr">
        <is>
          <t>66894809</t>
        </is>
      </c>
      <c r="D5" t="inlineStr">
        <is>
          <t>10000505</t>
        </is>
      </c>
      <c r="E5" t="inlineStr"/>
      <c r="F5" s="12" t="n">
        <v>122.5</v>
      </c>
      <c r="G5" t="inlineStr"/>
      <c r="I5" t="inlineStr">
        <is>
          <t>M3</t>
        </is>
      </c>
      <c r="J5" t="inlineStr"/>
      <c r="K5" t="inlineStr">
        <is>
          <t>20220422</t>
        </is>
      </c>
      <c r="L5" t="inlineStr">
        <is>
          <t>20240910</t>
        </is>
      </c>
    </row>
    <row r="6">
      <c r="A6" t="inlineStr">
        <is>
          <t>900003687</t>
        </is>
      </c>
      <c r="B6" t="inlineStr">
        <is>
          <t>D867</t>
        </is>
      </c>
      <c r="C6" t="inlineStr">
        <is>
          <t>66894809</t>
        </is>
      </c>
      <c r="D6" t="inlineStr">
        <is>
          <t>10197737</t>
        </is>
      </c>
      <c r="E6" t="inlineStr"/>
      <c r="F6" s="12" t="n">
        <v>241.51</v>
      </c>
      <c r="G6" t="inlineStr"/>
      <c r="I6" t="inlineStr">
        <is>
          <t>M3</t>
        </is>
      </c>
      <c r="J6" t="inlineStr"/>
      <c r="K6" t="inlineStr">
        <is>
          <t>20220422</t>
        </is>
      </c>
      <c r="L6" t="inlineStr">
        <is>
          <t>20240910</t>
        </is>
      </c>
    </row>
    <row r="7">
      <c r="A7" t="inlineStr">
        <is>
          <t>900003687</t>
        </is>
      </c>
      <c r="B7" t="inlineStr">
        <is>
          <t>D867</t>
        </is>
      </c>
      <c r="C7" t="inlineStr">
        <is>
          <t>66894809</t>
        </is>
      </c>
      <c r="D7" t="inlineStr">
        <is>
          <t>10204013</t>
        </is>
      </c>
      <c r="E7" t="inlineStr"/>
      <c r="F7" s="12" t="n">
        <v>310.51</v>
      </c>
      <c r="G7" t="inlineStr"/>
      <c r="I7" t="inlineStr">
        <is>
          <t>M3</t>
        </is>
      </c>
      <c r="J7" t="inlineStr"/>
      <c r="K7" t="inlineStr">
        <is>
          <t>20220422</t>
        </is>
      </c>
      <c r="L7" t="inlineStr">
        <is>
          <t>20240910</t>
        </is>
      </c>
    </row>
    <row r="8">
      <c r="A8" t="inlineStr">
        <is>
          <t>900003687</t>
        </is>
      </c>
      <c r="B8" t="inlineStr">
        <is>
          <t>D867</t>
        </is>
      </c>
      <c r="C8" t="inlineStr">
        <is>
          <t>66894809</t>
        </is>
      </c>
      <c r="D8" t="inlineStr">
        <is>
          <t>10226174</t>
        </is>
      </c>
      <c r="E8" t="inlineStr"/>
      <c r="F8" s="12" t="n">
        <v>445.51</v>
      </c>
      <c r="G8" t="inlineStr"/>
      <c r="I8" t="inlineStr">
        <is>
          <t>M3</t>
        </is>
      </c>
      <c r="J8" t="inlineStr"/>
      <c r="K8" t="inlineStr">
        <is>
          <t>20220422</t>
        </is>
      </c>
      <c r="L8" t="inlineStr">
        <is>
          <t>20240910</t>
        </is>
      </c>
    </row>
    <row r="9">
      <c r="A9" t="inlineStr">
        <is>
          <t>900003687</t>
        </is>
      </c>
      <c r="B9" t="inlineStr">
        <is>
          <t>D867</t>
        </is>
      </c>
      <c r="C9" t="inlineStr">
        <is>
          <t>66894809</t>
        </is>
      </c>
      <c r="D9" t="inlineStr">
        <is>
          <t>10227599</t>
        </is>
      </c>
      <c r="E9" t="inlineStr"/>
      <c r="F9" s="12" t="n">
        <v>237.51</v>
      </c>
      <c r="G9" t="inlineStr"/>
      <c r="I9" t="inlineStr">
        <is>
          <t>M3</t>
        </is>
      </c>
      <c r="J9" t="inlineStr"/>
      <c r="K9" t="inlineStr">
        <is>
          <t>20220422</t>
        </is>
      </c>
      <c r="L9" t="inlineStr">
        <is>
          <t>20240910</t>
        </is>
      </c>
    </row>
    <row r="10">
      <c r="A10" t="inlineStr">
        <is>
          <t>900003687</t>
        </is>
      </c>
      <c r="B10" t="inlineStr">
        <is>
          <t>D867</t>
        </is>
      </c>
      <c r="C10" t="inlineStr">
        <is>
          <t>67091517</t>
        </is>
      </c>
      <c r="D10" t="inlineStr">
        <is>
          <t>10000432</t>
        </is>
      </c>
      <c r="E10" t="inlineStr"/>
      <c r="F10" s="12" t="n">
        <v>110</v>
      </c>
      <c r="G10" t="inlineStr"/>
      <c r="I10" t="inlineStr">
        <is>
          <t>M3</t>
        </is>
      </c>
      <c r="J10" t="inlineStr"/>
      <c r="K10" t="inlineStr">
        <is>
          <t>20220422</t>
        </is>
      </c>
      <c r="L10" t="inlineStr">
        <is>
          <t>20240910</t>
        </is>
      </c>
    </row>
    <row r="11">
      <c r="A11" t="inlineStr">
        <is>
          <t>900003687</t>
        </is>
      </c>
      <c r="B11" t="inlineStr">
        <is>
          <t>D867</t>
        </is>
      </c>
      <c r="C11" t="inlineStr">
        <is>
          <t>67101665</t>
        </is>
      </c>
      <c r="D11" t="inlineStr">
        <is>
          <t>10000432</t>
        </is>
      </c>
      <c r="E11" t="inlineStr"/>
      <c r="F11" s="12" t="n">
        <v>110</v>
      </c>
      <c r="G11" t="inlineStr"/>
      <c r="I11" t="inlineStr">
        <is>
          <t>M3</t>
        </is>
      </c>
      <c r="J11" t="inlineStr"/>
      <c r="K11" t="inlineStr">
        <is>
          <t>20220422</t>
        </is>
      </c>
      <c r="L11" t="inlineStr">
        <is>
          <t>20240910</t>
        </is>
      </c>
    </row>
    <row r="12">
      <c r="A12" t="inlineStr">
        <is>
          <t>900003689</t>
        </is>
      </c>
      <c r="B12" t="inlineStr">
        <is>
          <t>D867</t>
        </is>
      </c>
      <c r="C12" t="inlineStr">
        <is>
          <t>66783898</t>
        </is>
      </c>
      <c r="D12" t="inlineStr">
        <is>
          <t>10000465</t>
        </is>
      </c>
      <c r="E12" t="inlineStr"/>
      <c r="F12" s="12" t="n">
        <v>267</v>
      </c>
      <c r="G12" t="inlineStr"/>
      <c r="I12" t="inlineStr">
        <is>
          <t>M3</t>
        </is>
      </c>
      <c r="J12" t="inlineStr"/>
      <c r="K12" t="inlineStr">
        <is>
          <t>20220422</t>
        </is>
      </c>
      <c r="L12" t="inlineStr">
        <is>
          <t>20240910</t>
        </is>
      </c>
    </row>
    <row r="13">
      <c r="A13" t="inlineStr">
        <is>
          <t>900003689</t>
        </is>
      </c>
      <c r="B13" t="inlineStr">
        <is>
          <t>D867</t>
        </is>
      </c>
      <c r="C13" t="inlineStr">
        <is>
          <t>66783898</t>
        </is>
      </c>
      <c r="D13" t="inlineStr">
        <is>
          <t>10000504</t>
        </is>
      </c>
      <c r="E13" t="inlineStr"/>
      <c r="F13" s="12" t="n">
        <v>300</v>
      </c>
      <c r="G13" t="inlineStr"/>
      <c r="I13" t="inlineStr">
        <is>
          <t>M3</t>
        </is>
      </c>
      <c r="J13" t="inlineStr"/>
      <c r="K13" t="inlineStr">
        <is>
          <t>20220422</t>
        </is>
      </c>
      <c r="L13" t="inlineStr">
        <is>
          <t>20240910</t>
        </is>
      </c>
    </row>
    <row r="14">
      <c r="A14" t="inlineStr">
        <is>
          <t>900003689</t>
        </is>
      </c>
      <c r="B14" t="inlineStr">
        <is>
          <t>D867</t>
        </is>
      </c>
      <c r="C14" t="inlineStr">
        <is>
          <t>66783898</t>
        </is>
      </c>
      <c r="D14" t="inlineStr">
        <is>
          <t>10000505</t>
        </is>
      </c>
      <c r="E14" t="inlineStr"/>
      <c r="F14" s="12" t="n">
        <v>125</v>
      </c>
      <c r="G14" t="inlineStr"/>
      <c r="I14" t="inlineStr">
        <is>
          <t>M3</t>
        </is>
      </c>
      <c r="J14" t="inlineStr"/>
      <c r="K14" t="inlineStr">
        <is>
          <t>20220422</t>
        </is>
      </c>
      <c r="L14" t="inlineStr">
        <is>
          <t>20240910</t>
        </is>
      </c>
    </row>
    <row r="15">
      <c r="A15" t="inlineStr">
        <is>
          <t>900003689</t>
        </is>
      </c>
      <c r="B15" t="inlineStr">
        <is>
          <t>D867</t>
        </is>
      </c>
      <c r="C15" t="inlineStr">
        <is>
          <t>66783898</t>
        </is>
      </c>
      <c r="D15" t="inlineStr">
        <is>
          <t>10000531</t>
        </is>
      </c>
      <c r="E15" t="inlineStr"/>
      <c r="F15" s="12" t="n">
        <v>605</v>
      </c>
      <c r="G15" t="inlineStr"/>
      <c r="I15" t="inlineStr">
        <is>
          <t>M3</t>
        </is>
      </c>
      <c r="J15" t="inlineStr"/>
      <c r="K15" t="inlineStr">
        <is>
          <t>20220422</t>
        </is>
      </c>
      <c r="L15" t="inlineStr">
        <is>
          <t>20240910</t>
        </is>
      </c>
    </row>
    <row r="16">
      <c r="A16" t="inlineStr">
        <is>
          <t>900003689</t>
        </is>
      </c>
      <c r="B16" t="inlineStr">
        <is>
          <t>D867</t>
        </is>
      </c>
      <c r="C16" t="inlineStr">
        <is>
          <t>66894809</t>
        </is>
      </c>
      <c r="D16" t="inlineStr">
        <is>
          <t>10000504</t>
        </is>
      </c>
      <c r="E16" t="inlineStr"/>
      <c r="F16" s="12" t="n">
        <v>260</v>
      </c>
      <c r="G16" t="inlineStr"/>
      <c r="I16" t="inlineStr">
        <is>
          <t>M3</t>
        </is>
      </c>
      <c r="J16" t="inlineStr"/>
      <c r="K16" t="inlineStr">
        <is>
          <t>20220422</t>
        </is>
      </c>
      <c r="L16" t="inlineStr">
        <is>
          <t>20240910</t>
        </is>
      </c>
    </row>
    <row r="17">
      <c r="A17" t="inlineStr">
        <is>
          <t>900003689</t>
        </is>
      </c>
      <c r="B17" t="inlineStr">
        <is>
          <t>D867</t>
        </is>
      </c>
      <c r="C17" t="inlineStr">
        <is>
          <t>66894809</t>
        </is>
      </c>
      <c r="D17" t="inlineStr">
        <is>
          <t>10000505</t>
        </is>
      </c>
      <c r="E17" t="inlineStr"/>
      <c r="F17" s="12" t="n">
        <v>118</v>
      </c>
      <c r="G17" t="inlineStr"/>
      <c r="I17" t="inlineStr">
        <is>
          <t>M3</t>
        </is>
      </c>
      <c r="J17" t="inlineStr"/>
      <c r="K17" t="inlineStr">
        <is>
          <t>20220422</t>
        </is>
      </c>
      <c r="L17" t="inlineStr">
        <is>
          <t>20240910</t>
        </is>
      </c>
    </row>
    <row r="18">
      <c r="A18" t="inlineStr">
        <is>
          <t>900003689</t>
        </is>
      </c>
      <c r="B18" t="inlineStr">
        <is>
          <t>D867</t>
        </is>
      </c>
      <c r="C18" t="inlineStr">
        <is>
          <t>66934655</t>
        </is>
      </c>
      <c r="D18" t="inlineStr">
        <is>
          <t>10000505</t>
        </is>
      </c>
      <c r="E18" t="inlineStr"/>
      <c r="F18" s="12" t="n">
        <v>110</v>
      </c>
      <c r="G18" t="inlineStr"/>
      <c r="I18" t="inlineStr">
        <is>
          <t>M3</t>
        </is>
      </c>
      <c r="J18" t="inlineStr"/>
      <c r="K18" t="inlineStr">
        <is>
          <t>20220422</t>
        </is>
      </c>
      <c r="L18" t="inlineStr">
        <is>
          <t>20240910</t>
        </is>
      </c>
    </row>
    <row r="19">
      <c r="A19" t="inlineStr">
        <is>
          <t>900003689</t>
        </is>
      </c>
      <c r="B19" t="inlineStr">
        <is>
          <t>D867</t>
        </is>
      </c>
      <c r="C19" t="inlineStr">
        <is>
          <t>66934655</t>
        </is>
      </c>
      <c r="D19" t="inlineStr">
        <is>
          <t>10000553</t>
        </is>
      </c>
      <c r="E19" t="inlineStr"/>
      <c r="F19" s="12" t="n">
        <v>210</v>
      </c>
      <c r="G19" t="inlineStr"/>
      <c r="I19" t="inlineStr">
        <is>
          <t>M3</t>
        </is>
      </c>
      <c r="J19" t="inlineStr"/>
      <c r="K19" t="inlineStr">
        <is>
          <t>20220422</t>
        </is>
      </c>
      <c r="L19" t="inlineStr">
        <is>
          <t>20240910</t>
        </is>
      </c>
    </row>
    <row r="20">
      <c r="A20" t="inlineStr">
        <is>
          <t>900003689</t>
        </is>
      </c>
      <c r="B20" t="inlineStr">
        <is>
          <t>D867</t>
        </is>
      </c>
      <c r="C20" t="inlineStr">
        <is>
          <t>67091517</t>
        </is>
      </c>
      <c r="D20" t="inlineStr">
        <is>
          <t>10000432</t>
        </is>
      </c>
      <c r="E20" t="inlineStr"/>
      <c r="F20" s="12" t="n">
        <v>330</v>
      </c>
      <c r="G20" t="inlineStr"/>
      <c r="I20" t="inlineStr">
        <is>
          <t>M3</t>
        </is>
      </c>
      <c r="J20" t="inlineStr"/>
      <c r="K20" t="inlineStr">
        <is>
          <t>20220422</t>
        </is>
      </c>
      <c r="L20" t="inlineStr">
        <is>
          <t>20240910</t>
        </is>
      </c>
    </row>
    <row r="21">
      <c r="A21" t="inlineStr">
        <is>
          <t>900003689</t>
        </is>
      </c>
      <c r="B21" t="inlineStr">
        <is>
          <t>D867</t>
        </is>
      </c>
      <c r="C21" t="inlineStr">
        <is>
          <t>67101665</t>
        </is>
      </c>
      <c r="D21" t="inlineStr">
        <is>
          <t>10000432</t>
        </is>
      </c>
      <c r="E21" t="inlineStr"/>
      <c r="F21" s="12" t="n">
        <v>330</v>
      </c>
      <c r="G21" t="inlineStr"/>
      <c r="I21" t="inlineStr">
        <is>
          <t>M3</t>
        </is>
      </c>
      <c r="J21" t="inlineStr"/>
      <c r="K21" t="inlineStr">
        <is>
          <t>20220422</t>
        </is>
      </c>
      <c r="L21" t="inlineStr">
        <is>
          <t>20240910</t>
        </is>
      </c>
    </row>
    <row r="22">
      <c r="A22" t="inlineStr">
        <is>
          <t>900003697</t>
        </is>
      </c>
      <c r="B22" t="inlineStr">
        <is>
          <t>D867</t>
        </is>
      </c>
      <c r="C22" t="inlineStr">
        <is>
          <t>67017401</t>
        </is>
      </c>
      <c r="D22" t="inlineStr">
        <is>
          <t>10001455</t>
        </is>
      </c>
      <c r="E22" t="inlineStr"/>
      <c r="F22" s="12" t="n">
        <v>190</v>
      </c>
      <c r="G22" t="inlineStr"/>
      <c r="I22" t="inlineStr">
        <is>
          <t>M3</t>
        </is>
      </c>
      <c r="J22" t="inlineStr"/>
      <c r="K22" t="inlineStr">
        <is>
          <t>20220422</t>
        </is>
      </c>
      <c r="L22" t="inlineStr">
        <is>
          <t>20240910</t>
        </is>
      </c>
    </row>
    <row r="23">
      <c r="A23" t="inlineStr">
        <is>
          <t>900003697</t>
        </is>
      </c>
      <c r="B23" t="inlineStr">
        <is>
          <t>D867</t>
        </is>
      </c>
      <c r="C23" t="inlineStr">
        <is>
          <t>67017401</t>
        </is>
      </c>
      <c r="D23" t="inlineStr">
        <is>
          <t>10175580</t>
        </is>
      </c>
      <c r="E23" t="inlineStr"/>
      <c r="F23" s="12" t="n">
        <v>295</v>
      </c>
      <c r="G23" t="inlineStr"/>
      <c r="I23" t="inlineStr">
        <is>
          <t>M3</t>
        </is>
      </c>
      <c r="J23" t="inlineStr"/>
      <c r="K23" t="inlineStr">
        <is>
          <t>20220422</t>
        </is>
      </c>
      <c r="L23" t="inlineStr">
        <is>
          <t>20240910</t>
        </is>
      </c>
    </row>
    <row r="24">
      <c r="A24" t="inlineStr">
        <is>
          <t>900006401</t>
        </is>
      </c>
      <c r="B24" t="inlineStr">
        <is>
          <t>D867</t>
        </is>
      </c>
      <c r="C24" t="inlineStr">
        <is>
          <t>67017401</t>
        </is>
      </c>
      <c r="D24" t="inlineStr">
        <is>
          <t>10000530</t>
        </is>
      </c>
      <c r="E24" t="inlineStr"/>
      <c r="F24" s="12" t="n">
        <v>313</v>
      </c>
      <c r="G24" t="inlineStr"/>
      <c r="I24" t="inlineStr">
        <is>
          <t>M3</t>
        </is>
      </c>
      <c r="J24" t="inlineStr"/>
      <c r="K24" t="inlineStr">
        <is>
          <t>20220422</t>
        </is>
      </c>
      <c r="L24" t="inlineStr">
        <is>
          <t>20240910</t>
        </is>
      </c>
    </row>
    <row r="25">
      <c r="A25" t="inlineStr">
        <is>
          <t>900006401</t>
        </is>
      </c>
      <c r="B25" t="inlineStr">
        <is>
          <t>D867</t>
        </is>
      </c>
      <c r="C25" t="inlineStr">
        <is>
          <t>67017401</t>
        </is>
      </c>
      <c r="D25" t="inlineStr">
        <is>
          <t>10000550</t>
        </is>
      </c>
      <c r="E25" t="inlineStr"/>
      <c r="F25" s="12" t="n">
        <v>530</v>
      </c>
      <c r="G25" t="inlineStr"/>
      <c r="I25" t="inlineStr">
        <is>
          <t>M3</t>
        </is>
      </c>
      <c r="J25" t="inlineStr"/>
      <c r="K25" t="inlineStr">
        <is>
          <t>20220422</t>
        </is>
      </c>
      <c r="L25" t="inlineStr">
        <is>
          <t>20240910</t>
        </is>
      </c>
    </row>
    <row r="26">
      <c r="A26" t="inlineStr">
        <is>
          <t>900006401</t>
        </is>
      </c>
      <c r="B26" t="inlineStr">
        <is>
          <t>D867</t>
        </is>
      </c>
      <c r="C26" t="inlineStr">
        <is>
          <t>67017401</t>
        </is>
      </c>
      <c r="D26" t="inlineStr">
        <is>
          <t>10000551</t>
        </is>
      </c>
      <c r="E26" t="inlineStr"/>
      <c r="F26" s="12" t="n">
        <v>337</v>
      </c>
      <c r="G26" t="inlineStr"/>
      <c r="I26" t="inlineStr">
        <is>
          <t>M3</t>
        </is>
      </c>
      <c r="J26" t="inlineStr"/>
      <c r="K26" t="inlineStr">
        <is>
          <t>20220422</t>
        </is>
      </c>
      <c r="L26" t="inlineStr">
        <is>
          <t>20240910</t>
        </is>
      </c>
    </row>
    <row r="27">
      <c r="A27" t="inlineStr">
        <is>
          <t>900006401</t>
        </is>
      </c>
      <c r="B27" t="inlineStr">
        <is>
          <t>D867</t>
        </is>
      </c>
      <c r="C27" t="inlineStr">
        <is>
          <t>67017401</t>
        </is>
      </c>
      <c r="D27" t="inlineStr">
        <is>
          <t>10001455</t>
        </is>
      </c>
      <c r="E27" t="inlineStr"/>
      <c r="F27" s="12" t="n">
        <v>202</v>
      </c>
      <c r="G27" t="inlineStr"/>
      <c r="I27" t="inlineStr">
        <is>
          <t>M3</t>
        </is>
      </c>
      <c r="J27" t="inlineStr"/>
      <c r="K27" t="inlineStr">
        <is>
          <t>20220422</t>
        </is>
      </c>
      <c r="L27" t="inlineStr">
        <is>
          <t>20240910</t>
        </is>
      </c>
    </row>
    <row r="28">
      <c r="A28" t="inlineStr">
        <is>
          <t>900006401</t>
        </is>
      </c>
      <c r="B28" t="inlineStr">
        <is>
          <t>D867</t>
        </is>
      </c>
      <c r="C28" t="inlineStr">
        <is>
          <t>67017401</t>
        </is>
      </c>
      <c r="D28" t="inlineStr">
        <is>
          <t>10020754</t>
        </is>
      </c>
      <c r="E28" t="inlineStr"/>
      <c r="F28" s="12" t="n">
        <v>227</v>
      </c>
      <c r="G28" t="inlineStr"/>
      <c r="I28" t="inlineStr">
        <is>
          <t>M3</t>
        </is>
      </c>
      <c r="J28" t="inlineStr"/>
      <c r="K28" t="inlineStr">
        <is>
          <t>20220422</t>
        </is>
      </c>
      <c r="L28" t="inlineStr">
        <is>
          <t>20240910</t>
        </is>
      </c>
    </row>
    <row r="29">
      <c r="A29" t="inlineStr">
        <is>
          <t>900006401</t>
        </is>
      </c>
      <c r="B29" t="inlineStr">
        <is>
          <t>D867</t>
        </is>
      </c>
      <c r="C29" t="inlineStr">
        <is>
          <t>67017401</t>
        </is>
      </c>
      <c r="D29" t="inlineStr">
        <is>
          <t>10175580</t>
        </is>
      </c>
      <c r="E29" t="inlineStr"/>
      <c r="F29" s="12" t="n">
        <v>312</v>
      </c>
      <c r="G29" t="inlineStr"/>
      <c r="I29" t="inlineStr">
        <is>
          <t>M3</t>
        </is>
      </c>
      <c r="J29" t="inlineStr"/>
      <c r="K29" t="inlineStr">
        <is>
          <t>20220422</t>
        </is>
      </c>
      <c r="L29" t="inlineStr">
        <is>
          <t>20240910</t>
        </is>
      </c>
    </row>
    <row r="30">
      <c r="A30" t="inlineStr">
        <is>
          <t>900006440</t>
        </is>
      </c>
      <c r="B30" t="inlineStr">
        <is>
          <t>D867</t>
        </is>
      </c>
      <c r="C30" t="inlineStr">
        <is>
          <t>66783898</t>
        </is>
      </c>
      <c r="D30" t="inlineStr">
        <is>
          <t>10000504</t>
        </is>
      </c>
      <c r="E30" t="inlineStr"/>
      <c r="F30" s="12" t="n">
        <v>267</v>
      </c>
      <c r="G30" t="inlineStr"/>
      <c r="I30" t="inlineStr">
        <is>
          <t>M3</t>
        </is>
      </c>
      <c r="J30" t="inlineStr"/>
      <c r="K30" t="inlineStr">
        <is>
          <t>20220422</t>
        </is>
      </c>
      <c r="L30" t="inlineStr">
        <is>
          <t>20240910</t>
        </is>
      </c>
    </row>
    <row r="31">
      <c r="A31" t="inlineStr">
        <is>
          <t>900006677</t>
        </is>
      </c>
      <c r="B31" t="inlineStr">
        <is>
          <t>D867</t>
        </is>
      </c>
      <c r="C31" t="inlineStr">
        <is>
          <t>66783898</t>
        </is>
      </c>
      <c r="D31" t="inlineStr">
        <is>
          <t>10000505</t>
        </is>
      </c>
      <c r="E31" t="inlineStr"/>
      <c r="F31" s="12" t="n">
        <v>114</v>
      </c>
      <c r="G31" t="inlineStr"/>
      <c r="I31" t="inlineStr">
        <is>
          <t>M3</t>
        </is>
      </c>
      <c r="J31" t="inlineStr"/>
      <c r="K31" t="inlineStr">
        <is>
          <t>20220107</t>
        </is>
      </c>
      <c r="L31" t="inlineStr">
        <is>
          <t>20251031</t>
        </is>
      </c>
    </row>
    <row r="32">
      <c r="A32" t="inlineStr">
        <is>
          <t>900006677</t>
        </is>
      </c>
      <c r="B32" t="inlineStr">
        <is>
          <t>D867</t>
        </is>
      </c>
      <c r="C32" t="inlineStr">
        <is>
          <t>67059440</t>
        </is>
      </c>
      <c r="D32" t="inlineStr">
        <is>
          <t>10000580</t>
        </is>
      </c>
      <c r="E32" t="inlineStr"/>
      <c r="F32" s="12" t="n">
        <v>137.8</v>
      </c>
      <c r="G32" t="inlineStr"/>
      <c r="I32" t="inlineStr">
        <is>
          <t>M3</t>
        </is>
      </c>
      <c r="J32" t="inlineStr"/>
      <c r="K32" t="inlineStr">
        <is>
          <t>20220107</t>
        </is>
      </c>
      <c r="L32" t="inlineStr">
        <is>
          <t>20251031</t>
        </is>
      </c>
    </row>
    <row r="33">
      <c r="A33" t="inlineStr">
        <is>
          <t>900006677</t>
        </is>
      </c>
      <c r="B33" t="inlineStr">
        <is>
          <t>D867</t>
        </is>
      </c>
      <c r="C33" t="inlineStr">
        <is>
          <t>67059440</t>
        </is>
      </c>
      <c r="D33" t="inlineStr">
        <is>
          <t>10222897</t>
        </is>
      </c>
      <c r="E33" t="inlineStr"/>
      <c r="F33" s="12" t="n">
        <v>137</v>
      </c>
      <c r="G33" t="inlineStr"/>
      <c r="I33" t="inlineStr">
        <is>
          <t>M3</t>
        </is>
      </c>
      <c r="J33" t="inlineStr"/>
      <c r="K33" t="inlineStr">
        <is>
          <t>20220107</t>
        </is>
      </c>
      <c r="L33" t="inlineStr">
        <is>
          <t>20251031</t>
        </is>
      </c>
    </row>
    <row r="34">
      <c r="A34" t="inlineStr">
        <is>
          <t>900006677</t>
        </is>
      </c>
      <c r="B34" t="inlineStr">
        <is>
          <t>D867</t>
        </is>
      </c>
      <c r="C34" t="inlineStr">
        <is>
          <t>67101876</t>
        </is>
      </c>
      <c r="D34" t="inlineStr">
        <is>
          <t>10000580</t>
        </is>
      </c>
      <c r="E34" t="inlineStr"/>
      <c r="F34" s="12" t="n">
        <v>137</v>
      </c>
      <c r="G34" t="inlineStr"/>
      <c r="I34" t="inlineStr">
        <is>
          <t>M3</t>
        </is>
      </c>
      <c r="J34" t="inlineStr"/>
      <c r="K34" t="inlineStr">
        <is>
          <t>20220107</t>
        </is>
      </c>
      <c r="L34" t="inlineStr">
        <is>
          <t>20251031</t>
        </is>
      </c>
    </row>
    <row r="35">
      <c r="A35" t="inlineStr">
        <is>
          <t>900006677</t>
        </is>
      </c>
      <c r="B35" t="inlineStr">
        <is>
          <t>D867</t>
        </is>
      </c>
      <c r="C35" t="inlineStr">
        <is>
          <t>67101876</t>
        </is>
      </c>
      <c r="D35" t="inlineStr">
        <is>
          <t>10222897</t>
        </is>
      </c>
      <c r="E35" t="inlineStr"/>
      <c r="F35" s="12" t="n">
        <v>137</v>
      </c>
      <c r="G35" t="inlineStr"/>
      <c r="I35" t="inlineStr">
        <is>
          <t>M3</t>
        </is>
      </c>
      <c r="J35" t="inlineStr"/>
      <c r="K35" t="inlineStr">
        <is>
          <t>20220107</t>
        </is>
      </c>
      <c r="L35" t="inlineStr">
        <is>
          <t>20251031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900003679D8676572430510000552</t>
        </is>
      </c>
      <c r="B2" t="inlineStr">
        <is>
          <t>900003679</t>
        </is>
      </c>
      <c r="C2" t="inlineStr">
        <is>
          <t>D867</t>
        </is>
      </c>
      <c r="D2" t="inlineStr">
        <is>
          <t>65724305</t>
        </is>
      </c>
      <c r="E2" t="inlineStr">
        <is>
          <t>4</t>
        </is>
      </c>
      <c r="F2" t="inlineStr">
        <is>
          <t>10000552</t>
        </is>
      </c>
      <c r="H2" t="inlineStr"/>
      <c r="J2" t="n">
        <v>135</v>
      </c>
      <c r="K2" t="inlineStr"/>
      <c r="M2" t="inlineStr">
        <is>
          <t>M3</t>
        </is>
      </c>
      <c r="N2" t="inlineStr"/>
      <c r="P2" t="inlineStr">
        <is>
          <t>20170210</t>
        </is>
      </c>
      <c r="Q2" t="inlineStr">
        <is>
          <t>99991231</t>
        </is>
      </c>
    </row>
    <row r="3">
      <c r="A3" t="inlineStr">
        <is>
          <t>900003687D8676689480910000504</t>
        </is>
      </c>
      <c r="B3" t="inlineStr">
        <is>
          <t>900003687</t>
        </is>
      </c>
      <c r="C3" t="inlineStr">
        <is>
          <t>D867</t>
        </is>
      </c>
      <c r="D3" t="inlineStr">
        <is>
          <t>66894809</t>
        </is>
      </c>
      <c r="E3" t="inlineStr">
        <is>
          <t>4</t>
        </is>
      </c>
      <c r="F3" t="inlineStr">
        <is>
          <t>10000504</t>
        </is>
      </c>
      <c r="H3" t="inlineStr"/>
      <c r="J3" t="n">
        <v>197.5</v>
      </c>
      <c r="K3" t="inlineStr"/>
      <c r="M3" t="inlineStr">
        <is>
          <t>M3</t>
        </is>
      </c>
      <c r="N3" t="inlineStr"/>
      <c r="P3" t="inlineStr">
        <is>
          <t>20201202</t>
        </is>
      </c>
      <c r="Q3" t="inlineStr">
        <is>
          <t>20240910</t>
        </is>
      </c>
    </row>
    <row r="4">
      <c r="A4" t="inlineStr">
        <is>
          <t>900003687D8676689480910000505</t>
        </is>
      </c>
      <c r="B4" t="inlineStr">
        <is>
          <t>900003687</t>
        </is>
      </c>
      <c r="C4" t="inlineStr">
        <is>
          <t>D867</t>
        </is>
      </c>
      <c r="D4" t="inlineStr">
        <is>
          <t>66894809</t>
        </is>
      </c>
      <c r="E4" t="inlineStr">
        <is>
          <t>4</t>
        </is>
      </c>
      <c r="F4" t="inlineStr">
        <is>
          <t>10000505</t>
        </is>
      </c>
      <c r="H4" t="inlineStr"/>
      <c r="J4" t="n">
        <v>197.5</v>
      </c>
      <c r="K4" t="inlineStr"/>
      <c r="M4" t="inlineStr">
        <is>
          <t>M3</t>
        </is>
      </c>
      <c r="N4" t="inlineStr"/>
      <c r="P4" t="inlineStr">
        <is>
          <t>20201202</t>
        </is>
      </c>
      <c r="Q4" t="inlineStr">
        <is>
          <t>20240910</t>
        </is>
      </c>
    </row>
    <row r="5">
      <c r="A5" t="inlineStr">
        <is>
          <t>900003687D8676689480910197737</t>
        </is>
      </c>
      <c r="B5" t="inlineStr">
        <is>
          <t>900003687</t>
        </is>
      </c>
      <c r="C5" t="inlineStr">
        <is>
          <t>D867</t>
        </is>
      </c>
      <c r="D5" t="inlineStr">
        <is>
          <t>66894809</t>
        </is>
      </c>
      <c r="E5" t="inlineStr">
        <is>
          <t>4</t>
        </is>
      </c>
      <c r="F5" t="inlineStr">
        <is>
          <t>10197737</t>
        </is>
      </c>
      <c r="H5" t="inlineStr"/>
      <c r="J5" t="n">
        <v>199.49</v>
      </c>
      <c r="K5" t="inlineStr"/>
      <c r="M5" t="inlineStr">
        <is>
          <t>M3</t>
        </is>
      </c>
      <c r="N5" t="inlineStr"/>
      <c r="P5" t="inlineStr">
        <is>
          <t>20201202</t>
        </is>
      </c>
      <c r="Q5" t="inlineStr">
        <is>
          <t>20240910</t>
        </is>
      </c>
    </row>
    <row r="6">
      <c r="A6" t="inlineStr">
        <is>
          <t>900003687D8676689480910204013</t>
        </is>
      </c>
      <c r="B6" t="inlineStr">
        <is>
          <t>900003687</t>
        </is>
      </c>
      <c r="C6" t="inlineStr">
        <is>
          <t>D867</t>
        </is>
      </c>
      <c r="D6" t="inlineStr">
        <is>
          <t>66894809</t>
        </is>
      </c>
      <c r="E6" t="inlineStr">
        <is>
          <t>4</t>
        </is>
      </c>
      <c r="F6" t="inlineStr">
        <is>
          <t>10204013</t>
        </is>
      </c>
      <c r="H6" t="inlineStr"/>
      <c r="J6" t="n">
        <v>199.49</v>
      </c>
      <c r="K6" t="inlineStr"/>
      <c r="M6" t="inlineStr">
        <is>
          <t>M3</t>
        </is>
      </c>
      <c r="N6" t="inlineStr"/>
      <c r="P6" t="inlineStr">
        <is>
          <t>20201202</t>
        </is>
      </c>
      <c r="Q6" t="inlineStr">
        <is>
          <t>20240910</t>
        </is>
      </c>
    </row>
    <row r="7">
      <c r="A7" t="inlineStr">
        <is>
          <t>900003687D8676689480910226174</t>
        </is>
      </c>
      <c r="B7" t="inlineStr">
        <is>
          <t>900003687</t>
        </is>
      </c>
      <c r="C7" t="inlineStr">
        <is>
          <t>D867</t>
        </is>
      </c>
      <c r="D7" t="inlineStr">
        <is>
          <t>66894809</t>
        </is>
      </c>
      <c r="E7" t="inlineStr">
        <is>
          <t>4</t>
        </is>
      </c>
      <c r="F7" t="inlineStr">
        <is>
          <t>10226174</t>
        </is>
      </c>
      <c r="H7" t="inlineStr"/>
      <c r="J7" t="n">
        <v>199.49</v>
      </c>
      <c r="K7" t="inlineStr"/>
      <c r="M7" t="inlineStr">
        <is>
          <t>M3</t>
        </is>
      </c>
      <c r="N7" t="inlineStr"/>
      <c r="P7" t="inlineStr">
        <is>
          <t>20201202</t>
        </is>
      </c>
      <c r="Q7" t="inlineStr">
        <is>
          <t>20240910</t>
        </is>
      </c>
    </row>
    <row r="8">
      <c r="A8" t="inlineStr">
        <is>
          <t>900003687D8676689480910227599</t>
        </is>
      </c>
      <c r="B8" t="inlineStr">
        <is>
          <t>900003687</t>
        </is>
      </c>
      <c r="C8" t="inlineStr">
        <is>
          <t>D867</t>
        </is>
      </c>
      <c r="D8" t="inlineStr">
        <is>
          <t>66894809</t>
        </is>
      </c>
      <c r="E8" t="inlineStr">
        <is>
          <t>4</t>
        </is>
      </c>
      <c r="F8" t="inlineStr">
        <is>
          <t>10227599</t>
        </is>
      </c>
      <c r="H8" t="inlineStr"/>
      <c r="J8" t="n">
        <v>577.49</v>
      </c>
      <c r="K8" t="inlineStr"/>
      <c r="M8" t="inlineStr">
        <is>
          <t>M3</t>
        </is>
      </c>
      <c r="N8" t="inlineStr"/>
      <c r="P8" t="inlineStr">
        <is>
          <t>20201202</t>
        </is>
      </c>
      <c r="Q8" t="inlineStr">
        <is>
          <t>20240910</t>
        </is>
      </c>
    </row>
    <row r="9">
      <c r="A9" t="inlineStr">
        <is>
          <t>900003687D8676709151710000432</t>
        </is>
      </c>
      <c r="B9" t="inlineStr">
        <is>
          <t>900003687</t>
        </is>
      </c>
      <c r="C9" t="inlineStr">
        <is>
          <t>D867</t>
        </is>
      </c>
      <c r="D9" t="inlineStr">
        <is>
          <t>67091517</t>
        </is>
      </c>
      <c r="E9" t="inlineStr">
        <is>
          <t>4</t>
        </is>
      </c>
      <c r="F9" t="inlineStr">
        <is>
          <t>10000432</t>
        </is>
      </c>
      <c r="H9" t="inlineStr"/>
      <c r="J9" t="n">
        <v>170</v>
      </c>
      <c r="K9" t="inlineStr"/>
      <c r="M9" t="inlineStr">
        <is>
          <t>M3</t>
        </is>
      </c>
      <c r="N9" t="inlineStr"/>
      <c r="P9" t="inlineStr">
        <is>
          <t>20201202</t>
        </is>
      </c>
      <c r="Q9" t="inlineStr">
        <is>
          <t>20240910</t>
        </is>
      </c>
    </row>
    <row r="10">
      <c r="A10" t="inlineStr">
        <is>
          <t>900003687D8676710166510000432</t>
        </is>
      </c>
      <c r="B10" t="inlineStr">
        <is>
          <t>900003687</t>
        </is>
      </c>
      <c r="C10" t="inlineStr">
        <is>
          <t>D867</t>
        </is>
      </c>
      <c r="D10" t="inlineStr">
        <is>
          <t>67101665</t>
        </is>
      </c>
      <c r="E10" t="inlineStr">
        <is>
          <t>4</t>
        </is>
      </c>
      <c r="F10" t="inlineStr">
        <is>
          <t>10000432</t>
        </is>
      </c>
      <c r="H10" t="inlineStr"/>
      <c r="J10" t="n">
        <v>170</v>
      </c>
      <c r="K10" t="inlineStr"/>
      <c r="M10" t="inlineStr">
        <is>
          <t>M3</t>
        </is>
      </c>
      <c r="N10" t="inlineStr"/>
      <c r="P10" t="inlineStr">
        <is>
          <t>20201202</t>
        </is>
      </c>
      <c r="Q10" t="inlineStr">
        <is>
          <t>20240910</t>
        </is>
      </c>
    </row>
    <row r="11">
      <c r="A11" t="inlineStr">
        <is>
          <t>900003697D8676701740110001455</t>
        </is>
      </c>
      <c r="B11" t="inlineStr">
        <is>
          <t>900003697</t>
        </is>
      </c>
      <c r="C11" t="inlineStr">
        <is>
          <t>D867</t>
        </is>
      </c>
      <c r="D11" t="inlineStr">
        <is>
          <t>67017401</t>
        </is>
      </c>
      <c r="E11" t="inlineStr">
        <is>
          <t>4</t>
        </is>
      </c>
      <c r="F11" t="inlineStr">
        <is>
          <t>10001455</t>
        </is>
      </c>
      <c r="H11" t="inlineStr"/>
      <c r="J11" t="n">
        <v>700</v>
      </c>
      <c r="K11" t="inlineStr"/>
      <c r="M11" t="inlineStr">
        <is>
          <t>M3</t>
        </is>
      </c>
      <c r="N11" t="inlineStr"/>
      <c r="P11" t="inlineStr">
        <is>
          <t>20201202</t>
        </is>
      </c>
      <c r="Q11" t="inlineStr">
        <is>
          <t>20240910</t>
        </is>
      </c>
    </row>
    <row r="12">
      <c r="A12" t="inlineStr">
        <is>
          <t>900003697D8676701740110175580</t>
        </is>
      </c>
      <c r="B12" t="inlineStr">
        <is>
          <t>900003697</t>
        </is>
      </c>
      <c r="C12" t="inlineStr">
        <is>
          <t>D867</t>
        </is>
      </c>
      <c r="D12" t="inlineStr">
        <is>
          <t>67017401</t>
        </is>
      </c>
      <c r="E12" t="inlineStr">
        <is>
          <t>4</t>
        </is>
      </c>
      <c r="F12" t="inlineStr">
        <is>
          <t>10175580</t>
        </is>
      </c>
      <c r="H12" t="inlineStr"/>
      <c r="J12" t="n">
        <v>700</v>
      </c>
      <c r="K12" t="inlineStr"/>
      <c r="M12" t="inlineStr">
        <is>
          <t>M3</t>
        </is>
      </c>
      <c r="N12" t="inlineStr"/>
      <c r="P12" t="inlineStr">
        <is>
          <t>20201202</t>
        </is>
      </c>
      <c r="Q12" t="inlineStr">
        <is>
          <t>20240910</t>
        </is>
      </c>
    </row>
    <row r="13">
      <c r="A13" t="inlineStr">
        <is>
          <t>900006401D8676701740110000530</t>
        </is>
      </c>
      <c r="B13" t="inlineStr">
        <is>
          <t>900006401</t>
        </is>
      </c>
      <c r="C13" t="inlineStr">
        <is>
          <t>D867</t>
        </is>
      </c>
      <c r="D13" t="inlineStr">
        <is>
          <t>67017401</t>
        </is>
      </c>
      <c r="E13" t="inlineStr">
        <is>
          <t>4</t>
        </is>
      </c>
      <c r="F13" t="inlineStr">
        <is>
          <t>10000530</t>
        </is>
      </c>
      <c r="H13" t="inlineStr"/>
      <c r="J13" t="n">
        <v>250</v>
      </c>
      <c r="K13" t="inlineStr"/>
      <c r="M13" t="inlineStr">
        <is>
          <t>M3</t>
        </is>
      </c>
      <c r="N13" t="inlineStr"/>
      <c r="P13" t="inlineStr">
        <is>
          <t>20201202</t>
        </is>
      </c>
      <c r="Q13" t="inlineStr">
        <is>
          <t>20240910</t>
        </is>
      </c>
    </row>
    <row r="14">
      <c r="A14" t="inlineStr">
        <is>
          <t>900006401D8676701740110000550</t>
        </is>
      </c>
      <c r="B14" t="inlineStr">
        <is>
          <t>900006401</t>
        </is>
      </c>
      <c r="C14" t="inlineStr">
        <is>
          <t>D867</t>
        </is>
      </c>
      <c r="D14" t="inlineStr">
        <is>
          <t>67017401</t>
        </is>
      </c>
      <c r="E14" t="inlineStr">
        <is>
          <t>4</t>
        </is>
      </c>
      <c r="F14" t="inlineStr">
        <is>
          <t>10000550</t>
        </is>
      </c>
      <c r="H14" t="inlineStr"/>
      <c r="J14" t="n">
        <v>250</v>
      </c>
      <c r="K14" t="inlineStr"/>
      <c r="M14" t="inlineStr">
        <is>
          <t>M3</t>
        </is>
      </c>
      <c r="N14" t="inlineStr"/>
      <c r="P14" t="inlineStr">
        <is>
          <t>20201202</t>
        </is>
      </c>
      <c r="Q14" t="inlineStr">
        <is>
          <t>20240910</t>
        </is>
      </c>
    </row>
    <row r="15">
      <c r="A15" t="inlineStr">
        <is>
          <t>900006401D8676701740110000551</t>
        </is>
      </c>
      <c r="B15" t="inlineStr">
        <is>
          <t>900006401</t>
        </is>
      </c>
      <c r="C15" t="inlineStr">
        <is>
          <t>D867</t>
        </is>
      </c>
      <c r="D15" t="inlineStr">
        <is>
          <t>67017401</t>
        </is>
      </c>
      <c r="E15" t="inlineStr">
        <is>
          <t>4</t>
        </is>
      </c>
      <c r="F15" t="inlineStr">
        <is>
          <t>10000551</t>
        </is>
      </c>
      <c r="H15" t="inlineStr"/>
      <c r="J15" t="n">
        <v>270</v>
      </c>
      <c r="K15" t="inlineStr"/>
      <c r="M15" t="inlineStr">
        <is>
          <t>M3</t>
        </is>
      </c>
      <c r="N15" t="inlineStr"/>
      <c r="P15" t="inlineStr">
        <is>
          <t>20201202</t>
        </is>
      </c>
      <c r="Q15" t="inlineStr">
        <is>
          <t>20240910</t>
        </is>
      </c>
    </row>
    <row r="16">
      <c r="A16" t="inlineStr">
        <is>
          <t>900006401D8676701740110001455</t>
        </is>
      </c>
      <c r="B16" t="inlineStr">
        <is>
          <t>900006401</t>
        </is>
      </c>
      <c r="C16" t="inlineStr">
        <is>
          <t>D867</t>
        </is>
      </c>
      <c r="D16" t="inlineStr">
        <is>
          <t>67017401</t>
        </is>
      </c>
      <c r="E16" t="inlineStr">
        <is>
          <t>4</t>
        </is>
      </c>
      <c r="F16" t="inlineStr">
        <is>
          <t>10001455</t>
        </is>
      </c>
      <c r="H16" t="inlineStr"/>
      <c r="J16" t="n">
        <v>295</v>
      </c>
      <c r="K16" t="inlineStr"/>
      <c r="M16" t="inlineStr">
        <is>
          <t>M3</t>
        </is>
      </c>
      <c r="N16" t="inlineStr"/>
      <c r="P16" t="inlineStr">
        <is>
          <t>20201202</t>
        </is>
      </c>
      <c r="Q16" t="inlineStr">
        <is>
          <t>20240910</t>
        </is>
      </c>
    </row>
    <row r="17">
      <c r="A17" t="inlineStr">
        <is>
          <t>900006401D8676701740110020754</t>
        </is>
      </c>
      <c r="B17" t="inlineStr">
        <is>
          <t>900006401</t>
        </is>
      </c>
      <c r="C17" t="inlineStr">
        <is>
          <t>D867</t>
        </is>
      </c>
      <c r="D17" t="inlineStr">
        <is>
          <t>67017401</t>
        </is>
      </c>
      <c r="E17" t="inlineStr">
        <is>
          <t>4</t>
        </is>
      </c>
      <c r="F17" t="inlineStr">
        <is>
          <t>10020754</t>
        </is>
      </c>
      <c r="H17" t="inlineStr"/>
      <c r="J17" t="n">
        <v>270</v>
      </c>
      <c r="K17" t="inlineStr"/>
      <c r="M17" t="inlineStr">
        <is>
          <t>M3</t>
        </is>
      </c>
      <c r="N17" t="inlineStr"/>
      <c r="P17" t="inlineStr">
        <is>
          <t>20201202</t>
        </is>
      </c>
      <c r="Q17" t="inlineStr">
        <is>
          <t>20240910</t>
        </is>
      </c>
    </row>
    <row r="18">
      <c r="A18" t="inlineStr">
        <is>
          <t>900006401D8676701740110175580</t>
        </is>
      </c>
      <c r="B18" t="inlineStr">
        <is>
          <t>900006401</t>
        </is>
      </c>
      <c r="C18" t="inlineStr">
        <is>
          <t>D867</t>
        </is>
      </c>
      <c r="D18" t="inlineStr">
        <is>
          <t>67017401</t>
        </is>
      </c>
      <c r="E18" t="inlineStr">
        <is>
          <t>4</t>
        </is>
      </c>
      <c r="F18" t="inlineStr">
        <is>
          <t>10175580</t>
        </is>
      </c>
      <c r="H18" t="inlineStr"/>
      <c r="J18" t="n">
        <v>295</v>
      </c>
      <c r="K18" t="inlineStr"/>
      <c r="M18" t="inlineStr">
        <is>
          <t>M3</t>
        </is>
      </c>
      <c r="N18" t="inlineStr"/>
      <c r="P18" t="inlineStr">
        <is>
          <t>20201202</t>
        </is>
      </c>
      <c r="Q18" t="inlineStr">
        <is>
          <t>20240910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900006677D86710000505</t>
        </is>
      </c>
      <c r="B2" t="inlineStr">
        <is>
          <t>4600047960-20</t>
        </is>
      </c>
      <c r="C2" t="n">
        <v>4600047960</v>
      </c>
      <c r="D2" t="n">
        <v>20</v>
      </c>
      <c r="E2" t="inlineStr">
        <is>
          <t>MXPO</t>
        </is>
      </c>
      <c r="F2" t="inlineStr">
        <is>
          <t>MXL</t>
        </is>
      </c>
      <c r="G2" t="n">
        <v>900006677</v>
      </c>
      <c r="H2" t="inlineStr">
        <is>
          <t>SF TP-MARTREY</t>
        </is>
      </c>
      <c r="I2" t="n">
        <v>5074519</v>
      </c>
      <c r="J2" t="inlineStr">
        <is>
          <t>MARTREY AGREGADOS PARA LA</t>
        </is>
      </c>
      <c r="K2" t="inlineStr">
        <is>
          <t>N90</t>
        </is>
      </c>
      <c r="L2" t="inlineStr">
        <is>
          <t>(AP) NAFIN 90 Dias</t>
        </is>
      </c>
      <c r="M2" t="n">
        <v>10000505</v>
      </c>
      <c r="N2" t="inlineStr">
        <is>
          <t>Arena Clasificada Río Malla 4</t>
        </is>
      </c>
      <c r="O2" t="inlineStr">
        <is>
          <t>D867</t>
        </is>
      </c>
      <c r="P2" t="inlineStr">
        <is>
          <t>MX-CED. OAXACA</t>
        </is>
      </c>
      <c r="Q2" t="n">
        <v>20200903</v>
      </c>
      <c r="R2" t="n">
        <v>20291231</v>
      </c>
      <c r="S2" t="n">
        <v>20200903</v>
      </c>
      <c r="T2" t="n">
        <v>20291231</v>
      </c>
      <c r="U2" t="n">
        <v>100</v>
      </c>
      <c r="V2" t="inlineStr">
        <is>
          <t>MXN</t>
        </is>
      </c>
      <c r="W2" t="inlineStr">
        <is>
          <t>M3</t>
        </is>
      </c>
      <c r="AC2" t="n">
        <v>56103638</v>
      </c>
      <c r="AD2" t="n">
        <v>6622571540</v>
      </c>
      <c r="AE2" t="n">
        <v>1</v>
      </c>
      <c r="AF2" t="inlineStr">
        <is>
          <t>ENTREGADO</t>
        </is>
      </c>
      <c r="AG2" t="n">
        <v>1.505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20230920</v>
      </c>
      <c r="AM2" t="inlineStr">
        <is>
          <t>D867-900006677-10000505</t>
        </is>
      </c>
    </row>
    <row r="3">
      <c r="A3" t="inlineStr">
        <is>
          <t>900006677D86710000580</t>
        </is>
      </c>
      <c r="B3" t="inlineStr">
        <is>
          <t>4600055489-10</t>
        </is>
      </c>
      <c r="C3" t="n">
        <v>4600055489</v>
      </c>
      <c r="D3" t="n">
        <v>10</v>
      </c>
      <c r="E3" t="inlineStr">
        <is>
          <t>MXPO</t>
        </is>
      </c>
      <c r="F3" t="inlineStr">
        <is>
          <t>MXL</t>
        </is>
      </c>
      <c r="G3" t="n">
        <v>900006677</v>
      </c>
      <c r="H3" t="inlineStr">
        <is>
          <t>SF TP-MARTREY</t>
        </is>
      </c>
      <c r="I3" t="n">
        <v>5074519</v>
      </c>
      <c r="J3" t="inlineStr">
        <is>
          <t>MARTREY AGREGADOS PARA LA</t>
        </is>
      </c>
      <c r="K3" t="inlineStr">
        <is>
          <t>N90</t>
        </is>
      </c>
      <c r="L3" t="inlineStr">
        <is>
          <t>(AP) NAFIN 90 Dias</t>
        </is>
      </c>
      <c r="M3" t="n">
        <v>10000580</v>
      </c>
      <c r="N3" t="inlineStr">
        <is>
          <t>Arena Clasificada Río Malla 4</t>
        </is>
      </c>
      <c r="O3" t="inlineStr">
        <is>
          <t>D867</t>
        </is>
      </c>
      <c r="P3" t="inlineStr">
        <is>
          <t>MX-CED. OAXACA</t>
        </is>
      </c>
      <c r="Q3" t="n">
        <v>20221011</v>
      </c>
      <c r="R3" t="n">
        <v>20271231</v>
      </c>
      <c r="S3" t="n">
        <v>20221011</v>
      </c>
      <c r="T3" t="n">
        <v>20271231</v>
      </c>
      <c r="U3" t="n">
        <v>130</v>
      </c>
      <c r="V3" t="inlineStr">
        <is>
          <t>MXN</t>
        </is>
      </c>
      <c r="W3" t="inlineStr">
        <is>
          <t>M3</t>
        </is>
      </c>
      <c r="X3" t="n">
        <v>0</v>
      </c>
      <c r="Y3" t="inlineStr">
        <is>
          <t>MXN</t>
        </is>
      </c>
      <c r="Z3" t="inlineStr">
        <is>
          <t>M3</t>
        </is>
      </c>
      <c r="AC3" t="n">
        <v>56103638</v>
      </c>
      <c r="AD3" t="n">
        <v>6622571540</v>
      </c>
      <c r="AE3" t="n">
        <v>1</v>
      </c>
      <c r="AF3" t="inlineStr">
        <is>
          <t>ENTREGADO</t>
        </is>
      </c>
      <c r="AG3" t="n">
        <v>1.505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20230920</v>
      </c>
      <c r="AM3" t="inlineStr">
        <is>
          <t>D867-900006677-10000580</t>
        </is>
      </c>
    </row>
    <row r="4">
      <c r="A4" t="inlineStr">
        <is>
          <t>900006677D86710222897</t>
        </is>
      </c>
      <c r="B4" t="inlineStr">
        <is>
          <t>4600055369-10</t>
        </is>
      </c>
      <c r="C4" t="n">
        <v>4600055369</v>
      </c>
      <c r="D4" t="n">
        <v>10</v>
      </c>
      <c r="E4" t="inlineStr">
        <is>
          <t>MXPO</t>
        </is>
      </c>
      <c r="F4" t="inlineStr">
        <is>
          <t>MXL</t>
        </is>
      </c>
      <c r="G4" t="n">
        <v>900006677</v>
      </c>
      <c r="H4" t="inlineStr">
        <is>
          <t>SF TP-MARTREY</t>
        </is>
      </c>
      <c r="I4" t="n">
        <v>5074519</v>
      </c>
      <c r="J4" t="inlineStr">
        <is>
          <t>MARTREY AGREGADOS PARA LA</t>
        </is>
      </c>
      <c r="K4" t="inlineStr">
        <is>
          <t>N90</t>
        </is>
      </c>
      <c r="L4" t="inlineStr">
        <is>
          <t>(AP) NAFIN 90 Dias</t>
        </is>
      </c>
      <c r="M4" t="n">
        <v>10222897</v>
      </c>
      <c r="N4" t="inlineStr">
        <is>
          <t>PIEDRA BOLA DE RIO 4"</t>
        </is>
      </c>
      <c r="O4" t="inlineStr">
        <is>
          <t>D867</t>
        </is>
      </c>
      <c r="P4" t="inlineStr">
        <is>
          <t>MX-CED. OAXACA</t>
        </is>
      </c>
      <c r="Q4" t="n">
        <v>20220928</v>
      </c>
      <c r="R4" t="n">
        <v>20271231</v>
      </c>
      <c r="S4" t="n">
        <v>20220928</v>
      </c>
      <c r="T4" t="n">
        <v>20271231</v>
      </c>
      <c r="U4" t="n">
        <v>130</v>
      </c>
      <c r="V4" t="inlineStr">
        <is>
          <t>MXN</t>
        </is>
      </c>
      <c r="W4" t="inlineStr">
        <is>
          <t>M3</t>
        </is>
      </c>
      <c r="X4" t="n">
        <v>0</v>
      </c>
      <c r="Y4" t="inlineStr">
        <is>
          <t>MXN</t>
        </is>
      </c>
      <c r="Z4" t="inlineStr">
        <is>
          <t>M3</t>
        </is>
      </c>
      <c r="AC4" t="n">
        <v>56103637</v>
      </c>
      <c r="AD4" t="n">
        <v>6622571540</v>
      </c>
      <c r="AE4" t="n">
        <v>1</v>
      </c>
      <c r="AF4" t="inlineStr">
        <is>
          <t>ENTREGADO</t>
        </is>
      </c>
      <c r="AG4" t="n">
        <v>1.5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20230920</v>
      </c>
      <c r="AM4" t="inlineStr">
        <is>
          <t>D867-900006677-10222897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2026-09-14T14:20:42Z</dcterms:created>
  <dcterms:modified xsi:type="dcterms:W3CDTF">2026-09-14T14:20:43Z</dcterms:modified>
</cp:coreProperties>
</file>