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3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900008171</v>
      </c>
      <c r="D3" s="7">
        <f>IFERROR(VLOOKUP(C3,TRAOPE!$G:$H,2,0),"")</f>
        <v/>
      </c>
      <c r="E3" s="8" t="inlineStr">
        <is>
          <t>DW39</t>
        </is>
      </c>
      <c r="F3" s="8" t="inlineStr"/>
      <c r="G3" s="8">
        <f>IFERROR(VLOOKUP(A3,Flete!$A:$E,5,0),"")</f>
        <v/>
      </c>
      <c r="H3" s="7">
        <f>IFERROR(VLOOKUP(F3,TRAOPE!$AA:$AB,2,0),"")</f>
        <v/>
      </c>
      <c r="I3" s="7" t="n">
        <v>10238734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20001010</t>
        </is>
      </c>
      <c r="M3" s="8" t="inlineStr">
        <is>
          <t>20001010</t>
        </is>
      </c>
      <c r="N3" s="10" t="n">
        <v>499.56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900008171</v>
      </c>
      <c r="D4" s="7">
        <f>IFERROR(VLOOKUP(C4,TRAOPE!$G:$H,2,0),"")</f>
        <v/>
      </c>
      <c r="E4" s="8" t="inlineStr">
        <is>
          <t>DW39</t>
        </is>
      </c>
      <c r="F4" s="8" t="inlineStr"/>
      <c r="G4" s="8">
        <f>IFERROR(VLOOKUP(A4,Flete!$A:$E,5,0),"")</f>
        <v/>
      </c>
      <c r="H4" s="7">
        <f>IFERROR(VLOOKUP(F4,TRAOPE!$AA:$AB,2,0),"")</f>
        <v/>
      </c>
      <c r="I4" s="7" t="n">
        <v>10238940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20001010</t>
        </is>
      </c>
      <c r="M4" s="8" t="inlineStr">
        <is>
          <t>20001010</t>
        </is>
      </c>
      <c r="N4" s="10" t="n">
        <v>456.88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900008171</v>
      </c>
      <c r="D5" s="7">
        <f>IFERROR(VLOOKUP(C5,TRAOPE!$G:$H,2,0),"")</f>
        <v/>
      </c>
      <c r="E5" s="8" t="inlineStr">
        <is>
          <t>DW39</t>
        </is>
      </c>
      <c r="F5" s="8" t="inlineStr">
        <is>
          <t>D297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10238734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20250301</t>
        </is>
      </c>
      <c r="M5" s="8" t="inlineStr">
        <is>
          <t>20251031</t>
        </is>
      </c>
      <c r="N5" s="10" t="n">
        <v>241.86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900008171</v>
      </c>
      <c r="D6" s="7">
        <f>IFERROR(VLOOKUP(C6,TRAOPE!$G:$H,2,0),"")</f>
        <v/>
      </c>
      <c r="E6" s="8" t="inlineStr">
        <is>
          <t>DW39</t>
        </is>
      </c>
      <c r="F6" s="8" t="inlineStr">
        <is>
          <t>D678</t>
        </is>
      </c>
      <c r="G6" s="8">
        <f>IFERROR(VLOOKUP(A6,Flete!$A:$E,5,0),"")</f>
        <v/>
      </c>
      <c r="H6" s="7">
        <f>IFERROR(VLOOKUP(F6,TRAOPE!$AA:$AB,2,0),"")</f>
        <v/>
      </c>
      <c r="I6" s="7" t="n">
        <v>10238734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20250301</t>
        </is>
      </c>
      <c r="M6" s="8" t="inlineStr">
        <is>
          <t>20251031</t>
        </is>
      </c>
      <c r="N6" s="10" t="n">
        <v>180.3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900008171</v>
      </c>
      <c r="D7" s="7">
        <f>IFERROR(VLOOKUP(C7,TRAOPE!$G:$H,2,0),"")</f>
        <v/>
      </c>
      <c r="E7" s="8" t="inlineStr">
        <is>
          <t>DW39</t>
        </is>
      </c>
      <c r="F7" s="8" t="inlineStr">
        <is>
          <t>D678</t>
        </is>
      </c>
      <c r="G7" s="8">
        <f>IFERROR(VLOOKUP(A7,Flete!$A:$E,5,0),"")</f>
        <v/>
      </c>
      <c r="H7" s="7">
        <f>IFERROR(VLOOKUP(F7,TRAOPE!$AA:$AB,2,0),"")</f>
        <v/>
      </c>
      <c r="I7" s="7" t="n">
        <v>10238940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20250301</t>
        </is>
      </c>
      <c r="M7" s="8" t="inlineStr">
        <is>
          <t>20251031</t>
        </is>
      </c>
      <c r="N7" s="10" t="n">
        <v>472.01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900008171</v>
      </c>
      <c r="D8" s="7">
        <f>IFERROR(VLOOKUP(C8,TRAOPE!$G:$H,2,0),"")</f>
        <v/>
      </c>
      <c r="E8" s="8" t="inlineStr">
        <is>
          <t>DW39</t>
        </is>
      </c>
      <c r="F8" s="8" t="inlineStr">
        <is>
          <t>EQ86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10238734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20240607</t>
        </is>
      </c>
      <c r="M8" s="8" t="inlineStr">
        <is>
          <t>20250220</t>
        </is>
      </c>
      <c r="N8" s="10" t="n">
        <v>499.56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900008171</v>
      </c>
      <c r="D9" s="7">
        <f>IFERROR(VLOOKUP(C9,TRAOPE!$G:$H,2,0),"")</f>
        <v/>
      </c>
      <c r="E9" s="8" t="inlineStr">
        <is>
          <t>DW39</t>
        </is>
      </c>
      <c r="F9" s="8" t="inlineStr">
        <is>
          <t>EQ86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10238940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20240607</t>
        </is>
      </c>
      <c r="M9" s="8" t="inlineStr">
        <is>
          <t>20250220</t>
        </is>
      </c>
      <c r="N9" s="10" t="n">
        <v>456.88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900008171</v>
      </c>
      <c r="D10" s="7">
        <f>IFERROR(VLOOKUP(C10,TRAOPE!$G:$H,2,0),"")</f>
        <v/>
      </c>
      <c r="E10" s="8" t="inlineStr">
        <is>
          <t>DW39</t>
        </is>
      </c>
      <c r="F10" s="8" t="inlineStr">
        <is>
          <t>ER00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10000861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20240320</t>
        </is>
      </c>
      <c r="M10" s="8" t="inlineStr">
        <is>
          <t>20250220</t>
        </is>
      </c>
      <c r="N10" s="10" t="n">
        <v>184.21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900008171</v>
      </c>
      <c r="D11" s="7">
        <f>IFERROR(VLOOKUP(C11,TRAOPE!$G:$H,2,0),"")</f>
        <v/>
      </c>
      <c r="E11" s="8" t="inlineStr">
        <is>
          <t>DW39</t>
        </is>
      </c>
      <c r="F11" s="8" t="inlineStr">
        <is>
          <t>ER00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10238734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20240320</t>
        </is>
      </c>
      <c r="M11" s="8" t="inlineStr">
        <is>
          <t>20250220</t>
        </is>
      </c>
      <c r="N11" s="10" t="n">
        <v>499.56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900008171</v>
      </c>
      <c r="D12" s="7">
        <f>IFERROR(VLOOKUP(C12,TRAOPE!$G:$H,2,0),"")</f>
        <v/>
      </c>
      <c r="E12" s="8" t="inlineStr">
        <is>
          <t>DW39</t>
        </is>
      </c>
      <c r="F12" s="8" t="inlineStr">
        <is>
          <t>ER00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10238940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20240320</t>
        </is>
      </c>
      <c r="M12" s="8" t="inlineStr">
        <is>
          <t>20250220</t>
        </is>
      </c>
      <c r="N12" s="10" t="n">
        <v>456.88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900008184</v>
      </c>
      <c r="D13" s="7">
        <f>IFERROR(VLOOKUP(C13,TRAOPE!$G:$H,2,0),"")</f>
        <v/>
      </c>
      <c r="E13" s="8" t="inlineStr">
        <is>
          <t>DW39</t>
        </is>
      </c>
      <c r="F13" s="8" t="inlineStr">
        <is>
          <t>ER00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10238734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20240320</t>
        </is>
      </c>
      <c r="M13" s="8" t="inlineStr">
        <is>
          <t>20250220</t>
        </is>
      </c>
      <c r="N13" s="10" t="n">
        <v>517.15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900008184</v>
      </c>
      <c r="D14" s="7">
        <f>IFERROR(VLOOKUP(C14,TRAOPE!$G:$H,2,0),"")</f>
        <v/>
      </c>
      <c r="E14" s="8" t="inlineStr">
        <is>
          <t>DW39</t>
        </is>
      </c>
      <c r="F14" s="8" t="inlineStr">
        <is>
          <t>ER00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10238940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20240320</t>
        </is>
      </c>
      <c r="M14" s="8" t="inlineStr">
        <is>
          <t>20250220</t>
        </is>
      </c>
      <c r="N14" s="10" t="n">
        <v>472.01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900008207</v>
      </c>
      <c r="D15" s="7">
        <f>IFERROR(VLOOKUP(C15,TRAOPE!$G:$H,2,0),"")</f>
        <v/>
      </c>
      <c r="E15" s="8" t="inlineStr">
        <is>
          <t>DW39</t>
        </is>
      </c>
      <c r="F15" s="8" t="inlineStr"/>
      <c r="G15" s="8">
        <f>IFERROR(VLOOKUP(A15,Flete!$A:$E,5,0),"")</f>
        <v/>
      </c>
      <c r="H15" s="7">
        <f>IFERROR(VLOOKUP(F15,TRAOPE!$AA:$AB,2,0),"")</f>
        <v/>
      </c>
      <c r="I15" s="7" t="n">
        <v>10239308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20001010</t>
        </is>
      </c>
      <c r="M15" s="8" t="inlineStr">
        <is>
          <t>20001010</t>
        </is>
      </c>
      <c r="N15" s="10" t="n">
        <v>480.14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900008207</v>
      </c>
      <c r="D16" s="7">
        <f>IFERROR(VLOOKUP(C16,TRAOPE!$G:$H,2,0),"")</f>
        <v/>
      </c>
      <c r="E16" s="8" t="inlineStr">
        <is>
          <t>DW39</t>
        </is>
      </c>
      <c r="F16" s="8" t="inlineStr"/>
      <c r="G16" s="8">
        <f>IFERROR(VLOOKUP(A16,Flete!$A:$E,5,0),"")</f>
        <v/>
      </c>
      <c r="H16" s="7">
        <f>IFERROR(VLOOKUP(F16,TRAOPE!$AA:$AB,2,0),"")</f>
        <v/>
      </c>
      <c r="I16" s="7" t="n">
        <v>10239309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20001010</t>
        </is>
      </c>
      <c r="M16" s="8" t="inlineStr">
        <is>
          <t>20001010</t>
        </is>
      </c>
      <c r="N16" s="10" t="n">
        <v>495.89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900008207</v>
      </c>
      <c r="D17" s="7">
        <f>IFERROR(VLOOKUP(C17,TRAOPE!$G:$H,2,0),"")</f>
        <v/>
      </c>
      <c r="E17" s="8" t="inlineStr">
        <is>
          <t>DW39</t>
        </is>
      </c>
      <c r="F17" s="8" t="inlineStr">
        <is>
          <t>ER00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10239308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20240320</t>
        </is>
      </c>
      <c r="M17" s="8" t="inlineStr">
        <is>
          <t>20250220</t>
        </is>
      </c>
      <c r="N17" s="10" t="n">
        <v>480.14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900008207</v>
      </c>
      <c r="D18" s="7">
        <f>IFERROR(VLOOKUP(C18,TRAOPE!$G:$H,2,0),"")</f>
        <v/>
      </c>
      <c r="E18" s="8" t="inlineStr">
        <is>
          <t>DW39</t>
        </is>
      </c>
      <c r="F18" s="8" t="inlineStr">
        <is>
          <t>ER00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10239309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20240320</t>
        </is>
      </c>
      <c r="M18" s="8" t="inlineStr">
        <is>
          <t>20250220</t>
        </is>
      </c>
      <c r="N18" s="10" t="n">
        <v>495.89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900008365</v>
      </c>
      <c r="D19" s="7">
        <f>IFERROR(VLOOKUP(C19,TRAOPE!$G:$H,2,0),"")</f>
        <v/>
      </c>
      <c r="E19" s="8" t="inlineStr">
        <is>
          <t>DW39</t>
        </is>
      </c>
      <c r="F19" s="8" t="inlineStr"/>
      <c r="G19" s="8">
        <f>IFERROR(VLOOKUP(A19,Flete!$A:$E,5,0),"")</f>
        <v/>
      </c>
      <c r="H19" s="7">
        <f>IFERROR(VLOOKUP(F19,TRAOPE!$AA:$AB,2,0),"")</f>
        <v/>
      </c>
      <c r="I19" s="7" t="n">
        <v>10239308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20001010</t>
        </is>
      </c>
      <c r="M19" s="8" t="inlineStr">
        <is>
          <t>20001010</t>
        </is>
      </c>
      <c r="N19" s="10" t="n">
        <v>480.14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900008365</v>
      </c>
      <c r="D20" s="7">
        <f>IFERROR(VLOOKUP(C20,TRAOPE!$G:$H,2,0),"")</f>
        <v/>
      </c>
      <c r="E20" s="8" t="inlineStr">
        <is>
          <t>DW39</t>
        </is>
      </c>
      <c r="F20" s="8" t="inlineStr"/>
      <c r="G20" s="8">
        <f>IFERROR(VLOOKUP(A20,Flete!$A:$E,5,0),"")</f>
        <v/>
      </c>
      <c r="H20" s="7">
        <f>IFERROR(VLOOKUP(F20,TRAOPE!$AA:$AB,2,0),"")</f>
        <v/>
      </c>
      <c r="I20" s="7" t="n">
        <v>10239309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20001010</t>
        </is>
      </c>
      <c r="M20" s="8" t="inlineStr">
        <is>
          <t>20001010</t>
        </is>
      </c>
      <c r="N20" s="10" t="n">
        <v>495.89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900008365</v>
      </c>
      <c r="D21" s="7">
        <f>IFERROR(VLOOKUP(C21,TRAOPE!$G:$H,2,0),"")</f>
        <v/>
      </c>
      <c r="E21" s="8" t="inlineStr">
        <is>
          <t>DW39</t>
        </is>
      </c>
      <c r="F21" s="8" t="inlineStr">
        <is>
          <t>ER00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10239308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20240320</t>
        </is>
      </c>
      <c r="M21" s="8" t="inlineStr">
        <is>
          <t>20250220</t>
        </is>
      </c>
      <c r="N21" s="10" t="n">
        <v>480.14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900008365</v>
      </c>
      <c r="D22" s="7">
        <f>IFERROR(VLOOKUP(C22,TRAOPE!$G:$H,2,0),"")</f>
        <v/>
      </c>
      <c r="E22" s="8" t="inlineStr">
        <is>
          <t>DW39</t>
        </is>
      </c>
      <c r="F22" s="8" t="inlineStr">
        <is>
          <t>ER00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10239309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20240320</t>
        </is>
      </c>
      <c r="M22" s="8" t="inlineStr">
        <is>
          <t>20250220</t>
        </is>
      </c>
      <c r="N22" s="10" t="n">
        <v>495.89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900008171</t>
        </is>
      </c>
      <c r="B2" t="inlineStr">
        <is>
          <t>DW39</t>
        </is>
      </c>
      <c r="C2" t="inlineStr"/>
      <c r="D2" t="inlineStr">
        <is>
          <t>10238734</t>
        </is>
      </c>
      <c r="E2" t="inlineStr"/>
      <c r="F2" s="11" t="n">
        <v>499.56</v>
      </c>
      <c r="G2" t="inlineStr"/>
      <c r="I2" t="inlineStr">
        <is>
          <t>TN</t>
        </is>
      </c>
      <c r="J2" t="inlineStr"/>
      <c r="K2" t="inlineStr">
        <is>
          <t>20001010</t>
        </is>
      </c>
      <c r="L2" t="inlineStr">
        <is>
          <t>20001010</t>
        </is>
      </c>
    </row>
    <row r="3">
      <c r="A3" t="inlineStr">
        <is>
          <t>900008171</t>
        </is>
      </c>
      <c r="B3" t="inlineStr">
        <is>
          <t>DW39</t>
        </is>
      </c>
      <c r="C3" t="inlineStr"/>
      <c r="D3" t="inlineStr">
        <is>
          <t>10238940</t>
        </is>
      </c>
      <c r="E3" t="inlineStr"/>
      <c r="F3" s="11" t="n">
        <v>456.88</v>
      </c>
      <c r="G3" t="inlineStr"/>
      <c r="I3" t="inlineStr">
        <is>
          <t>TN</t>
        </is>
      </c>
      <c r="J3" t="inlineStr"/>
      <c r="K3" t="inlineStr">
        <is>
          <t>20001010</t>
        </is>
      </c>
      <c r="L3" t="inlineStr">
        <is>
          <t>20001010</t>
        </is>
      </c>
    </row>
    <row r="4">
      <c r="A4" t="inlineStr">
        <is>
          <t>900008171</t>
        </is>
      </c>
      <c r="B4" t="inlineStr">
        <is>
          <t>DW39</t>
        </is>
      </c>
      <c r="C4" t="inlineStr">
        <is>
          <t>D297</t>
        </is>
      </c>
      <c r="D4" t="inlineStr">
        <is>
          <t>10238734</t>
        </is>
      </c>
      <c r="E4" t="inlineStr"/>
      <c r="F4" s="11" t="n">
        <v>241.86</v>
      </c>
      <c r="G4" t="inlineStr"/>
      <c r="I4" t="inlineStr">
        <is>
          <t>TN</t>
        </is>
      </c>
      <c r="J4" t="inlineStr"/>
      <c r="K4" t="inlineStr">
        <is>
          <t>20250301</t>
        </is>
      </c>
      <c r="L4" t="inlineStr">
        <is>
          <t>20251031</t>
        </is>
      </c>
    </row>
    <row r="5">
      <c r="A5" t="inlineStr">
        <is>
          <t>900008171</t>
        </is>
      </c>
      <c r="B5" t="inlineStr">
        <is>
          <t>DW39</t>
        </is>
      </c>
      <c r="C5" t="inlineStr">
        <is>
          <t>D678</t>
        </is>
      </c>
      <c r="D5" t="inlineStr">
        <is>
          <t>10238734</t>
        </is>
      </c>
      <c r="E5" t="inlineStr"/>
      <c r="F5" s="11" t="n">
        <v>180.3</v>
      </c>
      <c r="G5" t="inlineStr"/>
      <c r="I5" t="inlineStr">
        <is>
          <t>TN</t>
        </is>
      </c>
      <c r="J5" t="inlineStr"/>
      <c r="K5" t="inlineStr">
        <is>
          <t>20250301</t>
        </is>
      </c>
      <c r="L5" t="inlineStr">
        <is>
          <t>20251031</t>
        </is>
      </c>
    </row>
    <row r="6">
      <c r="A6" t="inlineStr">
        <is>
          <t>900008171</t>
        </is>
      </c>
      <c r="B6" t="inlineStr">
        <is>
          <t>DW39</t>
        </is>
      </c>
      <c r="C6" t="inlineStr">
        <is>
          <t>D678</t>
        </is>
      </c>
      <c r="D6" t="inlineStr">
        <is>
          <t>10238940</t>
        </is>
      </c>
      <c r="E6" t="inlineStr"/>
      <c r="F6" s="11" t="n">
        <v>472.01</v>
      </c>
      <c r="G6" t="inlineStr"/>
      <c r="I6" t="inlineStr">
        <is>
          <t>TN</t>
        </is>
      </c>
      <c r="J6" t="inlineStr"/>
      <c r="K6" t="inlineStr">
        <is>
          <t>20250301</t>
        </is>
      </c>
      <c r="L6" t="inlineStr">
        <is>
          <t>20251031</t>
        </is>
      </c>
    </row>
    <row r="7">
      <c r="A7" t="inlineStr">
        <is>
          <t>900008171</t>
        </is>
      </c>
      <c r="B7" t="inlineStr">
        <is>
          <t>DW39</t>
        </is>
      </c>
      <c r="C7" t="inlineStr">
        <is>
          <t>EQ86</t>
        </is>
      </c>
      <c r="D7" t="inlineStr">
        <is>
          <t>10238734</t>
        </is>
      </c>
      <c r="E7" t="inlineStr"/>
      <c r="F7" s="11" t="n">
        <v>499.56</v>
      </c>
      <c r="G7" t="inlineStr"/>
      <c r="I7" t="inlineStr">
        <is>
          <t>TN</t>
        </is>
      </c>
      <c r="J7" t="inlineStr"/>
      <c r="K7" t="inlineStr">
        <is>
          <t>20240607</t>
        </is>
      </c>
      <c r="L7" t="inlineStr">
        <is>
          <t>20250220</t>
        </is>
      </c>
    </row>
    <row r="8">
      <c r="A8" t="inlineStr">
        <is>
          <t>900008171</t>
        </is>
      </c>
      <c r="B8" t="inlineStr">
        <is>
          <t>DW39</t>
        </is>
      </c>
      <c r="C8" t="inlineStr">
        <is>
          <t>EQ86</t>
        </is>
      </c>
      <c r="D8" t="inlineStr">
        <is>
          <t>10238940</t>
        </is>
      </c>
      <c r="E8" t="inlineStr"/>
      <c r="F8" s="11" t="n">
        <v>456.88</v>
      </c>
      <c r="G8" t="inlineStr"/>
      <c r="I8" t="inlineStr">
        <is>
          <t>TN</t>
        </is>
      </c>
      <c r="J8" t="inlineStr"/>
      <c r="K8" t="inlineStr">
        <is>
          <t>20240607</t>
        </is>
      </c>
      <c r="L8" t="inlineStr">
        <is>
          <t>20250220</t>
        </is>
      </c>
    </row>
    <row r="9">
      <c r="A9" t="inlineStr">
        <is>
          <t>900008171</t>
        </is>
      </c>
      <c r="B9" t="inlineStr">
        <is>
          <t>DW39</t>
        </is>
      </c>
      <c r="C9" t="inlineStr">
        <is>
          <t>ER00</t>
        </is>
      </c>
      <c r="D9" t="inlineStr">
        <is>
          <t>10000861</t>
        </is>
      </c>
      <c r="E9" t="inlineStr"/>
      <c r="F9" s="11" t="n">
        <v>184.21</v>
      </c>
      <c r="G9" t="inlineStr"/>
      <c r="I9" t="inlineStr">
        <is>
          <t>TN</t>
        </is>
      </c>
      <c r="J9" t="inlineStr"/>
      <c r="K9" t="inlineStr">
        <is>
          <t>20240320</t>
        </is>
      </c>
      <c r="L9" t="inlineStr">
        <is>
          <t>20250220</t>
        </is>
      </c>
    </row>
    <row r="10">
      <c r="A10" t="inlineStr">
        <is>
          <t>900008171</t>
        </is>
      </c>
      <c r="B10" t="inlineStr">
        <is>
          <t>DW39</t>
        </is>
      </c>
      <c r="C10" t="inlineStr">
        <is>
          <t>ER00</t>
        </is>
      </c>
      <c r="D10" t="inlineStr">
        <is>
          <t>10238734</t>
        </is>
      </c>
      <c r="E10" t="inlineStr"/>
      <c r="F10" s="11" t="n">
        <v>499.56</v>
      </c>
      <c r="G10" t="inlineStr"/>
      <c r="I10" t="inlineStr">
        <is>
          <t>TN</t>
        </is>
      </c>
      <c r="J10" t="inlineStr"/>
      <c r="K10" t="inlineStr">
        <is>
          <t>20240320</t>
        </is>
      </c>
      <c r="L10" t="inlineStr">
        <is>
          <t>20250220</t>
        </is>
      </c>
    </row>
    <row r="11">
      <c r="A11" t="inlineStr">
        <is>
          <t>900008171</t>
        </is>
      </c>
      <c r="B11" t="inlineStr">
        <is>
          <t>DW39</t>
        </is>
      </c>
      <c r="C11" t="inlineStr">
        <is>
          <t>ER00</t>
        </is>
      </c>
      <c r="D11" t="inlineStr">
        <is>
          <t>10238940</t>
        </is>
      </c>
      <c r="E11" t="inlineStr"/>
      <c r="F11" s="11" t="n">
        <v>456.88</v>
      </c>
      <c r="G11" t="inlineStr"/>
      <c r="I11" t="inlineStr">
        <is>
          <t>TN</t>
        </is>
      </c>
      <c r="J11" t="inlineStr"/>
      <c r="K11" t="inlineStr">
        <is>
          <t>20240320</t>
        </is>
      </c>
      <c r="L11" t="inlineStr">
        <is>
          <t>20250220</t>
        </is>
      </c>
    </row>
    <row r="12">
      <c r="A12" t="inlineStr">
        <is>
          <t>900008184</t>
        </is>
      </c>
      <c r="B12" t="inlineStr">
        <is>
          <t>DW39</t>
        </is>
      </c>
      <c r="C12" t="inlineStr">
        <is>
          <t>ER00</t>
        </is>
      </c>
      <c r="D12" t="inlineStr">
        <is>
          <t>10238734</t>
        </is>
      </c>
      <c r="E12" t="inlineStr"/>
      <c r="F12" s="11" t="n">
        <v>517.15</v>
      </c>
      <c r="G12" t="inlineStr"/>
      <c r="I12" t="inlineStr">
        <is>
          <t>TN</t>
        </is>
      </c>
      <c r="J12" t="inlineStr"/>
      <c r="K12" t="inlineStr">
        <is>
          <t>20240320</t>
        </is>
      </c>
      <c r="L12" t="inlineStr">
        <is>
          <t>20250220</t>
        </is>
      </c>
    </row>
    <row r="13">
      <c r="A13" t="inlineStr">
        <is>
          <t>900008184</t>
        </is>
      </c>
      <c r="B13" t="inlineStr">
        <is>
          <t>DW39</t>
        </is>
      </c>
      <c r="C13" t="inlineStr">
        <is>
          <t>ER00</t>
        </is>
      </c>
      <c r="D13" t="inlineStr">
        <is>
          <t>10238940</t>
        </is>
      </c>
      <c r="E13" t="inlineStr"/>
      <c r="F13" s="11" t="n">
        <v>472.01</v>
      </c>
      <c r="G13" t="inlineStr"/>
      <c r="I13" t="inlineStr">
        <is>
          <t>TN</t>
        </is>
      </c>
      <c r="J13" t="inlineStr"/>
      <c r="K13" t="inlineStr">
        <is>
          <t>20240320</t>
        </is>
      </c>
      <c r="L13" t="inlineStr">
        <is>
          <t>20250220</t>
        </is>
      </c>
    </row>
    <row r="14">
      <c r="A14" t="inlineStr">
        <is>
          <t>900008207</t>
        </is>
      </c>
      <c r="B14" t="inlineStr">
        <is>
          <t>DW39</t>
        </is>
      </c>
      <c r="C14" t="inlineStr"/>
      <c r="D14" t="inlineStr">
        <is>
          <t>10239308</t>
        </is>
      </c>
      <c r="E14" t="inlineStr"/>
      <c r="F14" s="11" t="n">
        <v>480.14</v>
      </c>
      <c r="G14" t="inlineStr"/>
      <c r="I14" t="inlineStr">
        <is>
          <t>TN</t>
        </is>
      </c>
      <c r="J14" t="inlineStr"/>
      <c r="K14" t="inlineStr">
        <is>
          <t>20001010</t>
        </is>
      </c>
      <c r="L14" t="inlineStr">
        <is>
          <t>20001010</t>
        </is>
      </c>
    </row>
    <row r="15">
      <c r="A15" t="inlineStr">
        <is>
          <t>900008207</t>
        </is>
      </c>
      <c r="B15" t="inlineStr">
        <is>
          <t>DW39</t>
        </is>
      </c>
      <c r="C15" t="inlineStr"/>
      <c r="D15" t="inlineStr">
        <is>
          <t>10239309</t>
        </is>
      </c>
      <c r="E15" t="inlineStr"/>
      <c r="F15" s="11" t="n">
        <v>495.89</v>
      </c>
      <c r="G15" t="inlineStr"/>
      <c r="I15" t="inlineStr">
        <is>
          <t>TN</t>
        </is>
      </c>
      <c r="J15" t="inlineStr"/>
      <c r="K15" t="inlineStr">
        <is>
          <t>20001010</t>
        </is>
      </c>
      <c r="L15" t="inlineStr">
        <is>
          <t>20001010</t>
        </is>
      </c>
    </row>
    <row r="16">
      <c r="A16" t="inlineStr">
        <is>
          <t>900008207</t>
        </is>
      </c>
      <c r="B16" t="inlineStr">
        <is>
          <t>DW39</t>
        </is>
      </c>
      <c r="C16" t="inlineStr">
        <is>
          <t>ER00</t>
        </is>
      </c>
      <c r="D16" t="inlineStr">
        <is>
          <t>10239308</t>
        </is>
      </c>
      <c r="E16" t="inlineStr"/>
      <c r="F16" s="11" t="n">
        <v>480.14</v>
      </c>
      <c r="G16" t="inlineStr"/>
      <c r="I16" t="inlineStr">
        <is>
          <t>TN</t>
        </is>
      </c>
      <c r="J16" t="inlineStr"/>
      <c r="K16" t="inlineStr">
        <is>
          <t>20240320</t>
        </is>
      </c>
      <c r="L16" t="inlineStr">
        <is>
          <t>20250220</t>
        </is>
      </c>
    </row>
    <row r="17">
      <c r="A17" t="inlineStr">
        <is>
          <t>900008207</t>
        </is>
      </c>
      <c r="B17" t="inlineStr">
        <is>
          <t>DW39</t>
        </is>
      </c>
      <c r="C17" t="inlineStr">
        <is>
          <t>ER00</t>
        </is>
      </c>
      <c r="D17" t="inlineStr">
        <is>
          <t>10239309</t>
        </is>
      </c>
      <c r="E17" t="inlineStr"/>
      <c r="F17" s="11" t="n">
        <v>495.89</v>
      </c>
      <c r="G17" t="inlineStr"/>
      <c r="I17" t="inlineStr">
        <is>
          <t>TN</t>
        </is>
      </c>
      <c r="J17" t="inlineStr"/>
      <c r="K17" t="inlineStr">
        <is>
          <t>20240320</t>
        </is>
      </c>
      <c r="L17" t="inlineStr">
        <is>
          <t>20250220</t>
        </is>
      </c>
    </row>
    <row r="18">
      <c r="A18" t="inlineStr">
        <is>
          <t>900008365</t>
        </is>
      </c>
      <c r="B18" t="inlineStr">
        <is>
          <t>DW39</t>
        </is>
      </c>
      <c r="C18" t="inlineStr"/>
      <c r="D18" t="inlineStr">
        <is>
          <t>10239308</t>
        </is>
      </c>
      <c r="E18" t="inlineStr"/>
      <c r="F18" s="11" t="n">
        <v>480.14</v>
      </c>
      <c r="G18" t="inlineStr"/>
      <c r="I18" t="inlineStr">
        <is>
          <t>TN</t>
        </is>
      </c>
      <c r="J18" t="inlineStr"/>
      <c r="K18" t="inlineStr">
        <is>
          <t>20001010</t>
        </is>
      </c>
      <c r="L18" t="inlineStr">
        <is>
          <t>20001010</t>
        </is>
      </c>
    </row>
    <row r="19">
      <c r="A19" t="inlineStr">
        <is>
          <t>900008365</t>
        </is>
      </c>
      <c r="B19" t="inlineStr">
        <is>
          <t>DW39</t>
        </is>
      </c>
      <c r="C19" t="inlineStr"/>
      <c r="D19" t="inlineStr">
        <is>
          <t>10239309</t>
        </is>
      </c>
      <c r="E19" t="inlineStr"/>
      <c r="F19" s="11" t="n">
        <v>495.89</v>
      </c>
      <c r="G19" t="inlineStr"/>
      <c r="I19" t="inlineStr">
        <is>
          <t>TN</t>
        </is>
      </c>
      <c r="J19" t="inlineStr"/>
      <c r="K19" t="inlineStr">
        <is>
          <t>20001010</t>
        </is>
      </c>
      <c r="L19" t="inlineStr">
        <is>
          <t>20001010</t>
        </is>
      </c>
    </row>
    <row r="20">
      <c r="A20" t="inlineStr">
        <is>
          <t>900008365</t>
        </is>
      </c>
      <c r="B20" t="inlineStr">
        <is>
          <t>DW39</t>
        </is>
      </c>
      <c r="C20" t="inlineStr">
        <is>
          <t>ER00</t>
        </is>
      </c>
      <c r="D20" t="inlineStr">
        <is>
          <t>10239308</t>
        </is>
      </c>
      <c r="E20" t="inlineStr"/>
      <c r="F20" s="11" t="n">
        <v>480.14</v>
      </c>
      <c r="G20" t="inlineStr"/>
      <c r="I20" t="inlineStr">
        <is>
          <t>TN</t>
        </is>
      </c>
      <c r="J20" t="inlineStr"/>
      <c r="K20" t="inlineStr">
        <is>
          <t>20240320</t>
        </is>
      </c>
      <c r="L20" t="inlineStr">
        <is>
          <t>20250220</t>
        </is>
      </c>
    </row>
    <row r="21">
      <c r="A21" t="inlineStr">
        <is>
          <t>900008365</t>
        </is>
      </c>
      <c r="B21" t="inlineStr">
        <is>
          <t>DW39</t>
        </is>
      </c>
      <c r="C21" t="inlineStr">
        <is>
          <t>ER00</t>
        </is>
      </c>
      <c r="D21" t="inlineStr">
        <is>
          <t>10239309</t>
        </is>
      </c>
      <c r="E21" t="inlineStr"/>
      <c r="F21" s="11" t="n">
        <v>495.89</v>
      </c>
      <c r="G21" t="inlineStr"/>
      <c r="I21" t="inlineStr">
        <is>
          <t>TN</t>
        </is>
      </c>
      <c r="J21" t="inlineStr"/>
      <c r="K21" t="inlineStr">
        <is>
          <t>20240320</t>
        </is>
      </c>
      <c r="L21" t="inlineStr">
        <is>
          <t>20250220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900008171DW39D29710238734</t>
        </is>
      </c>
      <c r="B2" t="inlineStr">
        <is>
          <t>900008171</t>
        </is>
      </c>
      <c r="C2" t="inlineStr">
        <is>
          <t>DW39</t>
        </is>
      </c>
      <c r="D2" t="inlineStr">
        <is>
          <t>D297</t>
        </is>
      </c>
      <c r="E2" t="inlineStr">
        <is>
          <t>1</t>
        </is>
      </c>
      <c r="F2" t="inlineStr">
        <is>
          <t>10238734</t>
        </is>
      </c>
      <c r="H2" t="inlineStr"/>
      <c r="J2" t="n">
        <v>175.9</v>
      </c>
      <c r="K2" t="inlineStr"/>
      <c r="M2" t="inlineStr">
        <is>
          <t>TN</t>
        </is>
      </c>
      <c r="N2" t="inlineStr"/>
      <c r="P2" t="inlineStr">
        <is>
          <t>20230831</t>
        </is>
      </c>
      <c r="Q2" t="inlineStr">
        <is>
          <t>20251031</t>
        </is>
      </c>
    </row>
    <row r="3">
      <c r="A3" t="inlineStr">
        <is>
          <t>900008171DW39D67810238734</t>
        </is>
      </c>
      <c r="B3" t="inlineStr">
        <is>
          <t>900008171</t>
        </is>
      </c>
      <c r="C3" t="inlineStr">
        <is>
          <t>DW39</t>
        </is>
      </c>
      <c r="D3" t="inlineStr">
        <is>
          <t>D678</t>
        </is>
      </c>
      <c r="E3" t="inlineStr">
        <is>
          <t>1</t>
        </is>
      </c>
      <c r="F3" t="inlineStr">
        <is>
          <t>10238734</t>
        </is>
      </c>
      <c r="H3" t="inlineStr"/>
      <c r="J3" t="n">
        <v>153.91</v>
      </c>
      <c r="K3" t="inlineStr"/>
      <c r="M3" t="inlineStr">
        <is>
          <t>TN</t>
        </is>
      </c>
      <c r="N3" t="inlineStr"/>
      <c r="P3" t="inlineStr">
        <is>
          <t>20230831</t>
        </is>
      </c>
      <c r="Q3" t="inlineStr">
        <is>
          <t>20251031</t>
        </is>
      </c>
    </row>
    <row r="4">
      <c r="A4" t="inlineStr">
        <is>
          <t>900008171DW39D67810238940</t>
        </is>
      </c>
      <c r="B4" t="inlineStr">
        <is>
          <t>900008171</t>
        </is>
      </c>
      <c r="C4" t="inlineStr">
        <is>
          <t>DW39</t>
        </is>
      </c>
      <c r="D4" t="inlineStr">
        <is>
          <t>D678</t>
        </is>
      </c>
      <c r="E4" t="inlineStr">
        <is>
          <t>1</t>
        </is>
      </c>
      <c r="F4" t="inlineStr">
        <is>
          <t>10238940</t>
        </is>
      </c>
      <c r="H4" t="inlineStr"/>
      <c r="J4" t="n">
        <v>121.03</v>
      </c>
      <c r="K4" t="inlineStr"/>
      <c r="M4" t="inlineStr">
        <is>
          <t>TN</t>
        </is>
      </c>
      <c r="N4" t="inlineStr"/>
      <c r="P4" t="inlineStr">
        <is>
          <t>20230831</t>
        </is>
      </c>
      <c r="Q4" t="inlineStr">
        <is>
          <t>20251031</t>
        </is>
      </c>
    </row>
    <row r="5">
      <c r="A5" t="inlineStr">
        <is>
          <t>900008171DW39EQ8610229215</t>
        </is>
      </c>
      <c r="B5" t="inlineStr">
        <is>
          <t>900008171</t>
        </is>
      </c>
      <c r="C5" t="inlineStr">
        <is>
          <t>DW39</t>
        </is>
      </c>
      <c r="D5" t="inlineStr">
        <is>
          <t>EQ86</t>
        </is>
      </c>
      <c r="E5" t="inlineStr">
        <is>
          <t>1</t>
        </is>
      </c>
      <c r="F5" t="inlineStr">
        <is>
          <t>10229215</t>
        </is>
      </c>
      <c r="H5" t="inlineStr"/>
      <c r="J5" t="n">
        <v>103.8</v>
      </c>
      <c r="K5" t="inlineStr"/>
      <c r="M5" t="inlineStr">
        <is>
          <t>TN</t>
        </is>
      </c>
      <c r="N5" t="inlineStr"/>
      <c r="P5" t="inlineStr">
        <is>
          <t>20240320</t>
        </is>
      </c>
      <c r="Q5" t="inlineStr">
        <is>
          <t>20250220</t>
        </is>
      </c>
    </row>
    <row r="6">
      <c r="A6" t="inlineStr">
        <is>
          <t>900008171DW39EQ8610231740</t>
        </is>
      </c>
      <c r="B6" t="inlineStr">
        <is>
          <t>900008171</t>
        </is>
      </c>
      <c r="C6" t="inlineStr">
        <is>
          <t>DW39</t>
        </is>
      </c>
      <c r="D6" t="inlineStr">
        <is>
          <t>EQ86</t>
        </is>
      </c>
      <c r="E6" t="inlineStr">
        <is>
          <t>1</t>
        </is>
      </c>
      <c r="F6" t="inlineStr">
        <is>
          <t>10231740</t>
        </is>
      </c>
      <c r="H6" t="inlineStr"/>
      <c r="J6" t="n">
        <v>114</v>
      </c>
      <c r="K6" t="inlineStr"/>
      <c r="M6" t="inlineStr">
        <is>
          <t>TN</t>
        </is>
      </c>
      <c r="N6" t="inlineStr"/>
      <c r="P6" t="inlineStr">
        <is>
          <t>20240320</t>
        </is>
      </c>
      <c r="Q6" t="inlineStr">
        <is>
          <t>20250220</t>
        </is>
      </c>
    </row>
    <row r="7">
      <c r="A7" t="inlineStr">
        <is>
          <t>900008171DW39EQ8610238734</t>
        </is>
      </c>
      <c r="B7" t="inlineStr">
        <is>
          <t>900008171</t>
        </is>
      </c>
      <c r="C7" t="inlineStr">
        <is>
          <t>DW39</t>
        </is>
      </c>
      <c r="D7" t="inlineStr">
        <is>
          <t>EQ86</t>
        </is>
      </c>
      <c r="E7" t="inlineStr">
        <is>
          <t>1</t>
        </is>
      </c>
      <c r="F7" t="inlineStr">
        <is>
          <t>10238734</t>
        </is>
      </c>
      <c r="H7" t="inlineStr"/>
      <c r="J7" t="n">
        <v>127.44</v>
      </c>
      <c r="K7" t="inlineStr"/>
      <c r="M7" t="inlineStr">
        <is>
          <t>TN</t>
        </is>
      </c>
      <c r="N7" t="inlineStr"/>
      <c r="P7" t="inlineStr">
        <is>
          <t>20240320</t>
        </is>
      </c>
      <c r="Q7" t="inlineStr">
        <is>
          <t>20250220</t>
        </is>
      </c>
    </row>
    <row r="8">
      <c r="A8" t="inlineStr">
        <is>
          <t>900008171DW39EQ8610238940</t>
        </is>
      </c>
      <c r="B8" t="inlineStr">
        <is>
          <t>900008171</t>
        </is>
      </c>
      <c r="C8" t="inlineStr">
        <is>
          <t>DW39</t>
        </is>
      </c>
      <c r="D8" t="inlineStr">
        <is>
          <t>EQ86</t>
        </is>
      </c>
      <c r="E8" t="inlineStr">
        <is>
          <t>1</t>
        </is>
      </c>
      <c r="F8" t="inlineStr">
        <is>
          <t>10238940</t>
        </is>
      </c>
      <c r="H8" t="inlineStr"/>
      <c r="J8" t="n">
        <v>109.61</v>
      </c>
      <c r="K8" t="inlineStr"/>
      <c r="M8" t="inlineStr">
        <is>
          <t>TN</t>
        </is>
      </c>
      <c r="N8" t="inlineStr"/>
      <c r="P8" t="inlineStr">
        <is>
          <t>20240320</t>
        </is>
      </c>
      <c r="Q8" t="inlineStr">
        <is>
          <t>20250220</t>
        </is>
      </c>
    </row>
    <row r="9">
      <c r="A9" t="inlineStr">
        <is>
          <t>900008365DW3910239308</t>
        </is>
      </c>
      <c r="B9" t="inlineStr">
        <is>
          <t>900008365</t>
        </is>
      </c>
      <c r="C9" t="inlineStr">
        <is>
          <t>DW39</t>
        </is>
      </c>
      <c r="D9" t="inlineStr"/>
      <c r="E9" t="inlineStr">
        <is>
          <t>4</t>
        </is>
      </c>
      <c r="F9" t="inlineStr">
        <is>
          <t>10239308</t>
        </is>
      </c>
      <c r="H9" t="inlineStr"/>
      <c r="J9" t="n">
        <v>15.22</v>
      </c>
      <c r="K9" t="inlineStr"/>
      <c r="M9" t="inlineStr">
        <is>
          <t>TN</t>
        </is>
      </c>
      <c r="N9" t="inlineStr"/>
      <c r="P9" t="inlineStr">
        <is>
          <t>20001010</t>
        </is>
      </c>
      <c r="Q9" t="inlineStr">
        <is>
          <t>20001010</t>
        </is>
      </c>
    </row>
    <row r="10">
      <c r="A10" t="inlineStr">
        <is>
          <t>900008365DW3910239309</t>
        </is>
      </c>
      <c r="B10" t="inlineStr">
        <is>
          <t>900008365</t>
        </is>
      </c>
      <c r="C10" t="inlineStr">
        <is>
          <t>DW39</t>
        </is>
      </c>
      <c r="D10" t="inlineStr"/>
      <c r="E10" t="inlineStr">
        <is>
          <t>4</t>
        </is>
      </c>
      <c r="F10" t="inlineStr">
        <is>
          <t>10239309</t>
        </is>
      </c>
      <c r="H10" t="inlineStr"/>
      <c r="J10" t="n">
        <v>14.78</v>
      </c>
      <c r="K10" t="inlineStr"/>
      <c r="M10" t="inlineStr">
        <is>
          <t>TN</t>
        </is>
      </c>
      <c r="N10" t="inlineStr"/>
      <c r="P10" t="inlineStr">
        <is>
          <t>20001010</t>
        </is>
      </c>
      <c r="Q10" t="inlineStr">
        <is>
          <t>20001010</t>
        </is>
      </c>
    </row>
    <row r="11">
      <c r="A11" t="inlineStr">
        <is>
          <t>900008365DW39ER0010239308</t>
        </is>
      </c>
      <c r="B11" t="inlineStr">
        <is>
          <t>900008365</t>
        </is>
      </c>
      <c r="C11" t="inlineStr">
        <is>
          <t>DW39</t>
        </is>
      </c>
      <c r="D11" t="inlineStr">
        <is>
          <t>ER00</t>
        </is>
      </c>
      <c r="E11" t="inlineStr">
        <is>
          <t>4</t>
        </is>
      </c>
      <c r="F11" t="inlineStr">
        <is>
          <t>10239308</t>
        </is>
      </c>
      <c r="H11" t="inlineStr"/>
      <c r="J11" t="n">
        <v>15.22</v>
      </c>
      <c r="K11" t="inlineStr"/>
      <c r="M11" t="inlineStr">
        <is>
          <t>TN</t>
        </is>
      </c>
      <c r="N11" t="inlineStr"/>
      <c r="P11" t="inlineStr">
        <is>
          <t>20240320</t>
        </is>
      </c>
      <c r="Q11" t="inlineStr">
        <is>
          <t>20250220</t>
        </is>
      </c>
    </row>
    <row r="12">
      <c r="A12" t="inlineStr">
        <is>
          <t>900008365DW39ER0010239309</t>
        </is>
      </c>
      <c r="B12" t="inlineStr">
        <is>
          <t>900008365</t>
        </is>
      </c>
      <c r="C12" t="inlineStr">
        <is>
          <t>DW39</t>
        </is>
      </c>
      <c r="D12" t="inlineStr">
        <is>
          <t>ER00</t>
        </is>
      </c>
      <c r="E12" t="inlineStr">
        <is>
          <t>4</t>
        </is>
      </c>
      <c r="F12" t="inlineStr">
        <is>
          <t>10239309</t>
        </is>
      </c>
      <c r="H12" t="inlineStr"/>
      <c r="J12" t="n">
        <v>14.78</v>
      </c>
      <c r="K12" t="inlineStr"/>
      <c r="M12" t="inlineStr">
        <is>
          <t>TN</t>
        </is>
      </c>
      <c r="N12" t="inlineStr"/>
      <c r="P12" t="inlineStr">
        <is>
          <t>20240320</t>
        </is>
      </c>
      <c r="Q12" t="inlineStr">
        <is>
          <t>20250220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900008171DW3910000861</t>
        </is>
      </c>
      <c r="B2" t="inlineStr">
        <is>
          <t>4600068852-10</t>
        </is>
      </c>
      <c r="C2" t="n">
        <v>4600068852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900008171</v>
      </c>
      <c r="H2" t="inlineStr">
        <is>
          <t>SF TC-IASSO CHEMUYIL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10000861</v>
      </c>
      <c r="N2" t="inlineStr">
        <is>
          <t>Base H Triturada Caliza 1 1/2" a Finos</t>
        </is>
      </c>
      <c r="O2" t="inlineStr">
        <is>
          <t>DW39</t>
        </is>
      </c>
      <c r="P2" t="inlineStr">
        <is>
          <t>MX - CEDIS CHEMUYIL</t>
        </is>
      </c>
      <c r="Q2" t="n">
        <v>20231202</v>
      </c>
      <c r="R2" t="n">
        <v>20281231</v>
      </c>
      <c r="S2" t="n">
        <v>20231202</v>
      </c>
      <c r="T2" t="n">
        <v>20281231</v>
      </c>
      <c r="U2" t="n">
        <v>66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6644451540</v>
      </c>
      <c r="AE2" t="n">
        <v>1</v>
      </c>
      <c r="AF2" t="inlineStr">
        <is>
          <t>ENTREGADO</t>
        </is>
      </c>
      <c r="AG2" t="n">
        <v>1.52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20231204</v>
      </c>
      <c r="AM2" t="inlineStr">
        <is>
          <t>DW39-900008171-10000861</t>
        </is>
      </c>
    </row>
    <row r="3">
      <c r="A3" t="inlineStr">
        <is>
          <t>900008184DW3910238940</t>
        </is>
      </c>
      <c r="B3" t="inlineStr">
        <is>
          <t>4600068819-20</t>
        </is>
      </c>
      <c r="C3" t="n">
        <v>4600068819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900008184</v>
      </c>
      <c r="H3" t="inlineStr">
        <is>
          <t>SF TC-REC IASSO CHEMUYIL / CAMIONES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10238940</v>
      </c>
      <c r="N3" t="inlineStr">
        <is>
          <t>ARENA TRIT. CALIZA MALLA N° 4</t>
        </is>
      </c>
      <c r="O3" t="inlineStr">
        <is>
          <t>DW39</t>
        </is>
      </c>
      <c r="P3" t="inlineStr">
        <is>
          <t>MX - CEDIS CHEMUYIL</t>
        </is>
      </c>
      <c r="Q3" t="n">
        <v>20231128</v>
      </c>
      <c r="R3" t="n">
        <v>20281231</v>
      </c>
      <c r="S3" t="n">
        <v>20231128</v>
      </c>
      <c r="T3" t="n">
        <v>20281231</v>
      </c>
      <c r="U3" t="n">
        <v>177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56103638</v>
      </c>
      <c r="AD3" t="n">
        <v>6644451540</v>
      </c>
      <c r="AE3" t="n">
        <v>2</v>
      </c>
      <c r="AF3" t="inlineStr">
        <is>
          <t>RECOGIDO</t>
        </is>
      </c>
      <c r="AG3" t="n">
        <v>1.322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20231128</v>
      </c>
      <c r="AM3" t="inlineStr">
        <is>
          <t>DW39-900008184-10238940</t>
        </is>
      </c>
    </row>
    <row r="4">
      <c r="A4" t="inlineStr">
        <is>
          <t>900008184DW3910238734</t>
        </is>
      </c>
      <c r="B4" t="inlineStr">
        <is>
          <t>4600068819-10</t>
        </is>
      </c>
      <c r="C4" t="n">
        <v>4600068819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900008184</v>
      </c>
      <c r="H4" t="inlineStr">
        <is>
          <t>SF TC-REC IASSO CHEMUYIL / CAMIONES</t>
        </is>
      </c>
      <c r="I4" t="n">
        <v>5086846</v>
      </c>
      <c r="J4" t="inlineStr">
        <is>
          <t>IASSO CONSTRUCCIONES SA DE CV</t>
        </is>
      </c>
      <c r="K4" t="inlineStr">
        <is>
          <t>N90</t>
        </is>
      </c>
      <c r="L4" t="inlineStr">
        <is>
          <t>(AP) NAFIN 90 Dias</t>
        </is>
      </c>
      <c r="M4" t="n">
        <v>10238734</v>
      </c>
      <c r="N4" t="inlineStr">
        <is>
          <t>GRAVA TRITURADA CALIZA 20MM 3/4</t>
        </is>
      </c>
      <c r="O4" t="inlineStr">
        <is>
          <t>DW39</t>
        </is>
      </c>
      <c r="P4" t="inlineStr">
        <is>
          <t>MX - CEDIS CHEMUYIL</t>
        </is>
      </c>
      <c r="Q4" t="n">
        <v>20231128</v>
      </c>
      <c r="R4" t="n">
        <v>20281231</v>
      </c>
      <c r="S4" t="n">
        <v>20231128</v>
      </c>
      <c r="T4" t="n">
        <v>20281231</v>
      </c>
      <c r="U4" t="n">
        <v>156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6644451540</v>
      </c>
      <c r="AE4" t="n">
        <v>2</v>
      </c>
      <c r="AF4" t="inlineStr">
        <is>
          <t>RECOGIDO</t>
        </is>
      </c>
      <c r="AG4" t="n">
        <v>1.137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20231128</v>
      </c>
      <c r="AM4" t="inlineStr">
        <is>
          <t>DW39-900008184-10238734</t>
        </is>
      </c>
    </row>
    <row r="5">
      <c r="A5" t="inlineStr">
        <is>
          <t>900008207DW3910239308</t>
        </is>
      </c>
      <c r="B5" t="inlineStr">
        <is>
          <t>4600058416-10</t>
        </is>
      </c>
      <c r="C5" t="n">
        <v>4600058416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900008207</v>
      </c>
      <c r="H5" t="inlineStr">
        <is>
          <t>SF TC-ELEMAR CHEMUYIL</t>
        </is>
      </c>
      <c r="I5" t="n">
        <v>5081743</v>
      </c>
      <c r="J5" t="inlineStr">
        <is>
          <t>INFRAESTRUCTURA MEXICANA DEL SUREST</t>
        </is>
      </c>
      <c r="K5" t="inlineStr">
        <is>
          <t>N45</t>
        </is>
      </c>
      <c r="L5" t="inlineStr">
        <is>
          <t>(AP) NAFIN 45 Dias</t>
        </is>
      </c>
      <c r="M5" t="n">
        <v>10239308</v>
      </c>
      <c r="N5" t="inlineStr">
        <is>
          <t>GRAVA TRITURADA CALIZA 3/4 - ELEMAR</t>
        </is>
      </c>
      <c r="O5" t="inlineStr">
        <is>
          <t>DW39</t>
        </is>
      </c>
      <c r="P5" t="inlineStr">
        <is>
          <t>MX - CEDIS CHEMUYIL</t>
        </is>
      </c>
      <c r="Q5" t="n">
        <v>20230821</v>
      </c>
      <c r="R5" t="n">
        <v>20281231</v>
      </c>
      <c r="S5" t="n">
        <v>20230825</v>
      </c>
      <c r="T5" t="n">
        <v>20281231</v>
      </c>
      <c r="U5" t="n">
        <v>204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56103637</v>
      </c>
      <c r="AD5" t="n">
        <v>6644451540</v>
      </c>
      <c r="AE5" t="n">
        <v>1</v>
      </c>
      <c r="AF5" t="inlineStr">
        <is>
          <t>ENTREGADO</t>
        </is>
      </c>
      <c r="AG5" t="n">
        <v>1.183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20230920</v>
      </c>
      <c r="AM5" t="inlineStr">
        <is>
          <t>DW39-900008207-10239308</t>
        </is>
      </c>
    </row>
    <row r="6">
      <c r="A6" t="inlineStr">
        <is>
          <t>900008207DW3910239309</t>
        </is>
      </c>
      <c r="B6" t="inlineStr">
        <is>
          <t>4600058416-20</t>
        </is>
      </c>
      <c r="C6" t="n">
        <v>4600058416</v>
      </c>
      <c r="D6" t="n">
        <v>20</v>
      </c>
      <c r="E6" t="inlineStr">
        <is>
          <t>MXPO</t>
        </is>
      </c>
      <c r="F6" t="inlineStr">
        <is>
          <t>MXL</t>
        </is>
      </c>
      <c r="G6" t="n">
        <v>900008207</v>
      </c>
      <c r="H6" t="inlineStr">
        <is>
          <t>SF TC-ELEMAR CHEMUYIL</t>
        </is>
      </c>
      <c r="I6" t="n">
        <v>5081743</v>
      </c>
      <c r="J6" t="inlineStr">
        <is>
          <t>INFRAESTRUCTURA MEXICANA DEL SUREST</t>
        </is>
      </c>
      <c r="K6" t="inlineStr">
        <is>
          <t>N45</t>
        </is>
      </c>
      <c r="L6" t="inlineStr">
        <is>
          <t>(AP) NAFIN 45 Dias</t>
        </is>
      </c>
      <c r="M6" t="n">
        <v>10239309</v>
      </c>
      <c r="N6" t="inlineStr">
        <is>
          <t>ARENA TRITURADA CALIZA MALLA 4 - ELEMAR</t>
        </is>
      </c>
      <c r="O6" t="inlineStr">
        <is>
          <t>DW39</t>
        </is>
      </c>
      <c r="P6" t="inlineStr">
        <is>
          <t>MX - CEDIS CHEMUYIL</t>
        </is>
      </c>
      <c r="Q6" t="n">
        <v>20230821</v>
      </c>
      <c r="R6" t="n">
        <v>20281231</v>
      </c>
      <c r="S6" t="n">
        <v>20230825</v>
      </c>
      <c r="T6" t="n">
        <v>20281231</v>
      </c>
      <c r="U6" t="n">
        <v>235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56103638</v>
      </c>
      <c r="AD6" t="n">
        <v>6644451540</v>
      </c>
      <c r="AE6" t="n">
        <v>1</v>
      </c>
      <c r="AF6" t="inlineStr">
        <is>
          <t>ENTREGADO</t>
        </is>
      </c>
      <c r="AG6" t="n">
        <v>1.218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20230920</v>
      </c>
      <c r="AM6" t="inlineStr">
        <is>
          <t>DW39-900008207-10239309</t>
        </is>
      </c>
    </row>
    <row r="7">
      <c r="A7" t="inlineStr">
        <is>
          <t>900008171DW3910238940</t>
        </is>
      </c>
      <c r="B7" t="inlineStr">
        <is>
          <t>4600057901-40</t>
        </is>
      </c>
      <c r="C7" t="n">
        <v>4600057901</v>
      </c>
      <c r="D7" t="n">
        <v>40</v>
      </c>
      <c r="E7" t="inlineStr">
        <is>
          <t>MXPO</t>
        </is>
      </c>
      <c r="F7" t="inlineStr">
        <is>
          <t>MXL</t>
        </is>
      </c>
      <c r="G7" t="n">
        <v>900008171</v>
      </c>
      <c r="H7" t="inlineStr">
        <is>
          <t>SF TC-IASSO CHEMUYIL</t>
        </is>
      </c>
      <c r="I7" t="n">
        <v>5086846</v>
      </c>
      <c r="J7" t="inlineStr">
        <is>
          <t>IASSO CONSTRUCCIONES SA DE CV</t>
        </is>
      </c>
      <c r="K7" t="inlineStr">
        <is>
          <t>N90</t>
        </is>
      </c>
      <c r="L7" t="inlineStr">
        <is>
          <t>(AP) NAFIN 90 Dias</t>
        </is>
      </c>
      <c r="M7" t="n">
        <v>10238940</v>
      </c>
      <c r="N7" t="inlineStr">
        <is>
          <t>ARENA TRIT. CALIZA MALLA N° 4</t>
        </is>
      </c>
      <c r="O7" t="inlineStr">
        <is>
          <t>DW39</t>
        </is>
      </c>
      <c r="P7" t="inlineStr">
        <is>
          <t>MX - CEDIS CHEMUYIL</t>
        </is>
      </c>
      <c r="Q7" t="n">
        <v>20230629</v>
      </c>
      <c r="R7" t="n">
        <v>20281231</v>
      </c>
      <c r="S7" t="n">
        <v>20230804</v>
      </c>
      <c r="T7" t="n">
        <v>20281231</v>
      </c>
      <c r="U7" t="n">
        <v>177</v>
      </c>
      <c r="V7" t="inlineStr">
        <is>
          <t>MXN</t>
        </is>
      </c>
      <c r="W7" t="inlineStr">
        <is>
          <t>M3</t>
        </is>
      </c>
      <c r="X7" t="n">
        <v>0</v>
      </c>
      <c r="Y7" t="inlineStr">
        <is>
          <t>MXN</t>
        </is>
      </c>
      <c r="Z7" t="inlineStr">
        <is>
          <t>M3</t>
        </is>
      </c>
      <c r="AC7" t="n">
        <v>56103638</v>
      </c>
      <c r="AD7" t="n">
        <v>6644451540</v>
      </c>
      <c r="AE7" t="n">
        <v>1</v>
      </c>
      <c r="AF7" t="inlineStr">
        <is>
          <t>ENTREGADO</t>
        </is>
      </c>
      <c r="AG7" t="n">
        <v>1.322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20230920</v>
      </c>
      <c r="AM7" t="inlineStr">
        <is>
          <t>DW39-900008171-10238940</t>
        </is>
      </c>
    </row>
    <row r="8">
      <c r="A8" t="inlineStr">
        <is>
          <t>900008171DW3910238734</t>
        </is>
      </c>
      <c r="B8" t="inlineStr">
        <is>
          <t>4600057901-30</t>
        </is>
      </c>
      <c r="C8" t="n">
        <v>4600057901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900008171</v>
      </c>
      <c r="H8" t="inlineStr">
        <is>
          <t>SF TC-IASSO CHEMUYIL</t>
        </is>
      </c>
      <c r="I8" t="n">
        <v>5086846</v>
      </c>
      <c r="J8" t="inlineStr">
        <is>
          <t>IASSO CONSTRUCCIONES SA DE CV</t>
        </is>
      </c>
      <c r="K8" t="inlineStr">
        <is>
          <t>N90</t>
        </is>
      </c>
      <c r="L8" t="inlineStr">
        <is>
          <t>(AP) NAFIN 90 Dias</t>
        </is>
      </c>
      <c r="M8" t="n">
        <v>10238734</v>
      </c>
      <c r="N8" t="inlineStr">
        <is>
          <t>GRAVA TRITURADA CALIZA 20MM 3/4</t>
        </is>
      </c>
      <c r="O8" t="inlineStr">
        <is>
          <t>DW39</t>
        </is>
      </c>
      <c r="P8" t="inlineStr">
        <is>
          <t>MX - CEDIS CHEMUYIL</t>
        </is>
      </c>
      <c r="Q8" t="n">
        <v>20230629</v>
      </c>
      <c r="R8" t="n">
        <v>20281231</v>
      </c>
      <c r="S8" t="n">
        <v>20230804</v>
      </c>
      <c r="T8" t="n">
        <v>20281231</v>
      </c>
      <c r="U8" t="n">
        <v>156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6644451540</v>
      </c>
      <c r="AE8" t="n">
        <v>1</v>
      </c>
      <c r="AF8" t="inlineStr">
        <is>
          <t>ENTREGADO</t>
        </is>
      </c>
      <c r="AG8" t="n">
        <v>1.137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DW39-900008171-10238734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2026-09-14T14:21:14Z</dcterms:created>
  <dcterms:modified xsi:type="dcterms:W3CDTF">2026-09-14T14:21:15Z</dcterms:modified>
</cp:coreProperties>
</file>